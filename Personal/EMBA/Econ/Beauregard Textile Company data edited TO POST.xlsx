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15180" windowHeight="8265" activeTab="2"/>
  </bookViews>
  <sheets>
    <sheet name="Copyright" sheetId="1" r:id="rId1"/>
    <sheet name="Exhibit 1" sheetId="2" r:id="rId2"/>
    <sheet name="Exhibit 2" sheetId="3" r:id="rId3"/>
  </sheets>
  <calcPr calcId="145621"/>
</workbook>
</file>

<file path=xl/calcChain.xml><?xml version="1.0" encoding="utf-8"?>
<calcChain xmlns="http://schemas.openxmlformats.org/spreadsheetml/2006/main">
  <c r="I11" i="3" l="1"/>
  <c r="H11" i="3"/>
  <c r="G11" i="3"/>
  <c r="F11" i="3"/>
  <c r="E11" i="3"/>
  <c r="D11" i="3"/>
  <c r="C11" i="3"/>
  <c r="B11" i="3"/>
  <c r="I12" i="3" l="1"/>
  <c r="I14" i="3" s="1"/>
  <c r="H12" i="3"/>
  <c r="H14" i="3" s="1"/>
  <c r="G12" i="3"/>
  <c r="G14" i="3" s="1"/>
  <c r="F12" i="3"/>
  <c r="F14" i="3" s="1"/>
  <c r="E12" i="3"/>
  <c r="E14" i="3" s="1"/>
  <c r="D12" i="3"/>
  <c r="D14" i="3" s="1"/>
  <c r="C12" i="3"/>
  <c r="C14" i="3" s="1"/>
  <c r="B12" i="3"/>
  <c r="B14" i="3" s="1"/>
  <c r="C15" i="3" l="1"/>
  <c r="F15" i="3"/>
  <c r="G15" i="3"/>
  <c r="D15" i="3"/>
  <c r="H15" i="3"/>
  <c r="I15" i="3"/>
  <c r="E15" i="3"/>
  <c r="B15" i="3"/>
</calcChain>
</file>

<file path=xl/sharedStrings.xml><?xml version="1.0" encoding="utf-8"?>
<sst xmlns="http://schemas.openxmlformats.org/spreadsheetml/2006/main" count="43" uniqueCount="34">
  <si>
    <r>
      <t xml:space="preserve">Exhibit 1 </t>
    </r>
    <r>
      <rPr>
        <sz val="10"/>
        <rFont val="Arial"/>
        <family val="2"/>
      </rPr>
      <t>Quarterly Prices and Sales Volumes for T-30 Fabric, 1988-1990</t>
    </r>
  </si>
  <si>
    <t>Beauregard</t>
  </si>
  <si>
    <t>Calhoun &amp; Pritchard</t>
  </si>
  <si>
    <t>Year and Quarter</t>
  </si>
  <si>
    <t>Price</t>
  </si>
  <si>
    <t>Actual Sales Volume (Yards)</t>
  </si>
  <si>
    <t>Estimated Sales Volume (Yards)</t>
  </si>
  <si>
    <t>1st</t>
  </si>
  <si>
    <t>2nd</t>
  </si>
  <si>
    <t>3rd</t>
  </si>
  <si>
    <t>4th</t>
  </si>
  <si>
    <t>75,000 (est.)</t>
  </si>
  <si>
    <t>Source: Marketing Department, Beauregard Textile Company</t>
  </si>
  <si>
    <r>
      <t xml:space="preserve">Exhibit 2 </t>
    </r>
    <r>
      <rPr>
        <sz val="10"/>
        <rFont val="Arial"/>
        <family val="2"/>
      </rPr>
      <t>Beauregard's Estimated Cost per Yard of Triaxx-30 at Various Volumes of Production</t>
    </r>
  </si>
  <si>
    <t>Production Volume in Yards of Material</t>
  </si>
  <si>
    <t>Direct Labor</t>
  </si>
  <si>
    <t>Material</t>
  </si>
  <si>
    <t>Material Spoilage</t>
  </si>
  <si>
    <t>Department Expense:</t>
  </si>
  <si>
    <t>Direct*</t>
  </si>
  <si>
    <t>Indirect**</t>
  </si>
  <si>
    <t>General Overhead***</t>
  </si>
  <si>
    <t>Factory Cost</t>
  </si>
  <si>
    <t>Selling and Admin.</t>
  </si>
  <si>
    <t>Expense****</t>
  </si>
  <si>
    <t>Total Cost</t>
  </si>
  <si>
    <t>* Indirect labor, supplies, repairs, power, etc.</t>
  </si>
  <si>
    <t>** Depreciation, supervision, etc.</t>
  </si>
  <si>
    <t>**** 65 percent of factory cost</t>
  </si>
  <si>
    <t>Beauregard Textile Co.</t>
  </si>
  <si>
    <t>Harvard Business School Case #191-058</t>
  </si>
  <si>
    <t>Case Software #XLS-114</t>
  </si>
  <si>
    <t>Copyright © 2011 President and Fellows of Harvard College.  No part of this product may be reproduced, stored in a retrieval system or transmitted in any form or by any means—electronic, mechanical, photocopying, recording or otherwise—without the permission of Harvard Business School.</t>
  </si>
  <si>
    <t>*** 35 percent of direct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</si>
</sst>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164" formatCode="0.000"/>
    <numFmt numFmtId="165" formatCode="0.000;[Red]0.000"/>
    <numFmt numFmtId="166" formatCode="&quot;$&quot;#,##0.0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6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3" fontId="2" fillId="0" borderId="0" xfId="0" applyNumberFormat="1" applyFont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wrapText="1"/>
    </xf>
    <xf numFmtId="3" fontId="2" fillId="0" borderId="0" xfId="0" applyNumberFormat="1" applyFont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 indent="2"/>
    </xf>
    <xf numFmtId="0" fontId="5" fillId="0" borderId="0" xfId="0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6" fontId="2" fillId="0" borderId="1" xfId="0" applyNumberFormat="1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 wrapText="1"/>
    </xf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9" fontId="0" fillId="0" borderId="0" xfId="0" applyNumberFormat="1"/>
    <xf numFmtId="166" fontId="5" fillId="0" borderId="0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5" sqref="A5:I5"/>
    </sheetView>
  </sheetViews>
  <sheetFormatPr defaultRowHeight="12.75" x14ac:dyDescent="0.2"/>
  <sheetData>
    <row r="1" spans="1:9" ht="15" x14ac:dyDescent="0.2">
      <c r="A1" s="27" t="s">
        <v>29</v>
      </c>
    </row>
    <row r="2" spans="1:9" x14ac:dyDescent="0.2">
      <c r="A2" s="28" t="s">
        <v>30</v>
      </c>
    </row>
    <row r="3" spans="1:9" x14ac:dyDescent="0.2">
      <c r="A3" s="28" t="s">
        <v>31</v>
      </c>
    </row>
    <row r="5" spans="1:9" ht="52.5" customHeight="1" x14ac:dyDescent="0.2">
      <c r="A5" s="32" t="s">
        <v>32</v>
      </c>
      <c r="B5" s="33"/>
      <c r="C5" s="33"/>
      <c r="D5" s="33"/>
      <c r="E5" s="33"/>
      <c r="F5" s="33"/>
      <c r="G5" s="33"/>
      <c r="H5" s="33"/>
      <c r="I5" s="33"/>
    </row>
  </sheetData>
  <mergeCells count="1">
    <mergeCell ref="A5:I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sqref="A1:G1"/>
    </sheetView>
  </sheetViews>
  <sheetFormatPr defaultRowHeight="12.75" x14ac:dyDescent="0.2"/>
  <cols>
    <col min="1" max="1" width="10.28515625" customWidth="1"/>
    <col min="4" max="4" width="14.140625" customWidth="1"/>
    <col min="5" max="5" width="1.28515625" customWidth="1"/>
    <col min="6" max="6" width="9" customWidth="1"/>
    <col min="7" max="7" width="16.7109375" customWidth="1"/>
  </cols>
  <sheetData>
    <row r="1" spans="1:7" x14ac:dyDescent="0.2">
      <c r="A1" s="37" t="s">
        <v>0</v>
      </c>
      <c r="B1" s="37"/>
      <c r="C1" s="37"/>
      <c r="D1" s="37"/>
      <c r="E1" s="37"/>
      <c r="F1" s="37"/>
      <c r="G1" s="37"/>
    </row>
    <row r="2" spans="1:7" x14ac:dyDescent="0.2">
      <c r="A2" s="38"/>
      <c r="B2" s="38"/>
      <c r="C2" s="38"/>
      <c r="D2" s="38"/>
      <c r="E2" s="38"/>
      <c r="F2" s="38"/>
      <c r="G2" s="38"/>
    </row>
    <row r="3" spans="1:7" x14ac:dyDescent="0.2">
      <c r="A3" s="1"/>
      <c r="B3" s="1"/>
      <c r="C3" s="35" t="s">
        <v>1</v>
      </c>
      <c r="D3" s="35"/>
      <c r="E3" s="12"/>
      <c r="F3" s="35" t="s">
        <v>2</v>
      </c>
      <c r="G3" s="35"/>
    </row>
    <row r="4" spans="1:7" ht="27" customHeight="1" x14ac:dyDescent="0.2">
      <c r="A4" s="36" t="s">
        <v>3</v>
      </c>
      <c r="B4" s="36"/>
      <c r="C4" s="15" t="s">
        <v>4</v>
      </c>
      <c r="D4" s="14" t="s">
        <v>5</v>
      </c>
      <c r="E4" s="13"/>
      <c r="F4" s="15" t="s">
        <v>4</v>
      </c>
      <c r="G4" s="13" t="s">
        <v>6</v>
      </c>
    </row>
    <row r="5" spans="1:7" x14ac:dyDescent="0.2">
      <c r="A5" s="3">
        <v>1988</v>
      </c>
      <c r="B5" s="1" t="s">
        <v>7</v>
      </c>
      <c r="C5" s="5">
        <v>3</v>
      </c>
      <c r="D5" s="10">
        <v>124870</v>
      </c>
      <c r="E5" s="10"/>
      <c r="F5" s="5">
        <v>3</v>
      </c>
      <c r="G5" s="8">
        <v>100000</v>
      </c>
    </row>
    <row r="6" spans="1:7" x14ac:dyDescent="0.2">
      <c r="A6" s="3"/>
      <c r="B6" s="1" t="s">
        <v>8</v>
      </c>
      <c r="C6" s="6">
        <v>3</v>
      </c>
      <c r="D6" s="10">
        <v>126016</v>
      </c>
      <c r="E6" s="10"/>
      <c r="F6" s="6">
        <v>3</v>
      </c>
      <c r="G6" s="8">
        <v>100000</v>
      </c>
    </row>
    <row r="7" spans="1:7" x14ac:dyDescent="0.2">
      <c r="A7" s="3"/>
      <c r="B7" s="1" t="s">
        <v>9</v>
      </c>
      <c r="C7" s="6">
        <v>3</v>
      </c>
      <c r="D7" s="10">
        <v>125426</v>
      </c>
      <c r="E7" s="10"/>
      <c r="F7" s="6">
        <v>3</v>
      </c>
      <c r="G7" s="8">
        <v>100000</v>
      </c>
    </row>
    <row r="8" spans="1:7" x14ac:dyDescent="0.2">
      <c r="A8" s="4"/>
      <c r="B8" s="2" t="s">
        <v>10</v>
      </c>
      <c r="C8" s="7">
        <v>3</v>
      </c>
      <c r="D8" s="11">
        <v>198863</v>
      </c>
      <c r="E8" s="11"/>
      <c r="F8" s="7">
        <v>4</v>
      </c>
      <c r="G8" s="9">
        <v>25000</v>
      </c>
    </row>
    <row r="9" spans="1:7" x14ac:dyDescent="0.2">
      <c r="A9" s="3">
        <v>1989</v>
      </c>
      <c r="B9" s="1" t="s">
        <v>7</v>
      </c>
      <c r="C9" s="6">
        <v>3</v>
      </c>
      <c r="D9" s="10">
        <v>127201</v>
      </c>
      <c r="E9" s="10"/>
      <c r="F9" s="6">
        <v>3</v>
      </c>
      <c r="G9" s="8">
        <v>100000</v>
      </c>
    </row>
    <row r="10" spans="1:7" x14ac:dyDescent="0.2">
      <c r="A10" s="3"/>
      <c r="B10" s="1" t="s">
        <v>8</v>
      </c>
      <c r="C10" s="6">
        <v>3</v>
      </c>
      <c r="D10" s="10">
        <v>125277</v>
      </c>
      <c r="E10" s="10"/>
      <c r="F10" s="6">
        <v>3</v>
      </c>
      <c r="G10" s="8">
        <v>100000</v>
      </c>
    </row>
    <row r="11" spans="1:7" x14ac:dyDescent="0.2">
      <c r="A11" s="3"/>
      <c r="B11" s="1" t="s">
        <v>9</v>
      </c>
      <c r="C11" s="6">
        <v>3</v>
      </c>
      <c r="D11" s="10">
        <v>126124</v>
      </c>
      <c r="E11" s="10"/>
      <c r="F11" s="6">
        <v>3</v>
      </c>
      <c r="G11" s="8">
        <v>100000</v>
      </c>
    </row>
    <row r="12" spans="1:7" x14ac:dyDescent="0.2">
      <c r="A12" s="4"/>
      <c r="B12" s="2" t="s">
        <v>10</v>
      </c>
      <c r="C12" s="7">
        <v>3</v>
      </c>
      <c r="D12" s="11">
        <v>125302</v>
      </c>
      <c r="E12" s="11"/>
      <c r="F12" s="7">
        <v>3</v>
      </c>
      <c r="G12" s="9">
        <v>100000</v>
      </c>
    </row>
    <row r="13" spans="1:7" x14ac:dyDescent="0.2">
      <c r="A13" s="3">
        <v>1990</v>
      </c>
      <c r="B13" s="1" t="s">
        <v>7</v>
      </c>
      <c r="C13" s="6">
        <v>4</v>
      </c>
      <c r="D13" s="10">
        <v>74860</v>
      </c>
      <c r="E13" s="10"/>
      <c r="F13" s="6">
        <v>3</v>
      </c>
      <c r="G13" s="8">
        <v>150000</v>
      </c>
    </row>
    <row r="14" spans="1:7" x14ac:dyDescent="0.2">
      <c r="A14" s="3"/>
      <c r="B14" s="1" t="s">
        <v>8</v>
      </c>
      <c r="C14" s="6">
        <v>4</v>
      </c>
      <c r="D14" s="10">
        <v>77216</v>
      </c>
      <c r="E14" s="10"/>
      <c r="F14" s="6">
        <v>3</v>
      </c>
      <c r="G14" s="8">
        <v>150000</v>
      </c>
    </row>
    <row r="15" spans="1:7" x14ac:dyDescent="0.2">
      <c r="A15" s="3"/>
      <c r="B15" s="1" t="s">
        <v>9</v>
      </c>
      <c r="C15" s="6">
        <v>4</v>
      </c>
      <c r="D15" s="3" t="s">
        <v>11</v>
      </c>
      <c r="E15" s="3"/>
      <c r="F15" s="6">
        <v>3</v>
      </c>
      <c r="G15" s="8">
        <v>150000</v>
      </c>
    </row>
    <row r="16" spans="1:7" x14ac:dyDescent="0.2">
      <c r="A16" s="4"/>
      <c r="B16" s="2" t="s">
        <v>10</v>
      </c>
      <c r="C16" s="7"/>
      <c r="D16" s="2"/>
      <c r="E16" s="2"/>
      <c r="F16" s="2"/>
      <c r="G16" s="2"/>
    </row>
    <row r="17" spans="1:7" x14ac:dyDescent="0.2">
      <c r="A17" s="39"/>
      <c r="B17" s="39"/>
      <c r="C17" s="39"/>
      <c r="D17" s="39"/>
      <c r="E17" s="39"/>
      <c r="F17" s="39"/>
      <c r="G17" s="39"/>
    </row>
    <row r="18" spans="1:7" x14ac:dyDescent="0.2">
      <c r="A18" s="34" t="s">
        <v>12</v>
      </c>
      <c r="B18" s="34"/>
      <c r="C18" s="34"/>
      <c r="D18" s="34"/>
      <c r="E18" s="34"/>
      <c r="F18" s="34"/>
      <c r="G18" s="34"/>
    </row>
  </sheetData>
  <mergeCells count="7">
    <mergeCell ref="A18:G18"/>
    <mergeCell ref="F3:G3"/>
    <mergeCell ref="A4:B4"/>
    <mergeCell ref="A1:G1"/>
    <mergeCell ref="C3:D3"/>
    <mergeCell ref="A2:G2"/>
    <mergeCell ref="A17:G17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A23" sqref="A23:XFD23"/>
    </sheetView>
  </sheetViews>
  <sheetFormatPr defaultRowHeight="12.75" x14ac:dyDescent="0.2"/>
  <cols>
    <col min="1" max="1" width="19.28515625" bestFit="1" customWidth="1"/>
    <col min="2" max="2" width="7.140625" bestFit="1" customWidth="1"/>
    <col min="3" max="3" width="8.140625" customWidth="1"/>
    <col min="4" max="4" width="7.140625" bestFit="1" customWidth="1"/>
    <col min="5" max="6" width="7.5703125" bestFit="1" customWidth="1"/>
    <col min="7" max="7" width="10.7109375" customWidth="1"/>
    <col min="8" max="8" width="8.85546875" customWidth="1"/>
    <col min="11" max="11" width="0" hidden="1" customWidth="1"/>
  </cols>
  <sheetData>
    <row r="1" spans="1:19" x14ac:dyDescent="0.2">
      <c r="A1" s="37" t="s">
        <v>13</v>
      </c>
      <c r="B1" s="37"/>
      <c r="C1" s="37"/>
      <c r="D1" s="37"/>
      <c r="E1" s="37"/>
      <c r="F1" s="37"/>
      <c r="G1" s="37"/>
      <c r="H1" s="37"/>
      <c r="I1" s="37"/>
    </row>
    <row r="2" spans="1:19" x14ac:dyDescent="0.2">
      <c r="A2" s="38"/>
      <c r="B2" s="38"/>
      <c r="C2" s="38"/>
      <c r="D2" s="38"/>
      <c r="E2" s="38"/>
      <c r="F2" s="38"/>
      <c r="G2" s="38"/>
      <c r="H2" s="38"/>
      <c r="I2" s="38"/>
    </row>
    <row r="3" spans="1:19" x14ac:dyDescent="0.2">
      <c r="A3" s="16"/>
      <c r="B3" s="16"/>
      <c r="C3" s="16"/>
      <c r="D3" s="40" t="s">
        <v>14</v>
      </c>
      <c r="E3" s="40"/>
      <c r="F3" s="40"/>
      <c r="G3" s="40"/>
      <c r="H3" s="16"/>
      <c r="I3" s="16"/>
    </row>
    <row r="4" spans="1:19" x14ac:dyDescent="0.2">
      <c r="A4" s="18"/>
      <c r="B4" s="17">
        <v>25000</v>
      </c>
      <c r="C4" s="17">
        <v>50000</v>
      </c>
      <c r="D4" s="17">
        <v>75000</v>
      </c>
      <c r="E4" s="17">
        <v>100000</v>
      </c>
      <c r="F4" s="17">
        <v>125000</v>
      </c>
      <c r="G4" s="17">
        <v>150000</v>
      </c>
      <c r="H4" s="17">
        <v>175000</v>
      </c>
      <c r="I4" s="17">
        <v>200000</v>
      </c>
    </row>
    <row r="5" spans="1:19" x14ac:dyDescent="0.2">
      <c r="A5" s="16" t="s">
        <v>15</v>
      </c>
      <c r="B5" s="23">
        <v>0.86</v>
      </c>
      <c r="C5" s="23">
        <v>0.83</v>
      </c>
      <c r="D5" s="23">
        <v>0.8</v>
      </c>
      <c r="E5" s="23">
        <v>0.78</v>
      </c>
      <c r="F5" s="23">
        <v>0.76</v>
      </c>
      <c r="G5" s="23">
        <v>0.74</v>
      </c>
      <c r="H5" s="23">
        <v>0.76</v>
      </c>
      <c r="I5" s="23">
        <v>0.8</v>
      </c>
    </row>
    <row r="6" spans="1:19" x14ac:dyDescent="0.2">
      <c r="A6" s="16" t="s">
        <v>16</v>
      </c>
      <c r="B6" s="19">
        <v>0.4</v>
      </c>
      <c r="C6" s="19">
        <v>0.4</v>
      </c>
      <c r="D6" s="19">
        <v>0.4</v>
      </c>
      <c r="E6" s="19">
        <v>0.4</v>
      </c>
      <c r="F6" s="19">
        <v>0.4</v>
      </c>
      <c r="G6" s="19">
        <v>0.4</v>
      </c>
      <c r="H6" s="19">
        <v>0.4</v>
      </c>
      <c r="I6" s="19">
        <v>0.4</v>
      </c>
    </row>
    <row r="7" spans="1:19" x14ac:dyDescent="0.2">
      <c r="A7" s="16" t="s">
        <v>17</v>
      </c>
      <c r="B7" s="16">
        <v>4.2000000000000003E-2</v>
      </c>
      <c r="C7" s="19">
        <v>0.04</v>
      </c>
      <c r="D7" s="19">
        <v>0.04</v>
      </c>
      <c r="E7" s="19">
        <v>0.04</v>
      </c>
      <c r="F7" s="16">
        <v>3.7999999999999999E-2</v>
      </c>
      <c r="G7" s="16">
        <v>3.7999999999999999E-2</v>
      </c>
      <c r="H7" s="16">
        <v>3.7999999999999999E-2</v>
      </c>
      <c r="I7" s="22">
        <v>0.04</v>
      </c>
    </row>
    <row r="8" spans="1:19" x14ac:dyDescent="0.2">
      <c r="A8" s="16" t="s">
        <v>18</v>
      </c>
      <c r="B8" s="16"/>
      <c r="C8" s="16"/>
      <c r="D8" s="16"/>
      <c r="E8" s="16"/>
      <c r="F8" s="16"/>
      <c r="G8" s="16"/>
      <c r="H8" s="16"/>
      <c r="I8" s="16"/>
    </row>
    <row r="9" spans="1:19" x14ac:dyDescent="0.2">
      <c r="A9" s="20" t="s">
        <v>19</v>
      </c>
      <c r="B9" s="16">
        <v>0.19800000000000001</v>
      </c>
      <c r="C9" s="19">
        <v>0.14000000000000001</v>
      </c>
      <c r="D9" s="19">
        <v>0.12</v>
      </c>
      <c r="E9" s="19">
        <v>0.112</v>
      </c>
      <c r="F9" s="19">
        <v>0.1</v>
      </c>
      <c r="G9" s="19">
        <v>0.1</v>
      </c>
      <c r="H9" s="19">
        <v>0.1</v>
      </c>
      <c r="I9" s="19">
        <v>0.1</v>
      </c>
    </row>
    <row r="10" spans="1:19" x14ac:dyDescent="0.2">
      <c r="A10" s="20" t="s">
        <v>20</v>
      </c>
      <c r="B10" s="19">
        <v>2.4</v>
      </c>
      <c r="C10" s="19">
        <v>1.2</v>
      </c>
      <c r="D10" s="19">
        <v>0.8</v>
      </c>
      <c r="E10" s="19">
        <v>0.6</v>
      </c>
      <c r="F10" s="19">
        <v>0.48</v>
      </c>
      <c r="G10" s="19">
        <v>0.4</v>
      </c>
      <c r="H10" s="19">
        <v>0.34300000000000003</v>
      </c>
      <c r="I10" s="19">
        <v>0.3</v>
      </c>
    </row>
    <row r="11" spans="1:19" x14ac:dyDescent="0.2">
      <c r="A11" s="16" t="s">
        <v>21</v>
      </c>
      <c r="B11" s="31">
        <f>$K$11*B5</f>
        <v>0.30099999999999999</v>
      </c>
      <c r="C11" s="31">
        <f t="shared" ref="C11:I11" si="0">$K$11*C5</f>
        <v>0.29049999999999998</v>
      </c>
      <c r="D11" s="31">
        <f t="shared" si="0"/>
        <v>0.27999999999999997</v>
      </c>
      <c r="E11" s="31">
        <f t="shared" si="0"/>
        <v>0.27299999999999996</v>
      </c>
      <c r="F11" s="31">
        <f t="shared" si="0"/>
        <v>0.26599999999999996</v>
      </c>
      <c r="G11" s="31">
        <f t="shared" si="0"/>
        <v>0.25900000000000001</v>
      </c>
      <c r="H11" s="31">
        <f t="shared" si="0"/>
        <v>0.26599999999999996</v>
      </c>
      <c r="I11" s="31">
        <f t="shared" si="0"/>
        <v>0.27999999999999997</v>
      </c>
      <c r="K11" s="30">
        <v>0.35</v>
      </c>
      <c r="L11" s="21"/>
      <c r="M11" s="21"/>
      <c r="N11" s="21"/>
      <c r="O11" s="21"/>
      <c r="P11" s="21"/>
      <c r="Q11" s="21"/>
      <c r="R11" s="21"/>
      <c r="S11" s="21"/>
    </row>
    <row r="12" spans="1:19" x14ac:dyDescent="0.2">
      <c r="A12" s="16" t="s">
        <v>22</v>
      </c>
      <c r="B12" s="25">
        <f>SUM(B5:B11)</f>
        <v>4.2009999999999996</v>
      </c>
      <c r="C12" s="25">
        <f t="shared" ref="C12:I12" si="1">SUM(C5:C11)</f>
        <v>2.9005000000000001</v>
      </c>
      <c r="D12" s="25">
        <f t="shared" si="1"/>
        <v>2.44</v>
      </c>
      <c r="E12" s="25">
        <f t="shared" si="1"/>
        <v>2.2050000000000005</v>
      </c>
      <c r="F12" s="25">
        <f t="shared" si="1"/>
        <v>2.044</v>
      </c>
      <c r="G12" s="25">
        <f t="shared" si="1"/>
        <v>1.9370000000000003</v>
      </c>
      <c r="H12" s="25">
        <f t="shared" si="1"/>
        <v>1.9070000000000003</v>
      </c>
      <c r="I12" s="25">
        <f t="shared" si="1"/>
        <v>1.9200000000000004</v>
      </c>
      <c r="L12" s="25"/>
      <c r="M12" s="25"/>
      <c r="N12" s="25"/>
      <c r="O12" s="25"/>
      <c r="P12" s="25"/>
      <c r="Q12" s="25"/>
      <c r="R12" s="25"/>
      <c r="S12" s="25"/>
    </row>
    <row r="13" spans="1:19" x14ac:dyDescent="0.2">
      <c r="A13" s="16" t="s">
        <v>23</v>
      </c>
      <c r="B13" s="16"/>
      <c r="C13" s="16"/>
      <c r="D13" s="16"/>
      <c r="E13" s="16"/>
      <c r="F13" s="16"/>
      <c r="G13" s="16"/>
      <c r="H13" s="16"/>
      <c r="I13" s="16"/>
    </row>
    <row r="14" spans="1:19" x14ac:dyDescent="0.2">
      <c r="A14" s="20" t="s">
        <v>24</v>
      </c>
      <c r="B14" s="26">
        <f>$K$14*B12</f>
        <v>2.7306499999999998</v>
      </c>
      <c r="C14" s="26">
        <f t="shared" ref="C14:I14" si="2">$K$14*C12</f>
        <v>1.8853250000000001</v>
      </c>
      <c r="D14" s="26">
        <f t="shared" si="2"/>
        <v>1.5860000000000001</v>
      </c>
      <c r="E14" s="26">
        <f t="shared" si="2"/>
        <v>1.4332500000000004</v>
      </c>
      <c r="F14" s="26">
        <f t="shared" si="2"/>
        <v>1.3286</v>
      </c>
      <c r="G14" s="26">
        <f t="shared" si="2"/>
        <v>1.2590500000000002</v>
      </c>
      <c r="H14" s="26">
        <f t="shared" si="2"/>
        <v>1.2395500000000002</v>
      </c>
      <c r="I14" s="26">
        <f t="shared" si="2"/>
        <v>1.2480000000000002</v>
      </c>
      <c r="K14" s="30">
        <v>0.65</v>
      </c>
      <c r="L14" s="29"/>
      <c r="M14" s="29"/>
      <c r="N14" s="29"/>
      <c r="O14" s="29"/>
      <c r="P14" s="29"/>
      <c r="Q14" s="29"/>
      <c r="R14" s="29"/>
      <c r="S14" s="29"/>
    </row>
    <row r="15" spans="1:19" x14ac:dyDescent="0.2">
      <c r="A15" s="18" t="s">
        <v>25</v>
      </c>
      <c r="B15" s="24">
        <f>SUM(B12:B14)</f>
        <v>6.9316499999999994</v>
      </c>
      <c r="C15" s="24">
        <f t="shared" ref="C15:I15" si="3">SUM(C12:C14)</f>
        <v>4.785825</v>
      </c>
      <c r="D15" s="24">
        <f t="shared" si="3"/>
        <v>4.0259999999999998</v>
      </c>
      <c r="E15" s="24">
        <f t="shared" si="3"/>
        <v>3.6382500000000011</v>
      </c>
      <c r="F15" s="24">
        <f t="shared" si="3"/>
        <v>3.3726000000000003</v>
      </c>
      <c r="G15" s="24">
        <f t="shared" si="3"/>
        <v>3.1960500000000005</v>
      </c>
      <c r="H15" s="24">
        <f t="shared" si="3"/>
        <v>3.1465500000000004</v>
      </c>
      <c r="I15" s="24">
        <f t="shared" si="3"/>
        <v>3.1680000000000006</v>
      </c>
    </row>
    <row r="16" spans="1:19" x14ac:dyDescent="0.2">
      <c r="A16" s="39"/>
      <c r="B16" s="39"/>
      <c r="C16" s="39"/>
      <c r="D16" s="39"/>
      <c r="E16" s="39"/>
      <c r="F16" s="39"/>
      <c r="G16" s="39"/>
      <c r="H16" s="39"/>
      <c r="I16" s="39"/>
    </row>
    <row r="17" spans="1:9" x14ac:dyDescent="0.2">
      <c r="A17" s="34" t="s">
        <v>26</v>
      </c>
      <c r="B17" s="34"/>
      <c r="C17" s="34"/>
      <c r="D17" s="34"/>
      <c r="E17" s="34"/>
      <c r="F17" s="34"/>
      <c r="G17" s="34"/>
      <c r="H17" s="34"/>
      <c r="I17" s="34"/>
    </row>
    <row r="18" spans="1:9" x14ac:dyDescent="0.2">
      <c r="A18" s="34" t="s">
        <v>27</v>
      </c>
      <c r="B18" s="34"/>
      <c r="C18" s="34"/>
      <c r="D18" s="34"/>
      <c r="E18" s="34"/>
      <c r="F18" s="34"/>
      <c r="G18" s="34"/>
      <c r="H18" s="34"/>
      <c r="I18" s="34"/>
    </row>
    <row r="19" spans="1:9" x14ac:dyDescent="0.2">
      <c r="A19" s="34" t="s">
        <v>33</v>
      </c>
      <c r="B19" s="34"/>
      <c r="C19" s="34"/>
      <c r="D19" s="34"/>
      <c r="E19" s="34"/>
      <c r="F19" s="34"/>
      <c r="G19" s="34"/>
      <c r="H19" s="34"/>
      <c r="I19" s="34"/>
    </row>
    <row r="20" spans="1:9" x14ac:dyDescent="0.2">
      <c r="A20" s="34" t="s">
        <v>28</v>
      </c>
      <c r="B20" s="34"/>
      <c r="C20" s="34"/>
      <c r="D20" s="34"/>
      <c r="E20" s="34"/>
      <c r="F20" s="34"/>
      <c r="G20" s="34"/>
      <c r="H20" s="34"/>
      <c r="I20" s="34"/>
    </row>
  </sheetData>
  <mergeCells count="8">
    <mergeCell ref="A19:I19"/>
    <mergeCell ref="A20:I20"/>
    <mergeCell ref="D3:G3"/>
    <mergeCell ref="A1:I1"/>
    <mergeCell ref="A17:I17"/>
    <mergeCell ref="A18:I18"/>
    <mergeCell ref="A16:I16"/>
    <mergeCell ref="A2:I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Copyright</vt:lpstr>
      <vt:lpstr>Exhibit 1</vt:lpstr>
      <vt:lpstr>Exhibit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Sweet, Carol</dc:creator>
  <cp:lastModifiedBy>John Horn</cp:lastModifiedBy>
  <cp:lastPrinted>2010-12-29T18:07:34Z</cp:lastPrinted>
  <dcterms:created xsi:type="dcterms:W3CDTF">2010-12-15T11:27:55Z</dcterms:created>
  <dcterms:modified xsi:type="dcterms:W3CDTF">2014-08-07T16:09:40Z</dcterms:modified>
</cp:coreProperties>
</file>