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8"/>
  <workbookPr/>
  <mc:AlternateContent xmlns:mc="http://schemas.openxmlformats.org/markup-compatibility/2006">
    <mc:Choice Requires="x15">
      <x15ac:absPath xmlns:x15ac="http://schemas.microsoft.com/office/spreadsheetml/2010/11/ac" url="/Users/tgormley/Documents/Work/Wash. U/EMBA/Growth and Sustainability/Practice Problems/"/>
    </mc:Choice>
  </mc:AlternateContent>
  <xr:revisionPtr revIDLastSave="0" documentId="13_ncr:1_{37F56C7F-E9B1-064C-B069-ED9304665F34}" xr6:coauthVersionLast="45" xr6:coauthVersionMax="45" xr10:uidLastSave="{00000000-0000-0000-0000-000000000000}"/>
  <bookViews>
    <workbookView xWindow="4900" yWindow="3520" windowWidth="30440" windowHeight="25880" tabRatio="500" xr2:uid="{00000000-000D-0000-FFFF-FFFF00000000}"/>
  </bookViews>
  <sheets>
    <sheet name="Forecast Drivers" sheetId="1" r:id="rId1"/>
    <sheet name="Financial Statements" sheetId="2" r:id="rId2"/>
    <sheet name="Plant and Equipment Schedule" sheetId="3" r:id="rId3"/>
    <sheet name="FCF Schedule" sheetId="4" r:id="rId4"/>
    <sheet name="Reasonableness checks" sheetId="5" r:id="rId5"/>
  </sheet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3" i="5" l="1"/>
  <c r="B5" i="5"/>
  <c r="C7" i="2"/>
  <c r="C22" i="2"/>
  <c r="D7" i="2"/>
  <c r="B6" i="2"/>
  <c r="B8" i="2"/>
  <c r="C3" i="2"/>
  <c r="C4" i="2"/>
  <c r="B5" i="3"/>
  <c r="C3" i="3"/>
  <c r="C4" i="3"/>
  <c r="C13" i="5"/>
  <c r="D4" i="3"/>
  <c r="D47" i="2"/>
  <c r="D48" i="2"/>
  <c r="E4" i="3"/>
  <c r="E9" i="4"/>
  <c r="E10" i="4"/>
  <c r="F4" i="3"/>
  <c r="F9" i="4"/>
  <c r="F10" i="4"/>
  <c r="F47" i="2"/>
  <c r="F48" i="2"/>
  <c r="C17" i="2"/>
  <c r="C43" i="2"/>
  <c r="C13" i="4"/>
  <c r="B13" i="4"/>
  <c r="B15" i="4"/>
  <c r="B5" i="4"/>
  <c r="B9" i="4"/>
  <c r="B10" i="4"/>
  <c r="B9" i="3"/>
  <c r="C7" i="3"/>
  <c r="B11" i="3"/>
  <c r="B42" i="2"/>
  <c r="B48" i="2"/>
  <c r="B54" i="2"/>
  <c r="B25" i="2"/>
  <c r="B18" i="2"/>
  <c r="B20" i="2"/>
  <c r="B4" i="5"/>
  <c r="E47" i="2"/>
  <c r="E48" i="2"/>
  <c r="C5" i="3"/>
  <c r="C9" i="4"/>
  <c r="C10" i="4"/>
  <c r="D9" i="4"/>
  <c r="D10" i="4"/>
  <c r="D3" i="3"/>
  <c r="B9" i="2"/>
  <c r="B10" i="2"/>
  <c r="D22" i="2"/>
  <c r="C8" i="3"/>
  <c r="D3" i="2"/>
  <c r="C47" i="2"/>
  <c r="C48" i="2"/>
  <c r="C16" i="2"/>
  <c r="B4" i="4"/>
  <c r="B6" i="4"/>
  <c r="B17" i="4"/>
  <c r="C5" i="2"/>
  <c r="C9" i="3"/>
  <c r="D5" i="3"/>
  <c r="D8" i="3"/>
  <c r="D5" i="2"/>
  <c r="D16" i="2"/>
  <c r="D4" i="2"/>
  <c r="D13" i="5"/>
  <c r="D6" i="2"/>
  <c r="E3" i="2"/>
  <c r="D17" i="2"/>
  <c r="D43" i="2"/>
  <c r="D13" i="4"/>
  <c r="E7" i="2"/>
  <c r="B32" i="2"/>
  <c r="B34" i="2"/>
  <c r="C31" i="2"/>
  <c r="B9" i="5"/>
  <c r="B8" i="5"/>
  <c r="B41" i="2"/>
  <c r="B44" i="2"/>
  <c r="B56" i="2"/>
  <c r="B10" i="5"/>
  <c r="C16" i="5"/>
  <c r="C18" i="2"/>
  <c r="C56" i="2"/>
  <c r="D8" i="2"/>
  <c r="D4" i="4"/>
  <c r="E22" i="2"/>
  <c r="E4" i="2"/>
  <c r="E13" i="5"/>
  <c r="E17" i="2"/>
  <c r="E43" i="2"/>
  <c r="E13" i="4"/>
  <c r="F3" i="2"/>
  <c r="E16" i="2"/>
  <c r="D18" i="2"/>
  <c r="D56" i="2"/>
  <c r="C14" i="4"/>
  <c r="D5" i="4"/>
  <c r="D42" i="2"/>
  <c r="E3" i="3"/>
  <c r="D7" i="3"/>
  <c r="D9" i="3"/>
  <c r="E7" i="3"/>
  <c r="C11" i="3"/>
  <c r="C19" i="2"/>
  <c r="C5" i="5"/>
  <c r="C6" i="2"/>
  <c r="C42" i="2"/>
  <c r="C5" i="4"/>
  <c r="F4" i="2"/>
  <c r="F17" i="2"/>
  <c r="F43" i="2"/>
  <c r="F13" i="4"/>
  <c r="F13" i="5"/>
  <c r="F16" i="2"/>
  <c r="E56" i="2"/>
  <c r="E18" i="2"/>
  <c r="F7" i="2"/>
  <c r="F22" i="2"/>
  <c r="E8" i="3"/>
  <c r="E5" i="2"/>
  <c r="E5" i="3"/>
  <c r="D6" i="4"/>
  <c r="C20" i="2"/>
  <c r="C4" i="5"/>
  <c r="D11" i="3"/>
  <c r="D19" i="2"/>
  <c r="D5" i="5"/>
  <c r="C15" i="4"/>
  <c r="C8" i="2"/>
  <c r="C4" i="4"/>
  <c r="C6" i="4"/>
  <c r="D14" i="4"/>
  <c r="D9" i="2"/>
  <c r="D10" i="2"/>
  <c r="D32" i="2"/>
  <c r="D8" i="5"/>
  <c r="D41" i="2"/>
  <c r="D44" i="2"/>
  <c r="D54" i="2"/>
  <c r="F56" i="2"/>
  <c r="F18" i="2"/>
  <c r="C9" i="2"/>
  <c r="C10" i="2"/>
  <c r="E14" i="4"/>
  <c r="F3" i="3"/>
  <c r="E42" i="2"/>
  <c r="E5" i="4"/>
  <c r="E6" i="2"/>
  <c r="E9" i="3"/>
  <c r="F7" i="3"/>
  <c r="D15" i="4"/>
  <c r="D17" i="4"/>
  <c r="C17" i="4"/>
  <c r="D20" i="2"/>
  <c r="D4" i="5"/>
  <c r="D9" i="5"/>
  <c r="E16" i="5"/>
  <c r="E15" i="4"/>
  <c r="D52" i="2"/>
  <c r="D53" i="2"/>
  <c r="C32" i="2"/>
  <c r="C9" i="5"/>
  <c r="C41" i="2"/>
  <c r="C44" i="2"/>
  <c r="C54" i="2"/>
  <c r="C8" i="5"/>
  <c r="E4" i="4"/>
  <c r="E6" i="4"/>
  <c r="E8" i="2"/>
  <c r="F14" i="4"/>
  <c r="E11" i="3"/>
  <c r="E19" i="2"/>
  <c r="F5" i="3"/>
  <c r="F8" i="3"/>
  <c r="F5" i="2"/>
  <c r="D16" i="5"/>
  <c r="F5" i="4"/>
  <c r="F42" i="2"/>
  <c r="F6" i="2"/>
  <c r="F9" i="3"/>
  <c r="E5" i="5"/>
  <c r="E20" i="2"/>
  <c r="E4" i="5"/>
  <c r="F11" i="3"/>
  <c r="F19" i="2"/>
  <c r="D33" i="2"/>
  <c r="F15" i="4"/>
  <c r="E17" i="4"/>
  <c r="C53" i="2"/>
  <c r="C52" i="2"/>
  <c r="E9" i="2"/>
  <c r="E10" i="2"/>
  <c r="E41" i="2"/>
  <c r="E44" i="2"/>
  <c r="E54" i="2"/>
  <c r="E9" i="5"/>
  <c r="E8" i="5"/>
  <c r="E32" i="2"/>
  <c r="F5" i="5"/>
  <c r="F20" i="2"/>
  <c r="F4" i="5"/>
  <c r="C33" i="2"/>
  <c r="C23" i="2"/>
  <c r="F8" i="2"/>
  <c r="F4" i="4"/>
  <c r="F6" i="4"/>
  <c r="F17" i="4"/>
  <c r="F16" i="5"/>
  <c r="D23" i="2"/>
  <c r="C10" i="5"/>
  <c r="C24" i="2"/>
  <c r="D24" i="2"/>
  <c r="C34" i="2"/>
  <c r="D31" i="2"/>
  <c r="D34" i="2"/>
  <c r="E31" i="2"/>
  <c r="F9" i="2"/>
  <c r="F10" i="2"/>
  <c r="E53" i="2"/>
  <c r="E52" i="2"/>
  <c r="E33" i="2"/>
  <c r="E34" i="2"/>
  <c r="F31" i="2"/>
  <c r="C25" i="2"/>
  <c r="F8" i="5"/>
  <c r="F32" i="2"/>
  <c r="F9" i="5"/>
  <c r="F41" i="2"/>
  <c r="F44" i="2"/>
  <c r="F54" i="2"/>
  <c r="E24" i="2"/>
  <c r="E23" i="2"/>
  <c r="D25" i="2"/>
  <c r="D10" i="5"/>
  <c r="F52" i="2"/>
  <c r="F53" i="2"/>
  <c r="F23" i="2"/>
  <c r="E25" i="2"/>
  <c r="E10" i="5"/>
  <c r="F10" i="5"/>
  <c r="F33" i="2"/>
  <c r="F24" i="2"/>
  <c r="F25" i="2"/>
  <c r="F34" i="2"/>
</calcChain>
</file>

<file path=xl/sharedStrings.xml><?xml version="1.0" encoding="utf-8"?>
<sst xmlns="http://schemas.openxmlformats.org/spreadsheetml/2006/main" count="130" uniqueCount="83">
  <si>
    <t>Operating Drivers</t>
  </si>
  <si>
    <t>Revenue growth rate</t>
  </si>
  <si>
    <t>Cost of goods sold (% of revenues)</t>
  </si>
  <si>
    <t>Depreciation (# of years, straight-line basis)</t>
  </si>
  <si>
    <t>Constant income tax rate</t>
  </si>
  <si>
    <t>Accounts receivable (% of revenues)</t>
  </si>
  <si>
    <t>Capital expenditures</t>
  </si>
  <si>
    <t>Actual</t>
  </si>
  <si>
    <t>Year 0</t>
  </si>
  <si>
    <t>Year 1</t>
  </si>
  <si>
    <t>Year 2</t>
  </si>
  <si>
    <t>Year 3</t>
  </si>
  <si>
    <t>Year 4</t>
  </si>
  <si>
    <t>Forecast</t>
  </si>
  <si>
    <t>Income Statement</t>
  </si>
  <si>
    <t>Revenue</t>
  </si>
  <si>
    <t>Depreciation</t>
  </si>
  <si>
    <t>Earnings before interest and taxes (EBIT)</t>
  </si>
  <si>
    <t>Cost of goods sold (COGS)</t>
  </si>
  <si>
    <t>Interest expense</t>
  </si>
  <si>
    <t>Earnings before taxes (EBT)</t>
  </si>
  <si>
    <t>Income tax expense</t>
  </si>
  <si>
    <t>Net Income</t>
  </si>
  <si>
    <t>Balance Sheet</t>
  </si>
  <si>
    <t>Cash</t>
  </si>
  <si>
    <t>Accounts receivable</t>
  </si>
  <si>
    <t>Total current assets</t>
  </si>
  <si>
    <t>Property, plant, and equipment (net)</t>
  </si>
  <si>
    <t>Total assets</t>
  </si>
  <si>
    <t>Debt</t>
  </si>
  <si>
    <t>Capital stock</t>
  </si>
  <si>
    <t>Retained earnings</t>
  </si>
  <si>
    <t>Liabilities and shareholders' equity</t>
  </si>
  <si>
    <t>Statement of Retained Earnings</t>
  </si>
  <si>
    <t>Retained earnings -- Beginning of year</t>
  </si>
  <si>
    <t>Net income</t>
  </si>
  <si>
    <t>Common equity dividends</t>
  </si>
  <si>
    <t>Retained earnings -- End of year</t>
  </si>
  <si>
    <t>Cash Flow Statement</t>
  </si>
  <si>
    <t>Cash flows from operations</t>
  </si>
  <si>
    <t>+ Depreciation expense</t>
  </si>
  <si>
    <t>- Change in accounts receivable</t>
  </si>
  <si>
    <t>Cash flow from operations</t>
  </si>
  <si>
    <t>Investing activities</t>
  </si>
  <si>
    <t>- Capital expenditures</t>
  </si>
  <si>
    <t>Financing activities</t>
  </si>
  <si>
    <t>+ Change in debt financing</t>
  </si>
  <si>
    <t>+ Change in common equity financing</t>
  </si>
  <si>
    <t>- Common equity dividends paid</t>
  </si>
  <si>
    <t>Cash flows from financing activities</t>
  </si>
  <si>
    <t>Cash flow from investing actitivies</t>
  </si>
  <si>
    <t>Beginning PPEQ -- gross</t>
  </si>
  <si>
    <t>Ending PPEQ -- gross</t>
  </si>
  <si>
    <t>Beginning accumulated depreciation</t>
  </si>
  <si>
    <t>Depreciation expense</t>
  </si>
  <si>
    <t>Ending accumulated depreciation</t>
  </si>
  <si>
    <t>Net property, plant, and equipment</t>
  </si>
  <si>
    <t>Plant and Equipment (PPEQ) Schedule</t>
  </si>
  <si>
    <t>Change in cash balance</t>
  </si>
  <si>
    <t>Operating cash flows</t>
  </si>
  <si>
    <t>EBIT * (1 - T)</t>
  </si>
  <si>
    <t>Net capital spending</t>
  </si>
  <si>
    <t>Change in net working capital</t>
  </si>
  <si>
    <t>+ Change in accounts receivable</t>
  </si>
  <si>
    <t>FCF (OCF - NCS - Change in NWC)</t>
  </si>
  <si>
    <t>FCF Schedule</t>
  </si>
  <si>
    <t>Cost of debt</t>
  </si>
  <si>
    <t>Black cells = assumptions</t>
  </si>
  <si>
    <t>Blue cells = equations</t>
  </si>
  <si>
    <t>Projected financial ratios</t>
  </si>
  <si>
    <t>Asset turnover ratio</t>
  </si>
  <si>
    <t>Fixed asset turnover ratio</t>
  </si>
  <si>
    <t>Asset use or efficiency ratios</t>
  </si>
  <si>
    <t>Profitability measures</t>
  </si>
  <si>
    <t>Profit margin</t>
  </si>
  <si>
    <t>Return on assets</t>
  </si>
  <si>
    <t>Return on equity</t>
  </si>
  <si>
    <t>Expense ratios</t>
  </si>
  <si>
    <t>Capex to revenues ratio</t>
  </si>
  <si>
    <t>Growth rates and miscellaneous</t>
  </si>
  <si>
    <t>Growth rate of FCF (%)</t>
  </si>
  <si>
    <t>Cash (% of revenues)</t>
  </si>
  <si>
    <t>+ Change in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</si>
</sst>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4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1" fillId="2" borderId="2" xfId="0" applyFont="1" applyFill="1" applyBorder="1"/>
    <xf numFmtId="0" fontId="0" fillId="2" borderId="2" xfId="0" applyFill="1" applyBorder="1" applyAlignment="1">
      <alignment horizontal="center"/>
    </xf>
    <xf numFmtId="0" fontId="1" fillId="2" borderId="3" xfId="0" applyFont="1" applyFill="1" applyBorder="1"/>
    <xf numFmtId="0" fontId="0" fillId="2" borderId="3" xfId="0" applyFill="1" applyBorder="1" applyAlignment="1">
      <alignment horizontal="center"/>
    </xf>
    <xf numFmtId="0" fontId="0" fillId="0" borderId="0" xfId="0" applyFont="1"/>
    <xf numFmtId="0" fontId="0" fillId="0" borderId="1" xfId="0" applyFont="1" applyBorder="1"/>
    <xf numFmtId="0" fontId="0" fillId="0" borderId="0" xfId="0" quotePrefix="1" applyFont="1"/>
    <xf numFmtId="0" fontId="0" fillId="0" borderId="1" xfId="0" quotePrefix="1" applyFont="1" applyBorder="1"/>
    <xf numFmtId="0" fontId="0" fillId="0" borderId="0" xfId="0" applyFont="1" applyBorder="1"/>
    <xf numFmtId="0" fontId="3" fillId="0" borderId="0" xfId="0" applyFont="1" applyBorder="1"/>
    <xf numFmtId="0" fontId="0" fillId="0" borderId="0" xfId="0" quotePrefix="1" applyFont="1" applyBorder="1"/>
    <xf numFmtId="1" fontId="2" fillId="0" borderId="0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0" fillId="0" borderId="1" xfId="0" applyNumberFormat="1" applyFon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0" xfId="0" applyNumberFormat="1"/>
    <xf numFmtId="1" fontId="0" fillId="2" borderId="3" xfId="0" applyNumberFormat="1" applyFill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1" fontId="0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0" fillId="0" borderId="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2" fillId="0" borderId="0" xfId="0" applyFont="1"/>
    <xf numFmtId="2" fontId="2" fillId="0" borderId="0" xfId="0" applyNumberFormat="1" applyFont="1" applyBorder="1" applyAlignment="1">
      <alignment horizontal="center"/>
    </xf>
    <xf numFmtId="0" fontId="3" fillId="0" borderId="0" xfId="0" quotePrefix="1" applyFont="1"/>
    <xf numFmtId="1" fontId="1" fillId="0" borderId="0" xfId="0" applyNumberFormat="1" applyFont="1" applyFill="1" applyBorder="1" applyAlignment="1">
      <alignment horizontal="center"/>
    </xf>
    <xf numFmtId="0" fontId="0" fillId="0" borderId="0" xfId="0" applyFont="1" applyFill="1" applyBorder="1"/>
    <xf numFmtId="1" fontId="2" fillId="0" borderId="0" xfId="0" applyNumberFormat="1" applyFont="1" applyFill="1" applyBorder="1" applyAlignment="1">
      <alignment horizontal="center"/>
    </xf>
    <xf numFmtId="0" fontId="0" fillId="0" borderId="0" xfId="0" quotePrefix="1" applyFont="1" applyFill="1" applyBorder="1"/>
    <xf numFmtId="1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1"/>
  <sheetViews>
    <sheetView tabSelected="1" workbookViewId="0">
      <selection activeCell="A9" sqref="A9"/>
    </sheetView>
  </sheetViews>
  <sheetFormatPr defaultColWidth="10.8515625" defaultRowHeight="15" x14ac:dyDescent="0.2"/>
  <cols>
    <col min="1" max="1" width="38.34765625" customWidth="1"/>
    <col min="2" max="6" width="10.8515625" style="2"/>
  </cols>
  <sheetData>
    <row r="2" spans="1:6" x14ac:dyDescent="0.2">
      <c r="B2" s="6" t="s">
        <v>7</v>
      </c>
      <c r="C2" s="49" t="s">
        <v>13</v>
      </c>
      <c r="D2" s="49"/>
      <c r="E2" s="49"/>
      <c r="F2" s="49"/>
    </row>
    <row r="3" spans="1:6" x14ac:dyDescent="0.2">
      <c r="A3" s="1" t="s">
        <v>0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 spans="1:6" x14ac:dyDescent="0.2">
      <c r="A4" t="s">
        <v>1</v>
      </c>
      <c r="C4" s="3">
        <v>0.4</v>
      </c>
      <c r="D4" s="3">
        <v>0.3</v>
      </c>
      <c r="E4" s="3">
        <v>0.2</v>
      </c>
      <c r="F4" s="3">
        <v>0.1</v>
      </c>
    </row>
    <row r="5" spans="1:6" x14ac:dyDescent="0.2">
      <c r="A5" t="s">
        <v>2</v>
      </c>
      <c r="B5" s="3">
        <v>0.6</v>
      </c>
      <c r="C5" s="3">
        <v>0.6</v>
      </c>
      <c r="D5" s="3">
        <v>0.6</v>
      </c>
      <c r="E5" s="3">
        <v>0.6</v>
      </c>
      <c r="F5" s="3">
        <v>0.6</v>
      </c>
    </row>
    <row r="6" spans="1:6" x14ac:dyDescent="0.2">
      <c r="A6" t="s">
        <v>3</v>
      </c>
      <c r="B6" s="2">
        <v>10</v>
      </c>
      <c r="C6" s="2">
        <v>10</v>
      </c>
      <c r="D6" s="2">
        <v>10</v>
      </c>
      <c r="E6" s="2">
        <v>10</v>
      </c>
      <c r="F6" s="2">
        <v>10</v>
      </c>
    </row>
    <row r="7" spans="1:6" x14ac:dyDescent="0.2">
      <c r="A7" t="s">
        <v>4</v>
      </c>
      <c r="B7" s="3">
        <v>0.3</v>
      </c>
      <c r="C7" s="3">
        <v>0.3</v>
      </c>
      <c r="D7" s="3">
        <v>0.3</v>
      </c>
      <c r="E7" s="3">
        <v>0.3</v>
      </c>
      <c r="F7" s="3">
        <v>0.3</v>
      </c>
    </row>
    <row r="8" spans="1:6" x14ac:dyDescent="0.2">
      <c r="A8" t="s">
        <v>81</v>
      </c>
      <c r="B8" s="3">
        <v>0.1</v>
      </c>
      <c r="C8" s="3">
        <v>0.1</v>
      </c>
      <c r="D8" s="3">
        <v>0.1</v>
      </c>
      <c r="E8" s="3">
        <v>0.1</v>
      </c>
      <c r="F8" s="3">
        <v>0.1</v>
      </c>
    </row>
    <row r="9" spans="1:6" x14ac:dyDescent="0.2">
      <c r="A9" t="s">
        <v>5</v>
      </c>
      <c r="B9" s="3">
        <v>0.2</v>
      </c>
      <c r="C9" s="3">
        <v>0.2</v>
      </c>
      <c r="D9" s="3">
        <v>0.2</v>
      </c>
      <c r="E9" s="3">
        <v>0.2</v>
      </c>
      <c r="F9" s="3">
        <v>0.2</v>
      </c>
    </row>
    <row r="10" spans="1:6" x14ac:dyDescent="0.2">
      <c r="A10" t="s">
        <v>6</v>
      </c>
      <c r="B10" s="4">
        <v>670</v>
      </c>
      <c r="C10" s="4">
        <v>700</v>
      </c>
      <c r="D10" s="4">
        <v>610</v>
      </c>
      <c r="E10" s="4">
        <v>360</v>
      </c>
      <c r="F10" s="4">
        <v>200</v>
      </c>
    </row>
    <row r="11" spans="1:6" x14ac:dyDescent="0.2">
      <c r="A11" t="s">
        <v>66</v>
      </c>
      <c r="B11" s="3">
        <v>0.1</v>
      </c>
      <c r="C11" s="3">
        <v>0.1</v>
      </c>
      <c r="D11" s="3">
        <v>0.1</v>
      </c>
      <c r="E11" s="3">
        <v>0.1</v>
      </c>
      <c r="F11" s="3">
        <v>0.1</v>
      </c>
    </row>
  </sheetData>
  <mergeCells count="1">
    <mergeCell ref="C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0"/>
  <sheetViews>
    <sheetView workbookViewId="0">
      <selection activeCell="C54" sqref="C54"/>
    </sheetView>
  </sheetViews>
  <sheetFormatPr defaultColWidth="10.8515625" defaultRowHeight="15" x14ac:dyDescent="0.2"/>
  <cols>
    <col min="1" max="1" width="38.1015625" customWidth="1"/>
    <col min="2" max="6" width="10.8515625" style="2"/>
  </cols>
  <sheetData>
    <row r="1" spans="1:6" ht="15.75" thickBot="1" x14ac:dyDescent="0.25">
      <c r="A1" s="13" t="s">
        <v>14</v>
      </c>
      <c r="B1" s="14"/>
      <c r="C1" s="14"/>
      <c r="D1" s="14"/>
      <c r="E1" s="14"/>
      <c r="F1" s="14"/>
    </row>
    <row r="2" spans="1:6" ht="15.75" thickTop="1" x14ac:dyDescent="0.2"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</row>
    <row r="3" spans="1:6" ht="24" customHeight="1" x14ac:dyDescent="0.2">
      <c r="A3" s="17" t="s">
        <v>15</v>
      </c>
      <c r="B3" s="35">
        <v>1000</v>
      </c>
      <c r="C3" s="33">
        <f>B3*(1+'Forecast Drivers'!C4)</f>
        <v>1400</v>
      </c>
      <c r="D3" s="33">
        <f>C3*(1+'Forecast Drivers'!D4)</f>
        <v>1820</v>
      </c>
      <c r="E3" s="33">
        <f>D3*(1+'Forecast Drivers'!E4)</f>
        <v>2184</v>
      </c>
      <c r="F3" s="33">
        <f>E3*(1+'Forecast Drivers'!F4)</f>
        <v>2402.4</v>
      </c>
    </row>
    <row r="4" spans="1:6" x14ac:dyDescent="0.2">
      <c r="A4" s="17" t="s">
        <v>18</v>
      </c>
      <c r="B4" s="35">
        <v>600</v>
      </c>
      <c r="C4" s="33">
        <f>C3*'Forecast Drivers'!C5</f>
        <v>840</v>
      </c>
      <c r="D4" s="33">
        <f>D3*'Forecast Drivers'!D5</f>
        <v>1092</v>
      </c>
      <c r="E4" s="33">
        <f>E3*'Forecast Drivers'!E5</f>
        <v>1310.3999999999999</v>
      </c>
      <c r="F4" s="33">
        <f>F3*'Forecast Drivers'!F5</f>
        <v>1441.44</v>
      </c>
    </row>
    <row r="5" spans="1:6" x14ac:dyDescent="0.2">
      <c r="A5" s="18" t="s">
        <v>16</v>
      </c>
      <c r="B5" s="36">
        <v>167</v>
      </c>
      <c r="C5" s="25">
        <f>'Plant and Equipment Schedule'!C8</f>
        <v>233.7</v>
      </c>
      <c r="D5" s="25">
        <f>'Plant and Equipment Schedule'!D8</f>
        <v>303.7</v>
      </c>
      <c r="E5" s="25">
        <f>'Plant and Equipment Schedule'!E8</f>
        <v>364.7</v>
      </c>
      <c r="F5" s="25">
        <f>'Plant and Equipment Schedule'!F8</f>
        <v>400.7</v>
      </c>
    </row>
    <row r="6" spans="1:6" x14ac:dyDescent="0.2">
      <c r="A6" s="17" t="s">
        <v>17</v>
      </c>
      <c r="B6" s="33">
        <f>B3-B4-B5</f>
        <v>233</v>
      </c>
      <c r="C6" s="33">
        <f t="shared" ref="C6:F6" si="0">C3-C4-C5</f>
        <v>326.3</v>
      </c>
      <c r="D6" s="33">
        <f t="shared" si="0"/>
        <v>424.3</v>
      </c>
      <c r="E6" s="33">
        <f t="shared" si="0"/>
        <v>508.90000000000015</v>
      </c>
      <c r="F6" s="33">
        <f t="shared" si="0"/>
        <v>560.26</v>
      </c>
    </row>
    <row r="7" spans="1:6" x14ac:dyDescent="0.2">
      <c r="A7" s="18" t="s">
        <v>19</v>
      </c>
      <c r="B7" s="36">
        <v>0</v>
      </c>
      <c r="C7" s="25">
        <f>B22*'Forecast Drivers'!C11</f>
        <v>0</v>
      </c>
      <c r="D7" s="25">
        <f>C22*'Forecast Drivers'!D11</f>
        <v>0</v>
      </c>
      <c r="E7" s="25">
        <f>D22*'Forecast Drivers'!E11</f>
        <v>0</v>
      </c>
      <c r="F7" s="25">
        <f>E22*'Forecast Drivers'!F11</f>
        <v>0</v>
      </c>
    </row>
    <row r="8" spans="1:6" x14ac:dyDescent="0.2">
      <c r="A8" s="17" t="s">
        <v>20</v>
      </c>
      <c r="B8" s="33">
        <f>B6-B7</f>
        <v>233</v>
      </c>
      <c r="C8" s="33">
        <f t="shared" ref="C8:F8" si="1">C6-C7</f>
        <v>326.3</v>
      </c>
      <c r="D8" s="33">
        <f t="shared" si="1"/>
        <v>424.3</v>
      </c>
      <c r="E8" s="33">
        <f t="shared" si="1"/>
        <v>508.90000000000015</v>
      </c>
      <c r="F8" s="33">
        <f t="shared" si="1"/>
        <v>560.26</v>
      </c>
    </row>
    <row r="9" spans="1:6" x14ac:dyDescent="0.2">
      <c r="A9" s="18" t="s">
        <v>21</v>
      </c>
      <c r="B9" s="25">
        <f>B8*'Forecast Drivers'!B7</f>
        <v>69.899999999999991</v>
      </c>
      <c r="C9" s="25">
        <f>C8*'Forecast Drivers'!C7</f>
        <v>97.89</v>
      </c>
      <c r="D9" s="25">
        <f>D8*'Forecast Drivers'!D7</f>
        <v>127.28999999999999</v>
      </c>
      <c r="E9" s="25">
        <f>E8*'Forecast Drivers'!E7</f>
        <v>152.67000000000004</v>
      </c>
      <c r="F9" s="25">
        <f>F8*'Forecast Drivers'!F7</f>
        <v>168.078</v>
      </c>
    </row>
    <row r="10" spans="1:6" x14ac:dyDescent="0.2">
      <c r="A10" s="17" t="s">
        <v>22</v>
      </c>
      <c r="B10" s="33">
        <f>B8-B9</f>
        <v>163.10000000000002</v>
      </c>
      <c r="C10" s="33">
        <f t="shared" ref="C10:F10" si="2">C8-C9</f>
        <v>228.41000000000003</v>
      </c>
      <c r="D10" s="33">
        <f t="shared" si="2"/>
        <v>297.01</v>
      </c>
      <c r="E10" s="33">
        <f t="shared" si="2"/>
        <v>356.23000000000013</v>
      </c>
      <c r="F10" s="33">
        <f t="shared" si="2"/>
        <v>392.18200000000002</v>
      </c>
    </row>
    <row r="11" spans="1:6" ht="9" customHeight="1" thickBot="1" x14ac:dyDescent="0.25">
      <c r="A11" s="8"/>
      <c r="B11" s="28"/>
      <c r="C11" s="28"/>
      <c r="D11" s="28"/>
      <c r="E11" s="28"/>
      <c r="F11" s="28"/>
    </row>
    <row r="12" spans="1:6" ht="15.75" thickTop="1" x14ac:dyDescent="0.2">
      <c r="B12" s="35"/>
      <c r="C12" s="35"/>
      <c r="D12" s="35"/>
      <c r="E12" s="35"/>
      <c r="F12" s="35"/>
    </row>
    <row r="13" spans="1:6" x14ac:dyDescent="0.2">
      <c r="A13" s="12"/>
      <c r="B13" s="26"/>
      <c r="C13" s="26"/>
      <c r="D13" s="26"/>
      <c r="E13" s="26"/>
      <c r="F13" s="26"/>
    </row>
    <row r="14" spans="1:6" ht="15.75" thickBot="1" x14ac:dyDescent="0.25">
      <c r="A14" s="15" t="s">
        <v>23</v>
      </c>
      <c r="B14" s="30"/>
      <c r="C14" s="30"/>
      <c r="D14" s="30"/>
      <c r="E14" s="30"/>
      <c r="F14" s="30"/>
    </row>
    <row r="15" spans="1:6" ht="15.75" thickTop="1" x14ac:dyDescent="0.2">
      <c r="B15" s="37" t="s">
        <v>8</v>
      </c>
      <c r="C15" s="37" t="s">
        <v>9</v>
      </c>
      <c r="D15" s="37" t="s">
        <v>10</v>
      </c>
      <c r="E15" s="37" t="s">
        <v>11</v>
      </c>
      <c r="F15" s="37" t="s">
        <v>12</v>
      </c>
    </row>
    <row r="16" spans="1:6" ht="24.95" customHeight="1" x14ac:dyDescent="0.2">
      <c r="A16" s="17" t="s">
        <v>24</v>
      </c>
      <c r="B16" s="35">
        <v>100</v>
      </c>
      <c r="C16" s="33">
        <f>C3*'Forecast Drivers'!C8</f>
        <v>140</v>
      </c>
      <c r="D16" s="33">
        <f>D3*'Forecast Drivers'!D8</f>
        <v>182</v>
      </c>
      <c r="E16" s="33">
        <f>E3*'Forecast Drivers'!E8</f>
        <v>218.4</v>
      </c>
      <c r="F16" s="33">
        <f>F3*'Forecast Drivers'!F8</f>
        <v>240.24</v>
      </c>
    </row>
    <row r="17" spans="1:6" x14ac:dyDescent="0.2">
      <c r="A17" s="18" t="s">
        <v>25</v>
      </c>
      <c r="B17" s="36">
        <v>200</v>
      </c>
      <c r="C17" s="25">
        <f>C3*'Forecast Drivers'!C9</f>
        <v>280</v>
      </c>
      <c r="D17" s="25">
        <f>D3*'Forecast Drivers'!D9</f>
        <v>364</v>
      </c>
      <c r="E17" s="25">
        <f>E3*'Forecast Drivers'!E9</f>
        <v>436.8</v>
      </c>
      <c r="F17" s="25">
        <f>F3*'Forecast Drivers'!F9</f>
        <v>480.48</v>
      </c>
    </row>
    <row r="18" spans="1:6" x14ac:dyDescent="0.2">
      <c r="A18" s="17" t="s">
        <v>26</v>
      </c>
      <c r="B18" s="24">
        <f>B16+B17</f>
        <v>300</v>
      </c>
      <c r="C18" s="24">
        <f t="shared" ref="C18:F18" si="3">C16+C17</f>
        <v>420</v>
      </c>
      <c r="D18" s="24">
        <f t="shared" si="3"/>
        <v>546</v>
      </c>
      <c r="E18" s="24">
        <f t="shared" si="3"/>
        <v>655.20000000000005</v>
      </c>
      <c r="F18" s="24">
        <f t="shared" si="3"/>
        <v>720.72</v>
      </c>
    </row>
    <row r="19" spans="1:6" x14ac:dyDescent="0.2">
      <c r="A19" s="18" t="s">
        <v>27</v>
      </c>
      <c r="B19" s="36">
        <v>1837</v>
      </c>
      <c r="C19" s="25">
        <f>'Plant and Equipment Schedule'!C11</f>
        <v>2303.3000000000002</v>
      </c>
      <c r="D19" s="25">
        <f>'Plant and Equipment Schedule'!D11</f>
        <v>2609.6</v>
      </c>
      <c r="E19" s="25">
        <f>'Plant and Equipment Schedule'!E11</f>
        <v>2604.8999999999996</v>
      </c>
      <c r="F19" s="25">
        <f>'Plant and Equipment Schedule'!F11</f>
        <v>2404.1999999999998</v>
      </c>
    </row>
    <row r="20" spans="1:6" x14ac:dyDescent="0.2">
      <c r="A20" s="17" t="s">
        <v>28</v>
      </c>
      <c r="B20" s="24">
        <f>B18+B19</f>
        <v>2137</v>
      </c>
      <c r="C20" s="24">
        <f t="shared" ref="C20:F20" si="4">C18+C19</f>
        <v>2723.3</v>
      </c>
      <c r="D20" s="24">
        <f t="shared" si="4"/>
        <v>3155.6</v>
      </c>
      <c r="E20" s="24">
        <f t="shared" si="4"/>
        <v>3260.0999999999995</v>
      </c>
      <c r="F20" s="24">
        <f t="shared" si="4"/>
        <v>3124.92</v>
      </c>
    </row>
    <row r="21" spans="1:6" x14ac:dyDescent="0.2">
      <c r="A21" s="17"/>
      <c r="B21" s="35"/>
      <c r="C21" s="35"/>
      <c r="D21" s="35"/>
      <c r="E21" s="35"/>
      <c r="F21" s="35"/>
    </row>
    <row r="22" spans="1:6" x14ac:dyDescent="0.2">
      <c r="A22" s="17" t="s">
        <v>29</v>
      </c>
      <c r="B22" s="35">
        <v>0</v>
      </c>
      <c r="C22" s="33">
        <f>B22*(1+'Forecast Drivers'!C11)+C51-'Financial Statements'!C7</f>
        <v>0</v>
      </c>
      <c r="D22" s="33">
        <f>C22*(1+'Forecast Drivers'!D11)+D51-'Financial Statements'!D7</f>
        <v>0</v>
      </c>
      <c r="E22" s="33">
        <f>D22*(1+'Forecast Drivers'!E11)+E51-'Financial Statements'!E7</f>
        <v>0</v>
      </c>
      <c r="F22" s="33">
        <f>E22*(1+'Forecast Drivers'!F11)+F51-'Financial Statements'!F7</f>
        <v>0</v>
      </c>
    </row>
    <row r="23" spans="1:6" x14ac:dyDescent="0.2">
      <c r="A23" s="17" t="s">
        <v>30</v>
      </c>
      <c r="B23" s="35">
        <v>100</v>
      </c>
      <c r="C23" s="33">
        <f>B23+C52</f>
        <v>457.89</v>
      </c>
      <c r="D23" s="33">
        <f t="shared" ref="D23:F23" si="5">C23+D52</f>
        <v>593.17999999999995</v>
      </c>
      <c r="E23" s="33">
        <f t="shared" si="5"/>
        <v>593.17999999999995</v>
      </c>
      <c r="F23" s="33">
        <f t="shared" si="5"/>
        <v>593.17999999999995</v>
      </c>
    </row>
    <row r="24" spans="1:6" x14ac:dyDescent="0.2">
      <c r="A24" s="18" t="s">
        <v>31</v>
      </c>
      <c r="B24" s="36">
        <v>2037</v>
      </c>
      <c r="C24" s="25">
        <f>B24+(C32-C33)</f>
        <v>2265.41</v>
      </c>
      <c r="D24" s="25">
        <f t="shared" ref="D24:F24" si="6">C24+(D32-D33)</f>
        <v>2562.42</v>
      </c>
      <c r="E24" s="25">
        <f t="shared" si="6"/>
        <v>2666.92</v>
      </c>
      <c r="F24" s="25">
        <f t="shared" si="6"/>
        <v>2531.7400000000002</v>
      </c>
    </row>
    <row r="25" spans="1:6" x14ac:dyDescent="0.2">
      <c r="A25" s="17" t="s">
        <v>32</v>
      </c>
      <c r="B25" s="33">
        <f>B22+B23+B24</f>
        <v>2137</v>
      </c>
      <c r="C25" s="33">
        <f t="shared" ref="C25:F25" si="7">C22+C23+C24</f>
        <v>2723.2999999999997</v>
      </c>
      <c r="D25" s="33">
        <f t="shared" si="7"/>
        <v>3155.6</v>
      </c>
      <c r="E25" s="33">
        <f t="shared" si="7"/>
        <v>3260.1</v>
      </c>
      <c r="F25" s="33">
        <f t="shared" si="7"/>
        <v>3124.92</v>
      </c>
    </row>
    <row r="26" spans="1:6" ht="15.75" thickBot="1" x14ac:dyDescent="0.25">
      <c r="A26" s="8"/>
      <c r="B26" s="28"/>
      <c r="C26" s="28"/>
      <c r="D26" s="28"/>
      <c r="E26" s="28"/>
      <c r="F26" s="28"/>
    </row>
    <row r="27" spans="1:6" ht="15.75" thickTop="1" x14ac:dyDescent="0.2">
      <c r="B27" s="35"/>
      <c r="C27" s="35"/>
      <c r="D27" s="35"/>
      <c r="E27" s="35"/>
      <c r="F27" s="35"/>
    </row>
    <row r="28" spans="1:6" x14ac:dyDescent="0.2">
      <c r="B28" s="35"/>
      <c r="C28" s="35"/>
      <c r="D28" s="35"/>
      <c r="E28" s="35"/>
      <c r="F28" s="35"/>
    </row>
    <row r="29" spans="1:6" ht="15.75" thickBot="1" x14ac:dyDescent="0.25">
      <c r="A29" s="15" t="s">
        <v>33</v>
      </c>
      <c r="B29" s="30"/>
      <c r="C29" s="30"/>
      <c r="D29" s="30"/>
      <c r="E29" s="30"/>
      <c r="F29" s="30"/>
    </row>
    <row r="30" spans="1:6" ht="15.75" thickTop="1" x14ac:dyDescent="0.2">
      <c r="B30" s="37" t="s">
        <v>8</v>
      </c>
      <c r="C30" s="37" t="s">
        <v>9</v>
      </c>
      <c r="D30" s="37" t="s">
        <v>10</v>
      </c>
      <c r="E30" s="37" t="s">
        <v>11</v>
      </c>
      <c r="F30" s="37" t="s">
        <v>12</v>
      </c>
    </row>
    <row r="31" spans="1:6" ht="24" customHeight="1" x14ac:dyDescent="0.2">
      <c r="A31" s="17" t="s">
        <v>34</v>
      </c>
      <c r="B31" s="35">
        <v>1873.9</v>
      </c>
      <c r="C31" s="33">
        <f>B34</f>
        <v>2037</v>
      </c>
      <c r="D31" s="33">
        <f t="shared" ref="D31:F31" si="8">C34</f>
        <v>2265.41</v>
      </c>
      <c r="E31" s="33">
        <f t="shared" si="8"/>
        <v>2562.42</v>
      </c>
      <c r="F31" s="33">
        <f t="shared" si="8"/>
        <v>2666.92</v>
      </c>
    </row>
    <row r="32" spans="1:6" x14ac:dyDescent="0.2">
      <c r="A32" s="17" t="s">
        <v>35</v>
      </c>
      <c r="B32" s="24">
        <f>B10</f>
        <v>163.10000000000002</v>
      </c>
      <c r="C32" s="24">
        <f t="shared" ref="C32:F32" si="9">C10</f>
        <v>228.41000000000003</v>
      </c>
      <c r="D32" s="24">
        <f t="shared" si="9"/>
        <v>297.01</v>
      </c>
      <c r="E32" s="24">
        <f t="shared" si="9"/>
        <v>356.23000000000013</v>
      </c>
      <c r="F32" s="24">
        <f t="shared" si="9"/>
        <v>392.18200000000002</v>
      </c>
    </row>
    <row r="33" spans="1:6" x14ac:dyDescent="0.2">
      <c r="A33" s="18" t="s">
        <v>36</v>
      </c>
      <c r="B33" s="27">
        <v>0</v>
      </c>
      <c r="C33" s="25">
        <f>C53</f>
        <v>0</v>
      </c>
      <c r="D33" s="25">
        <f t="shared" ref="D33:F33" si="10">D53</f>
        <v>0</v>
      </c>
      <c r="E33" s="25">
        <f t="shared" si="10"/>
        <v>251.73000000000013</v>
      </c>
      <c r="F33" s="25">
        <f t="shared" si="10"/>
        <v>527.36199999999997</v>
      </c>
    </row>
    <row r="34" spans="1:6" x14ac:dyDescent="0.2">
      <c r="A34" s="17" t="s">
        <v>37</v>
      </c>
      <c r="B34" s="24">
        <f>B31+B32-B33</f>
        <v>2037</v>
      </c>
      <c r="C34" s="24">
        <f t="shared" ref="C34:F34" si="11">C31+C32-C33</f>
        <v>2265.41</v>
      </c>
      <c r="D34" s="24">
        <f t="shared" si="11"/>
        <v>2562.42</v>
      </c>
      <c r="E34" s="24">
        <f t="shared" si="11"/>
        <v>2666.92</v>
      </c>
      <c r="F34" s="24">
        <f t="shared" si="11"/>
        <v>2531.7399999999998</v>
      </c>
    </row>
    <row r="35" spans="1:6" ht="11.1" customHeight="1" thickBot="1" x14ac:dyDescent="0.25">
      <c r="A35" s="11"/>
      <c r="B35" s="38"/>
      <c r="C35" s="28"/>
      <c r="D35" s="28"/>
      <c r="E35" s="28"/>
      <c r="F35" s="28"/>
    </row>
    <row r="36" spans="1:6" ht="15.75" thickTop="1" x14ac:dyDescent="0.2">
      <c r="A36" s="1"/>
      <c r="B36" s="35"/>
      <c r="C36" s="35"/>
      <c r="D36" s="35"/>
      <c r="E36" s="35"/>
      <c r="F36" s="35"/>
    </row>
    <row r="37" spans="1:6" x14ac:dyDescent="0.2">
      <c r="B37" s="35"/>
      <c r="C37" s="35"/>
      <c r="D37" s="35"/>
      <c r="E37" s="35"/>
      <c r="F37" s="35"/>
    </row>
    <row r="38" spans="1:6" ht="15.75" thickBot="1" x14ac:dyDescent="0.25">
      <c r="A38" s="15" t="s">
        <v>38</v>
      </c>
      <c r="B38" s="30"/>
      <c r="C38" s="30"/>
      <c r="D38" s="30"/>
      <c r="E38" s="30"/>
      <c r="F38" s="30"/>
    </row>
    <row r="39" spans="1:6" ht="15.75" thickTop="1" x14ac:dyDescent="0.2">
      <c r="B39" s="31" t="s">
        <v>8</v>
      </c>
      <c r="C39" s="31" t="s">
        <v>9</v>
      </c>
      <c r="D39" s="31" t="s">
        <v>10</v>
      </c>
      <c r="E39" s="31" t="s">
        <v>11</v>
      </c>
      <c r="F39" s="31" t="s">
        <v>12</v>
      </c>
    </row>
    <row r="40" spans="1:6" ht="24.95" customHeight="1" x14ac:dyDescent="0.2">
      <c r="A40" s="22" t="s">
        <v>39</v>
      </c>
      <c r="B40" s="26"/>
      <c r="C40" s="26"/>
      <c r="D40" s="26"/>
      <c r="E40" s="26"/>
      <c r="F40" s="26"/>
    </row>
    <row r="41" spans="1:6" x14ac:dyDescent="0.2">
      <c r="A41" s="17" t="s">
        <v>35</v>
      </c>
      <c r="B41" s="24">
        <f>B10</f>
        <v>163.10000000000002</v>
      </c>
      <c r="C41" s="24">
        <f t="shared" ref="C41:F41" si="12">C10</f>
        <v>228.41000000000003</v>
      </c>
      <c r="D41" s="24">
        <f t="shared" si="12"/>
        <v>297.01</v>
      </c>
      <c r="E41" s="24">
        <f t="shared" si="12"/>
        <v>356.23000000000013</v>
      </c>
      <c r="F41" s="24">
        <f t="shared" si="12"/>
        <v>392.18200000000002</v>
      </c>
    </row>
    <row r="42" spans="1:6" x14ac:dyDescent="0.2">
      <c r="A42" s="19" t="s">
        <v>40</v>
      </c>
      <c r="B42" s="24">
        <f>B5</f>
        <v>167</v>
      </c>
      <c r="C42" s="24">
        <f t="shared" ref="C42:F42" si="13">C5</f>
        <v>233.7</v>
      </c>
      <c r="D42" s="24">
        <f t="shared" si="13"/>
        <v>303.7</v>
      </c>
      <c r="E42" s="24">
        <f t="shared" si="13"/>
        <v>364.7</v>
      </c>
      <c r="F42" s="24">
        <f t="shared" si="13"/>
        <v>400.7</v>
      </c>
    </row>
    <row r="43" spans="1:6" x14ac:dyDescent="0.2">
      <c r="A43" s="20" t="s">
        <v>41</v>
      </c>
      <c r="B43" s="36">
        <v>20</v>
      </c>
      <c r="C43" s="25">
        <f>C17-B17</f>
        <v>80</v>
      </c>
      <c r="D43" s="25">
        <f t="shared" ref="D43:F43" si="14">D17-C17</f>
        <v>84</v>
      </c>
      <c r="E43" s="25">
        <f t="shared" si="14"/>
        <v>72.800000000000011</v>
      </c>
      <c r="F43" s="25">
        <f t="shared" si="14"/>
        <v>43.680000000000007</v>
      </c>
    </row>
    <row r="44" spans="1:6" x14ac:dyDescent="0.2">
      <c r="A44" s="17" t="s">
        <v>42</v>
      </c>
      <c r="B44" s="24">
        <f>B41+B42-B43</f>
        <v>310.10000000000002</v>
      </c>
      <c r="C44" s="24">
        <f t="shared" ref="C44:F44" si="15">C41+C42-C43</f>
        <v>382.11</v>
      </c>
      <c r="D44" s="24">
        <f t="shared" si="15"/>
        <v>516.71</v>
      </c>
      <c r="E44" s="24">
        <f t="shared" si="15"/>
        <v>648.13000000000011</v>
      </c>
      <c r="F44" s="24">
        <f t="shared" si="15"/>
        <v>749.202</v>
      </c>
    </row>
    <row r="45" spans="1:6" x14ac:dyDescent="0.2">
      <c r="A45" s="17"/>
      <c r="B45" s="26"/>
      <c r="C45" s="26"/>
      <c r="D45" s="26"/>
      <c r="E45" s="26"/>
      <c r="F45" s="26"/>
    </row>
    <row r="46" spans="1:6" x14ac:dyDescent="0.2">
      <c r="A46" s="22" t="s">
        <v>43</v>
      </c>
      <c r="B46" s="26"/>
      <c r="C46" s="26"/>
      <c r="D46" s="26"/>
      <c r="E46" s="26"/>
      <c r="F46" s="26"/>
    </row>
    <row r="47" spans="1:6" x14ac:dyDescent="0.2">
      <c r="A47" s="20" t="s">
        <v>44</v>
      </c>
      <c r="B47" s="36">
        <v>670</v>
      </c>
      <c r="C47" s="25">
        <f>'Plant and Equipment Schedule'!C4</f>
        <v>700</v>
      </c>
      <c r="D47" s="25">
        <f>'Plant and Equipment Schedule'!D4</f>
        <v>610</v>
      </c>
      <c r="E47" s="25">
        <f>'Plant and Equipment Schedule'!E4</f>
        <v>360</v>
      </c>
      <c r="F47" s="25">
        <f>'Plant and Equipment Schedule'!F4</f>
        <v>200</v>
      </c>
    </row>
    <row r="48" spans="1:6" x14ac:dyDescent="0.2">
      <c r="A48" s="17" t="s">
        <v>50</v>
      </c>
      <c r="B48" s="24">
        <f>-B47</f>
        <v>-670</v>
      </c>
      <c r="C48" s="24">
        <f t="shared" ref="C48:F48" si="16">-C47</f>
        <v>-700</v>
      </c>
      <c r="D48" s="24">
        <f t="shared" si="16"/>
        <v>-610</v>
      </c>
      <c r="E48" s="24">
        <f t="shared" si="16"/>
        <v>-360</v>
      </c>
      <c r="F48" s="24">
        <f t="shared" si="16"/>
        <v>-200</v>
      </c>
    </row>
    <row r="49" spans="1:6" x14ac:dyDescent="0.2">
      <c r="A49" s="17"/>
      <c r="B49" s="26"/>
      <c r="C49" s="26"/>
      <c r="D49" s="26"/>
      <c r="E49" s="26"/>
      <c r="F49" s="26"/>
    </row>
    <row r="50" spans="1:6" x14ac:dyDescent="0.2">
      <c r="A50" s="22" t="s">
        <v>45</v>
      </c>
      <c r="B50" s="26"/>
      <c r="C50" s="26"/>
      <c r="D50" s="26"/>
      <c r="E50" s="26"/>
      <c r="F50" s="26"/>
    </row>
    <row r="51" spans="1:6" x14ac:dyDescent="0.2">
      <c r="A51" s="19" t="s">
        <v>46</v>
      </c>
      <c r="B51" s="34">
        <v>0</v>
      </c>
      <c r="C51" s="34">
        <v>0</v>
      </c>
      <c r="D51" s="34">
        <v>0</v>
      </c>
      <c r="E51" s="34">
        <v>0</v>
      </c>
      <c r="F51" s="34">
        <v>0</v>
      </c>
    </row>
    <row r="52" spans="1:6" x14ac:dyDescent="0.2">
      <c r="A52" s="19" t="s">
        <v>47</v>
      </c>
      <c r="B52" s="34">
        <v>0</v>
      </c>
      <c r="C52" s="24">
        <f>IF(C54&gt;0,C54,0)</f>
        <v>357.89</v>
      </c>
      <c r="D52" s="24">
        <f t="shared" ref="D52:F52" si="17">IF(D54&gt;0,D54,0)</f>
        <v>135.28999999999996</v>
      </c>
      <c r="E52" s="24">
        <f t="shared" si="17"/>
        <v>0</v>
      </c>
      <c r="F52" s="24">
        <f t="shared" si="17"/>
        <v>0</v>
      </c>
    </row>
    <row r="53" spans="1:6" x14ac:dyDescent="0.2">
      <c r="A53" s="20" t="s">
        <v>48</v>
      </c>
      <c r="B53" s="27">
        <v>0</v>
      </c>
      <c r="C53" s="25">
        <f>IF(C54&gt;0,0,-C54)</f>
        <v>0</v>
      </c>
      <c r="D53" s="25">
        <f t="shared" ref="D53:F53" si="18">IF(D54&gt;0,0,-D54)</f>
        <v>0</v>
      </c>
      <c r="E53" s="25">
        <f t="shared" si="18"/>
        <v>251.73000000000013</v>
      </c>
      <c r="F53" s="25">
        <f t="shared" si="18"/>
        <v>527.36199999999997</v>
      </c>
    </row>
    <row r="54" spans="1:6" x14ac:dyDescent="0.2">
      <c r="A54" s="17" t="s">
        <v>49</v>
      </c>
      <c r="B54" s="24">
        <f>B51+B52-B53</f>
        <v>0</v>
      </c>
      <c r="C54" s="24">
        <f>C56-C44-C48</f>
        <v>357.89</v>
      </c>
      <c r="D54" s="24">
        <f t="shared" ref="D54:F54" si="19">D56-D44-D48</f>
        <v>135.28999999999996</v>
      </c>
      <c r="E54" s="24">
        <f t="shared" si="19"/>
        <v>-251.73000000000013</v>
      </c>
      <c r="F54" s="24">
        <f t="shared" si="19"/>
        <v>-527.36199999999997</v>
      </c>
    </row>
    <row r="55" spans="1:6" x14ac:dyDescent="0.2">
      <c r="A55" s="19"/>
      <c r="B55" s="26"/>
      <c r="C55" s="26"/>
      <c r="D55" s="26"/>
      <c r="E55" s="26"/>
      <c r="F55" s="26"/>
    </row>
    <row r="56" spans="1:6" x14ac:dyDescent="0.2">
      <c r="A56" s="19" t="s">
        <v>58</v>
      </c>
      <c r="B56" s="24">
        <f>B44+B48+B54</f>
        <v>-359.9</v>
      </c>
      <c r="C56" s="24">
        <f>C16-B16</f>
        <v>40</v>
      </c>
      <c r="D56" s="24">
        <f t="shared" ref="D56:F56" si="20">D16-C16</f>
        <v>42</v>
      </c>
      <c r="E56" s="24">
        <f t="shared" si="20"/>
        <v>36.400000000000006</v>
      </c>
      <c r="F56" s="24">
        <f t="shared" si="20"/>
        <v>21.840000000000003</v>
      </c>
    </row>
    <row r="57" spans="1:6" ht="9" customHeight="1" thickBot="1" x14ac:dyDescent="0.25">
      <c r="A57" s="8"/>
      <c r="B57" s="9"/>
      <c r="C57" s="9"/>
      <c r="D57" s="9"/>
      <c r="E57" s="9"/>
      <c r="F57" s="9"/>
    </row>
    <row r="58" spans="1:6" ht="15.75" thickTop="1" x14ac:dyDescent="0.2"/>
    <row r="59" spans="1:6" x14ac:dyDescent="0.2">
      <c r="A59" t="s">
        <v>67</v>
      </c>
    </row>
    <row r="60" spans="1:6" x14ac:dyDescent="0.2">
      <c r="A60" s="39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selection activeCell="A27" sqref="A27"/>
    </sheetView>
  </sheetViews>
  <sheetFormatPr defaultColWidth="10.8515625" defaultRowHeight="15" x14ac:dyDescent="0.2"/>
  <cols>
    <col min="1" max="1" width="31.69140625" customWidth="1"/>
  </cols>
  <sheetData>
    <row r="1" spans="1:6" ht="15.75" thickBot="1" x14ac:dyDescent="0.25">
      <c r="A1" s="13" t="s">
        <v>57</v>
      </c>
      <c r="B1" s="14"/>
      <c r="C1" s="14"/>
      <c r="D1" s="14"/>
      <c r="E1" s="14"/>
      <c r="F1" s="14"/>
    </row>
    <row r="2" spans="1:6" ht="15.75" thickTop="1" x14ac:dyDescent="0.2"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</row>
    <row r="3" spans="1:6" ht="26.1" customHeight="1" x14ac:dyDescent="0.2">
      <c r="A3" s="17" t="s">
        <v>51</v>
      </c>
      <c r="B3" s="32">
        <v>1667</v>
      </c>
      <c r="C3" s="33">
        <f>B5</f>
        <v>2337</v>
      </c>
      <c r="D3" s="33">
        <f t="shared" ref="D3:F3" si="0">C5</f>
        <v>3037</v>
      </c>
      <c r="E3" s="33">
        <f t="shared" si="0"/>
        <v>3647</v>
      </c>
      <c r="F3" s="33">
        <f t="shared" si="0"/>
        <v>4007</v>
      </c>
    </row>
    <row r="4" spans="1:6" x14ac:dyDescent="0.2">
      <c r="A4" s="18" t="s">
        <v>6</v>
      </c>
      <c r="B4" s="25">
        <v>670</v>
      </c>
      <c r="C4" s="25">
        <f>'Forecast Drivers'!C10</f>
        <v>700</v>
      </c>
      <c r="D4" s="25">
        <f>'Forecast Drivers'!D10</f>
        <v>610</v>
      </c>
      <c r="E4" s="25">
        <f>'Forecast Drivers'!E10</f>
        <v>360</v>
      </c>
      <c r="F4" s="25">
        <f>'Forecast Drivers'!F10</f>
        <v>200</v>
      </c>
    </row>
    <row r="5" spans="1:6" x14ac:dyDescent="0.2">
      <c r="A5" s="21" t="s">
        <v>52</v>
      </c>
      <c r="B5" s="24">
        <f>B3+B4</f>
        <v>2337</v>
      </c>
      <c r="C5" s="24">
        <f>C3+C4</f>
        <v>3037</v>
      </c>
      <c r="D5" s="24">
        <f t="shared" ref="D5:F5" si="1">D3+D4</f>
        <v>3647</v>
      </c>
      <c r="E5" s="24">
        <f t="shared" si="1"/>
        <v>4007</v>
      </c>
      <c r="F5" s="24">
        <f t="shared" si="1"/>
        <v>4207</v>
      </c>
    </row>
    <row r="6" spans="1:6" x14ac:dyDescent="0.2">
      <c r="A6" s="21"/>
      <c r="B6" s="34"/>
      <c r="C6" s="26"/>
      <c r="D6" s="26"/>
      <c r="E6" s="26"/>
      <c r="F6" s="26"/>
    </row>
    <row r="7" spans="1:6" x14ac:dyDescent="0.2">
      <c r="A7" s="21" t="s">
        <v>53</v>
      </c>
      <c r="B7" s="34">
        <v>333</v>
      </c>
      <c r="C7" s="24">
        <f>B9</f>
        <v>500</v>
      </c>
      <c r="D7" s="24">
        <f t="shared" ref="D7:F7" si="2">C9</f>
        <v>733.7</v>
      </c>
      <c r="E7" s="24">
        <f t="shared" si="2"/>
        <v>1037.4000000000001</v>
      </c>
      <c r="F7" s="24">
        <f t="shared" si="2"/>
        <v>1402.1000000000001</v>
      </c>
    </row>
    <row r="8" spans="1:6" x14ac:dyDescent="0.2">
      <c r="A8" s="18" t="s">
        <v>54</v>
      </c>
      <c r="B8" s="27">
        <v>167</v>
      </c>
      <c r="C8" s="25">
        <f>C3/'Forecast Drivers'!C6</f>
        <v>233.7</v>
      </c>
      <c r="D8" s="25">
        <f>D3/'Forecast Drivers'!D6</f>
        <v>303.7</v>
      </c>
      <c r="E8" s="25">
        <f>E3/'Forecast Drivers'!E6</f>
        <v>364.7</v>
      </c>
      <c r="F8" s="25">
        <f>F3/'Forecast Drivers'!F6</f>
        <v>400.7</v>
      </c>
    </row>
    <row r="9" spans="1:6" x14ac:dyDescent="0.2">
      <c r="A9" s="21" t="s">
        <v>55</v>
      </c>
      <c r="B9" s="24">
        <f>B7+B8</f>
        <v>500</v>
      </c>
      <c r="C9" s="24">
        <f t="shared" ref="C9:F9" si="3">C7+C8</f>
        <v>733.7</v>
      </c>
      <c r="D9" s="24">
        <f t="shared" si="3"/>
        <v>1037.4000000000001</v>
      </c>
      <c r="E9" s="24">
        <f t="shared" si="3"/>
        <v>1402.1000000000001</v>
      </c>
      <c r="F9" s="24">
        <f t="shared" si="3"/>
        <v>1802.8000000000002</v>
      </c>
    </row>
    <row r="10" spans="1:6" x14ac:dyDescent="0.2">
      <c r="A10" s="21"/>
      <c r="B10" s="34"/>
      <c r="C10" s="26"/>
      <c r="D10" s="26"/>
      <c r="E10" s="26"/>
      <c r="F10" s="26"/>
    </row>
    <row r="11" spans="1:6" x14ac:dyDescent="0.2">
      <c r="A11" s="17" t="s">
        <v>56</v>
      </c>
      <c r="B11" s="33">
        <f>B5-B9</f>
        <v>1837</v>
      </c>
      <c r="C11" s="33">
        <f t="shared" ref="C11:F11" si="4">C5-C9</f>
        <v>2303.3000000000002</v>
      </c>
      <c r="D11" s="33">
        <f t="shared" si="4"/>
        <v>2609.6</v>
      </c>
      <c r="E11" s="33">
        <f t="shared" si="4"/>
        <v>2604.8999999999996</v>
      </c>
      <c r="F11" s="33">
        <f t="shared" si="4"/>
        <v>2404.1999999999998</v>
      </c>
    </row>
    <row r="12" spans="1:6" ht="11.1" customHeight="1" thickBot="1" x14ac:dyDescent="0.25">
      <c r="A12" s="8"/>
      <c r="B12" s="9"/>
      <c r="C12" s="9"/>
      <c r="D12" s="9"/>
      <c r="E12" s="9"/>
      <c r="F12" s="9"/>
    </row>
    <row r="13" spans="1:6" ht="15.75" thickTop="1" x14ac:dyDescent="0.2"/>
    <row r="14" spans="1:6" x14ac:dyDescent="0.2">
      <c r="A14" t="s">
        <v>67</v>
      </c>
    </row>
    <row r="15" spans="1:6" x14ac:dyDescent="0.2">
      <c r="A15" s="39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5"/>
  <sheetViews>
    <sheetView workbookViewId="0">
      <selection activeCell="L23" sqref="L23"/>
    </sheetView>
  </sheetViews>
  <sheetFormatPr defaultColWidth="10.8515625" defaultRowHeight="15" x14ac:dyDescent="0.2"/>
  <cols>
    <col min="1" max="1" width="32.67578125" customWidth="1"/>
  </cols>
  <sheetData>
    <row r="1" spans="1:6" ht="15.75" thickBot="1" x14ac:dyDescent="0.25">
      <c r="A1" s="15" t="s">
        <v>65</v>
      </c>
      <c r="B1" s="16"/>
      <c r="C1" s="16"/>
      <c r="D1" s="16"/>
      <c r="E1" s="16"/>
      <c r="F1" s="16"/>
    </row>
    <row r="2" spans="1:6" ht="15.75" thickTop="1" x14ac:dyDescent="0.2"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</row>
    <row r="3" spans="1:6" x14ac:dyDescent="0.2">
      <c r="A3" s="22" t="s">
        <v>59</v>
      </c>
      <c r="B3" s="10"/>
      <c r="C3" s="10"/>
      <c r="D3" s="10"/>
      <c r="E3" s="10"/>
      <c r="F3" s="10"/>
    </row>
    <row r="4" spans="1:6" x14ac:dyDescent="0.2">
      <c r="A4" s="17" t="s">
        <v>60</v>
      </c>
      <c r="B4" s="24">
        <f>(1 - 'Forecast Drivers'!B7)*'Financial Statements'!B6</f>
        <v>163.1</v>
      </c>
      <c r="C4" s="24">
        <f>(1 - 'Forecast Drivers'!C7)*'Financial Statements'!C6</f>
        <v>228.41</v>
      </c>
      <c r="D4" s="24">
        <f>(1 - 'Forecast Drivers'!D7)*'Financial Statements'!D6</f>
        <v>297.01</v>
      </c>
      <c r="E4" s="24">
        <f>(1 - 'Forecast Drivers'!E7)*'Financial Statements'!E6</f>
        <v>356.23000000000008</v>
      </c>
      <c r="F4" s="24">
        <f>(1 - 'Forecast Drivers'!F7)*'Financial Statements'!F6</f>
        <v>392.18199999999996</v>
      </c>
    </row>
    <row r="5" spans="1:6" x14ac:dyDescent="0.2">
      <c r="A5" s="20" t="s">
        <v>40</v>
      </c>
      <c r="B5" s="25">
        <f>'Financial Statements'!B5</f>
        <v>167</v>
      </c>
      <c r="C5" s="25">
        <f>'Financial Statements'!C5</f>
        <v>233.7</v>
      </c>
      <c r="D5" s="25">
        <f>'Financial Statements'!D5</f>
        <v>303.7</v>
      </c>
      <c r="E5" s="25">
        <f>'Financial Statements'!E5</f>
        <v>364.7</v>
      </c>
      <c r="F5" s="25">
        <f>'Financial Statements'!F5</f>
        <v>400.7</v>
      </c>
    </row>
    <row r="6" spans="1:6" x14ac:dyDescent="0.2">
      <c r="A6" s="17" t="s">
        <v>59</v>
      </c>
      <c r="B6" s="24">
        <f>B4+B5</f>
        <v>330.1</v>
      </c>
      <c r="C6" s="24">
        <f t="shared" ref="C6:F6" si="0">C4+C5</f>
        <v>462.11</v>
      </c>
      <c r="D6" s="24">
        <f t="shared" si="0"/>
        <v>600.71</v>
      </c>
      <c r="E6" s="24">
        <f t="shared" si="0"/>
        <v>720.93000000000006</v>
      </c>
      <c r="F6" s="24">
        <f t="shared" si="0"/>
        <v>792.88199999999995</v>
      </c>
    </row>
    <row r="7" spans="1:6" x14ac:dyDescent="0.2">
      <c r="A7" s="17"/>
      <c r="B7" s="26"/>
      <c r="C7" s="26"/>
      <c r="D7" s="26"/>
      <c r="E7" s="26"/>
      <c r="F7" s="26"/>
    </row>
    <row r="8" spans="1:6" x14ac:dyDescent="0.2">
      <c r="A8" s="22" t="s">
        <v>61</v>
      </c>
      <c r="B8" s="26"/>
      <c r="C8" s="26"/>
      <c r="D8" s="26"/>
      <c r="E8" s="26"/>
      <c r="F8" s="26"/>
    </row>
    <row r="9" spans="1:6" x14ac:dyDescent="0.2">
      <c r="A9" s="20" t="s">
        <v>6</v>
      </c>
      <c r="B9" s="25">
        <f>'Plant and Equipment Schedule'!B4</f>
        <v>670</v>
      </c>
      <c r="C9" s="25">
        <f>'Plant and Equipment Schedule'!C4</f>
        <v>700</v>
      </c>
      <c r="D9" s="25">
        <f>'Plant and Equipment Schedule'!D4</f>
        <v>610</v>
      </c>
      <c r="E9" s="25">
        <f>'Plant and Equipment Schedule'!E4</f>
        <v>360</v>
      </c>
      <c r="F9" s="25">
        <f>'Plant and Equipment Schedule'!F4</f>
        <v>200</v>
      </c>
    </row>
    <row r="10" spans="1:6" x14ac:dyDescent="0.2">
      <c r="A10" s="17" t="s">
        <v>61</v>
      </c>
      <c r="B10" s="24">
        <f>B9</f>
        <v>670</v>
      </c>
      <c r="C10" s="24">
        <f t="shared" ref="C10:F10" si="1">C9</f>
        <v>700</v>
      </c>
      <c r="D10" s="24">
        <f t="shared" si="1"/>
        <v>610</v>
      </c>
      <c r="E10" s="24">
        <f t="shared" si="1"/>
        <v>360</v>
      </c>
      <c r="F10" s="24">
        <f t="shared" si="1"/>
        <v>200</v>
      </c>
    </row>
    <row r="11" spans="1:6" x14ac:dyDescent="0.2">
      <c r="A11" s="17"/>
      <c r="B11" s="26"/>
      <c r="C11" s="26"/>
      <c r="D11" s="26"/>
      <c r="E11" s="26"/>
      <c r="F11" s="26"/>
    </row>
    <row r="12" spans="1:6" x14ac:dyDescent="0.2">
      <c r="A12" s="22" t="s">
        <v>62</v>
      </c>
      <c r="B12" s="26"/>
      <c r="C12" s="26"/>
      <c r="D12" s="26"/>
      <c r="E12" s="26"/>
      <c r="F12" s="26"/>
    </row>
    <row r="13" spans="1:6" x14ac:dyDescent="0.2">
      <c r="A13" s="19" t="s">
        <v>63</v>
      </c>
      <c r="B13" s="24">
        <f>'Financial Statements'!B43</f>
        <v>20</v>
      </c>
      <c r="C13" s="24">
        <f>'Financial Statements'!C43</f>
        <v>80</v>
      </c>
      <c r="D13" s="24">
        <f>'Financial Statements'!D43</f>
        <v>84</v>
      </c>
      <c r="E13" s="24">
        <f>'Financial Statements'!E43</f>
        <v>72.800000000000011</v>
      </c>
      <c r="F13" s="24">
        <f>'Financial Statements'!F43</f>
        <v>43.680000000000007</v>
      </c>
    </row>
    <row r="14" spans="1:6" x14ac:dyDescent="0.2">
      <c r="A14" s="20" t="s">
        <v>82</v>
      </c>
      <c r="B14" s="27">
        <v>50</v>
      </c>
      <c r="C14" s="25">
        <f>'Financial Statements'!C56</f>
        <v>40</v>
      </c>
      <c r="D14" s="25">
        <f>'Financial Statements'!D56</f>
        <v>42</v>
      </c>
      <c r="E14" s="25">
        <f>'Financial Statements'!E56</f>
        <v>36.400000000000006</v>
      </c>
      <c r="F14" s="25">
        <f>'Financial Statements'!F56</f>
        <v>21.840000000000003</v>
      </c>
    </row>
    <row r="15" spans="1:6" x14ac:dyDescent="0.2">
      <c r="A15" s="17" t="s">
        <v>62</v>
      </c>
      <c r="B15" s="24">
        <f>B13+B14</f>
        <v>70</v>
      </c>
      <c r="C15" s="24">
        <f t="shared" ref="C15:F15" si="2">C13+C14</f>
        <v>120</v>
      </c>
      <c r="D15" s="24">
        <f t="shared" si="2"/>
        <v>126</v>
      </c>
      <c r="E15" s="24">
        <f t="shared" si="2"/>
        <v>109.20000000000002</v>
      </c>
      <c r="F15" s="24">
        <f t="shared" si="2"/>
        <v>65.52000000000001</v>
      </c>
    </row>
    <row r="16" spans="1:6" x14ac:dyDescent="0.2">
      <c r="A16" s="19"/>
      <c r="B16" s="26"/>
      <c r="C16" s="26"/>
      <c r="D16" s="26"/>
      <c r="E16" s="26"/>
      <c r="F16" s="26"/>
    </row>
    <row r="17" spans="1:7" x14ac:dyDescent="0.2">
      <c r="A17" s="19" t="s">
        <v>64</v>
      </c>
      <c r="B17" s="24">
        <f>B6-B10-B15</f>
        <v>-409.9</v>
      </c>
      <c r="C17" s="24">
        <f t="shared" ref="C17:F17" si="3">C6-C10-C15</f>
        <v>-357.89</v>
      </c>
      <c r="D17" s="24">
        <f t="shared" si="3"/>
        <v>-135.28999999999996</v>
      </c>
      <c r="E17" s="24">
        <f t="shared" si="3"/>
        <v>251.73000000000005</v>
      </c>
      <c r="F17" s="24">
        <f t="shared" si="3"/>
        <v>527.36199999999997</v>
      </c>
    </row>
    <row r="18" spans="1:7" ht="15.75" thickBot="1" x14ac:dyDescent="0.25">
      <c r="A18" s="8"/>
      <c r="B18" s="28"/>
      <c r="C18" s="28"/>
      <c r="D18" s="28"/>
      <c r="E18" s="28"/>
      <c r="F18" s="28"/>
    </row>
    <row r="19" spans="1:7" ht="15.75" thickTop="1" x14ac:dyDescent="0.2">
      <c r="B19" s="29"/>
      <c r="C19" s="29"/>
      <c r="D19" s="29"/>
      <c r="E19" s="29"/>
      <c r="F19" s="29"/>
    </row>
    <row r="20" spans="1:7" x14ac:dyDescent="0.2">
      <c r="A20" t="s">
        <v>67</v>
      </c>
      <c r="B20" s="29"/>
      <c r="C20" s="29"/>
      <c r="D20" s="29"/>
      <c r="E20" s="29"/>
      <c r="F20" s="29"/>
    </row>
    <row r="21" spans="1:7" x14ac:dyDescent="0.2">
      <c r="A21" s="39" t="s">
        <v>68</v>
      </c>
      <c r="B21" s="46"/>
      <c r="C21" s="46"/>
      <c r="D21" s="46"/>
      <c r="E21" s="46"/>
      <c r="F21" s="46"/>
      <c r="G21" s="47"/>
    </row>
    <row r="22" spans="1:7" x14ac:dyDescent="0.2">
      <c r="A22" s="47"/>
      <c r="B22" s="42"/>
      <c r="C22" s="42"/>
      <c r="D22" s="42"/>
      <c r="E22" s="42"/>
      <c r="F22" s="42"/>
      <c r="G22" s="47"/>
    </row>
    <row r="23" spans="1:7" ht="24" customHeight="1" x14ac:dyDescent="0.2">
      <c r="A23" s="43"/>
      <c r="B23" s="44"/>
      <c r="C23" s="44"/>
      <c r="D23" s="44"/>
      <c r="E23" s="44"/>
      <c r="F23" s="44"/>
      <c r="G23" s="47"/>
    </row>
    <row r="24" spans="1:7" x14ac:dyDescent="0.2">
      <c r="A24" s="45"/>
      <c r="B24" s="44"/>
      <c r="C24" s="44"/>
      <c r="D24" s="44"/>
      <c r="E24" s="44"/>
      <c r="F24" s="44"/>
      <c r="G24" s="47"/>
    </row>
    <row r="25" spans="1:7" x14ac:dyDescent="0.2">
      <c r="A25" s="45"/>
      <c r="B25" s="44"/>
      <c r="C25" s="44"/>
      <c r="D25" s="44"/>
      <c r="E25" s="44"/>
      <c r="F25" s="44"/>
      <c r="G25" s="47"/>
    </row>
    <row r="26" spans="1:7" x14ac:dyDescent="0.2">
      <c r="A26" s="43"/>
      <c r="B26" s="44"/>
      <c r="C26" s="44"/>
      <c r="D26" s="44"/>
      <c r="E26" s="44"/>
      <c r="F26" s="44"/>
      <c r="G26" s="47"/>
    </row>
    <row r="27" spans="1:7" x14ac:dyDescent="0.2">
      <c r="A27" s="43"/>
      <c r="B27" s="44"/>
      <c r="C27" s="44"/>
      <c r="D27" s="44"/>
      <c r="E27" s="44"/>
      <c r="F27" s="44"/>
      <c r="G27" s="47"/>
    </row>
    <row r="28" spans="1:7" x14ac:dyDescent="0.2">
      <c r="A28" s="45"/>
      <c r="B28" s="44"/>
      <c r="C28" s="44"/>
      <c r="D28" s="44"/>
      <c r="E28" s="44"/>
      <c r="F28" s="44"/>
      <c r="G28" s="47"/>
    </row>
    <row r="29" spans="1:7" x14ac:dyDescent="0.2">
      <c r="A29" s="43"/>
      <c r="B29" s="44"/>
      <c r="C29" s="44"/>
      <c r="D29" s="44"/>
      <c r="E29" s="44"/>
      <c r="F29" s="44"/>
      <c r="G29" s="47"/>
    </row>
    <row r="30" spans="1:7" x14ac:dyDescent="0.2">
      <c r="A30" s="45"/>
      <c r="B30" s="44"/>
      <c r="C30" s="44"/>
      <c r="D30" s="44"/>
      <c r="E30" s="44"/>
      <c r="F30" s="44"/>
      <c r="G30" s="47"/>
    </row>
    <row r="31" spans="1:7" x14ac:dyDescent="0.2">
      <c r="A31" s="45"/>
      <c r="B31" s="44"/>
      <c r="C31" s="44"/>
      <c r="D31" s="44"/>
      <c r="E31" s="44"/>
      <c r="F31" s="44"/>
      <c r="G31" s="47"/>
    </row>
    <row r="32" spans="1:7" x14ac:dyDescent="0.2">
      <c r="A32" s="45"/>
      <c r="B32" s="44"/>
      <c r="C32" s="44"/>
      <c r="D32" s="44"/>
      <c r="E32" s="44"/>
      <c r="F32" s="44"/>
      <c r="G32" s="47"/>
    </row>
    <row r="33" spans="1:7" x14ac:dyDescent="0.2">
      <c r="A33" s="45"/>
      <c r="B33" s="44"/>
      <c r="C33" s="44"/>
      <c r="D33" s="44"/>
      <c r="E33" s="44"/>
      <c r="F33" s="44"/>
      <c r="G33" s="47"/>
    </row>
    <row r="34" spans="1:7" x14ac:dyDescent="0.2">
      <c r="A34" s="45"/>
      <c r="B34" s="44"/>
      <c r="C34" s="44"/>
      <c r="D34" s="44"/>
      <c r="E34" s="44"/>
      <c r="F34" s="44"/>
      <c r="G34" s="47"/>
    </row>
    <row r="35" spans="1:7" x14ac:dyDescent="0.2">
      <c r="A35" s="47"/>
      <c r="B35" s="48"/>
      <c r="C35" s="48"/>
      <c r="D35" s="48"/>
      <c r="E35" s="48"/>
      <c r="F35" s="48"/>
      <c r="G35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workbookViewId="0">
      <selection activeCell="F30" sqref="F30"/>
    </sheetView>
  </sheetViews>
  <sheetFormatPr defaultColWidth="10.8515625" defaultRowHeight="15" x14ac:dyDescent="0.2"/>
  <cols>
    <col min="1" max="1" width="26.51171875" customWidth="1"/>
  </cols>
  <sheetData>
    <row r="1" spans="1:6" ht="15.75" thickBot="1" x14ac:dyDescent="0.25">
      <c r="A1" s="15" t="s">
        <v>69</v>
      </c>
      <c r="B1" s="16"/>
      <c r="C1" s="16"/>
      <c r="D1" s="16"/>
      <c r="E1" s="16"/>
      <c r="F1" s="16"/>
    </row>
    <row r="2" spans="1:6" ht="15.75" thickTop="1" x14ac:dyDescent="0.2"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</row>
    <row r="3" spans="1:6" x14ac:dyDescent="0.2">
      <c r="A3" s="22" t="s">
        <v>72</v>
      </c>
      <c r="B3" s="10"/>
      <c r="C3" s="10"/>
      <c r="D3" s="10"/>
      <c r="E3" s="10"/>
      <c r="F3" s="10"/>
    </row>
    <row r="4" spans="1:6" x14ac:dyDescent="0.2">
      <c r="A4" s="17" t="s">
        <v>70</v>
      </c>
      <c r="B4" s="40">
        <f>'Financial Statements'!B3/'Financial Statements'!B20</f>
        <v>0.46794571829667758</v>
      </c>
      <c r="C4" s="40">
        <f>'Financial Statements'!C3/'Financial Statements'!C20</f>
        <v>0.51408217970844194</v>
      </c>
      <c r="D4" s="40">
        <f>'Financial Statements'!D3/'Financial Statements'!D20</f>
        <v>0.57675244010647742</v>
      </c>
      <c r="E4" s="40">
        <f>'Financial Statements'!E3/'Financial Statements'!E20</f>
        <v>0.66991810067175861</v>
      </c>
      <c r="F4" s="40">
        <f>'Financial Statements'!F3/'Financial Statements'!F20</f>
        <v>0.76878768096463268</v>
      </c>
    </row>
    <row r="5" spans="1:6" x14ac:dyDescent="0.2">
      <c r="A5" s="23" t="s">
        <v>71</v>
      </c>
      <c r="B5" s="40">
        <f>'Financial Statements'!B3/'Financial Statements'!B19</f>
        <v>0.54436581382689164</v>
      </c>
      <c r="C5" s="40">
        <f>'Financial Statements'!C3/'Financial Statements'!C19</f>
        <v>0.60782355750445005</v>
      </c>
      <c r="D5" s="40">
        <f>'Financial Statements'!D3/'Financial Statements'!D19</f>
        <v>0.69742489270386265</v>
      </c>
      <c r="E5" s="40">
        <f>'Financial Statements'!E3/'Financial Statements'!E19</f>
        <v>0.83841990095589092</v>
      </c>
      <c r="F5" s="40">
        <f>'Financial Statements'!F3/'Financial Statements'!F19</f>
        <v>0.99925131020713764</v>
      </c>
    </row>
    <row r="6" spans="1:6" x14ac:dyDescent="0.2">
      <c r="A6" s="17"/>
      <c r="B6" s="26"/>
      <c r="C6" s="26"/>
      <c r="D6" s="26"/>
      <c r="E6" s="26"/>
      <c r="F6" s="26"/>
    </row>
    <row r="7" spans="1:6" x14ac:dyDescent="0.2">
      <c r="A7" s="22" t="s">
        <v>73</v>
      </c>
      <c r="B7" s="26"/>
      <c r="C7" s="26"/>
      <c r="D7" s="26"/>
      <c r="E7" s="26"/>
      <c r="F7" s="26"/>
    </row>
    <row r="8" spans="1:6" x14ac:dyDescent="0.2">
      <c r="A8" s="23" t="s">
        <v>74</v>
      </c>
      <c r="B8" s="40">
        <f>'Financial Statements'!B10/'Financial Statements'!B3</f>
        <v>0.16310000000000002</v>
      </c>
      <c r="C8" s="40">
        <f>'Financial Statements'!C10/'Financial Statements'!C3</f>
        <v>0.16315000000000002</v>
      </c>
      <c r="D8" s="40">
        <f>'Financial Statements'!D10/'Financial Statements'!D3</f>
        <v>0.16319230769230769</v>
      </c>
      <c r="E8" s="40">
        <f>'Financial Statements'!E10/'Financial Statements'!E3</f>
        <v>0.16310897435897442</v>
      </c>
      <c r="F8" s="40">
        <f>'Financial Statements'!F10/'Financial Statements'!F3</f>
        <v>0.16324592074592076</v>
      </c>
    </row>
    <row r="9" spans="1:6" x14ac:dyDescent="0.2">
      <c r="A9" s="21" t="s">
        <v>75</v>
      </c>
      <c r="B9" s="40">
        <f>'Financial Statements'!B10/'Financial Statements'!B20</f>
        <v>7.6321946654188122E-2</v>
      </c>
      <c r="C9" s="40">
        <f>'Financial Statements'!C10/'Financial Statements'!C20</f>
        <v>8.387250761943231E-2</v>
      </c>
      <c r="D9" s="40">
        <f>'Financial Statements'!D10/'Financial Statements'!D20</f>
        <v>9.4121561668145517E-2</v>
      </c>
      <c r="E9" s="40">
        <f>'Financial Statements'!E10/'Financial Statements'!E20</f>
        <v>0.10926965430508273</v>
      </c>
      <c r="F9" s="40">
        <f>'Financial Statements'!F10/'Financial Statements'!F20</f>
        <v>0.12550145283719263</v>
      </c>
    </row>
    <row r="10" spans="1:6" x14ac:dyDescent="0.2">
      <c r="A10" s="21" t="s">
        <v>76</v>
      </c>
      <c r="B10" s="40">
        <f>'Financial Statements'!B10/'Financial Statements'!B23</f>
        <v>1.6310000000000002</v>
      </c>
      <c r="C10" s="40">
        <f>'Financial Statements'!C10/'Financial Statements'!C23</f>
        <v>0.49883159710847591</v>
      </c>
      <c r="D10" s="40">
        <f>'Financial Statements'!D10/'Financial Statements'!D23</f>
        <v>0.50070804814727399</v>
      </c>
      <c r="E10" s="40">
        <f>'Financial Statements'!E10/'Financial Statements'!E23</f>
        <v>0.60054283691291033</v>
      </c>
      <c r="F10" s="40">
        <f>'Financial Statements'!F10/'Financial Statements'!F23</f>
        <v>0.66115175831956585</v>
      </c>
    </row>
    <row r="11" spans="1:6" x14ac:dyDescent="0.2">
      <c r="A11" s="17"/>
      <c r="B11" s="26"/>
      <c r="C11" s="26"/>
      <c r="D11" s="26"/>
      <c r="E11" s="26"/>
      <c r="F11" s="26"/>
    </row>
    <row r="12" spans="1:6" x14ac:dyDescent="0.2">
      <c r="A12" s="22" t="s">
        <v>77</v>
      </c>
      <c r="B12" s="26"/>
      <c r="C12" s="26"/>
      <c r="D12" s="26"/>
      <c r="E12" s="26"/>
      <c r="F12" s="26"/>
    </row>
    <row r="13" spans="1:6" x14ac:dyDescent="0.2">
      <c r="A13" s="19" t="s">
        <v>78</v>
      </c>
      <c r="B13" s="40">
        <f>'Plant and Equipment Schedule'!B4/'Financial Statements'!B3</f>
        <v>0.67</v>
      </c>
      <c r="C13" s="40">
        <f>'Plant and Equipment Schedule'!C4/'Financial Statements'!C3</f>
        <v>0.5</v>
      </c>
      <c r="D13" s="40">
        <f>'Plant and Equipment Schedule'!D4/'Financial Statements'!D3</f>
        <v>0.33516483516483514</v>
      </c>
      <c r="E13" s="40">
        <f>'Plant and Equipment Schedule'!E4/'Financial Statements'!E3</f>
        <v>0.16483516483516483</v>
      </c>
      <c r="F13" s="40">
        <f>'Plant and Equipment Schedule'!F4/'Financial Statements'!F3</f>
        <v>8.3250083250083248E-2</v>
      </c>
    </row>
    <row r="14" spans="1:6" x14ac:dyDescent="0.2">
      <c r="A14" s="17"/>
      <c r="B14" s="24"/>
      <c r="C14" s="24"/>
      <c r="D14" s="24"/>
      <c r="E14" s="24"/>
      <c r="F14" s="24"/>
    </row>
    <row r="15" spans="1:6" x14ac:dyDescent="0.2">
      <c r="A15" s="41" t="s">
        <v>79</v>
      </c>
      <c r="B15" s="26"/>
      <c r="C15" s="26"/>
      <c r="D15" s="26"/>
      <c r="E15" s="26"/>
      <c r="F15" s="26"/>
    </row>
    <row r="16" spans="1:6" x14ac:dyDescent="0.2">
      <c r="A16" s="19" t="s">
        <v>80</v>
      </c>
      <c r="B16" s="24"/>
      <c r="C16" s="40" t="str">
        <f>IF('FCF Schedule'!B17&gt;0,('FCF Schedule'!C17-'FCF Schedule'!B17)/'FCF Schedule'!B17*100,"n/a")</f>
        <v>n/a</v>
      </c>
      <c r="D16" s="40" t="str">
        <f>IF('FCF Schedule'!C17&gt;0,('FCF Schedule'!D17-'FCF Schedule'!C17)/'FCF Schedule'!C17*100,"n/a")</f>
        <v>n/a</v>
      </c>
      <c r="E16" s="40" t="str">
        <f>IF('FCF Schedule'!D17&gt;0,('FCF Schedule'!E17-'FCF Schedule'!D17)/'FCF Schedule'!D17*100,"n/a")</f>
        <v>n/a</v>
      </c>
      <c r="F16" s="40">
        <f>IF('FCF Schedule'!E17&gt;0,('FCF Schedule'!F17-'FCF Schedule'!E17)/'FCF Schedule'!E17*100,"n/a")</f>
        <v>109.49509394986687</v>
      </c>
    </row>
    <row r="17" spans="1:6" ht="15.75" thickBot="1" x14ac:dyDescent="0.25">
      <c r="A17" s="8"/>
      <c r="B17" s="28"/>
      <c r="C17" s="28"/>
      <c r="D17" s="28"/>
      <c r="E17" s="28"/>
      <c r="F17" s="28"/>
    </row>
    <row r="18" spans="1:6" ht="15.75" thickTop="1" x14ac:dyDescent="0.2">
      <c r="B18" s="29"/>
      <c r="C18" s="29"/>
      <c r="D18" s="29"/>
      <c r="E18" s="29"/>
      <c r="F18" s="29"/>
    </row>
    <row r="19" spans="1:6" x14ac:dyDescent="0.2">
      <c r="A19" s="3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Forecast Drivers</vt:lpstr>
      <vt:lpstr>Financial Statements</vt:lpstr>
      <vt:lpstr>Plant and Equipment Schedule</vt:lpstr>
      <vt:lpstr>FCF Schedule</vt:lpstr>
      <vt:lpstr>Reasonableness 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Gormley</dc:creator>
  <cp:lastModifiedBy>Gormley, Todd</cp:lastModifiedBy>
  <dcterms:created xsi:type="dcterms:W3CDTF">2016-12-31T14:39:34Z</dcterms:created>
  <dcterms:modified xsi:type="dcterms:W3CDTF">2019-03-06T21:31:34Z</dcterms:modified>
</cp:coreProperties>
</file>