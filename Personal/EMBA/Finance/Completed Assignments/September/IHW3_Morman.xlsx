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z173f\Documents\Personal\EMBA\Finance\Completed Assignments\"/>
    </mc:Choice>
  </mc:AlternateContent>
  <xr:revisionPtr revIDLastSave="0" documentId="13_ncr:1_{EE0B7585-59B4-4A8E-A90F-4981256BDEE2}" xr6:coauthVersionLast="47" xr6:coauthVersionMax="47" xr10:uidLastSave="{00000000-0000-0000-0000-000000000000}"/>
  <bookViews>
    <workbookView xWindow="-120" yWindow="-120" windowWidth="29040" windowHeight="15840" xr2:uid="{C74CAB80-C302-4BE6-A323-14A5F50A0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B50" i="1"/>
  <c r="K44" i="1"/>
  <c r="K43" i="1"/>
  <c r="K41" i="1"/>
  <c r="K35" i="1"/>
  <c r="K34" i="1"/>
  <c r="K33" i="1"/>
  <c r="K31" i="1"/>
  <c r="K30" i="1"/>
  <c r="K28" i="1"/>
  <c r="K27" i="1"/>
  <c r="K25" i="1"/>
  <c r="K24" i="1"/>
  <c r="K23" i="1"/>
  <c r="K22" i="1"/>
  <c r="K20" i="1"/>
  <c r="K18" i="1"/>
  <c r="K17" i="1"/>
  <c r="K15" i="1"/>
  <c r="K14" i="1"/>
  <c r="K13" i="1"/>
  <c r="K12" i="1"/>
  <c r="K11" i="1"/>
  <c r="K10" i="1"/>
  <c r="K9" i="1"/>
  <c r="K8" i="1"/>
  <c r="J44" i="1"/>
  <c r="J43" i="1"/>
  <c r="J41" i="1"/>
  <c r="J35" i="1"/>
  <c r="J34" i="1"/>
  <c r="J33" i="1"/>
  <c r="J31" i="1"/>
  <c r="J30" i="1"/>
  <c r="J28" i="1"/>
  <c r="J27" i="1"/>
  <c r="J25" i="1"/>
  <c r="J24" i="1"/>
  <c r="J23" i="1"/>
  <c r="J22" i="1"/>
  <c r="J20" i="1"/>
  <c r="J18" i="1"/>
  <c r="J17" i="1"/>
  <c r="J15" i="1"/>
  <c r="J14" i="1"/>
  <c r="J13" i="1"/>
  <c r="J12" i="1"/>
  <c r="J11" i="1"/>
  <c r="J10" i="1"/>
  <c r="J9" i="1"/>
  <c r="J8" i="1"/>
  <c r="K6" i="1"/>
  <c r="J6" i="1"/>
  <c r="I44" i="1"/>
  <c r="I43" i="1"/>
  <c r="I41" i="1"/>
  <c r="I35" i="1"/>
  <c r="I34" i="1"/>
  <c r="I33" i="1"/>
  <c r="I31" i="1"/>
  <c r="I30" i="1"/>
  <c r="I28" i="1"/>
  <c r="I27" i="1"/>
  <c r="I25" i="1"/>
  <c r="I24" i="1"/>
  <c r="I23" i="1"/>
  <c r="I22" i="1"/>
  <c r="I20" i="1"/>
  <c r="I18" i="1"/>
  <c r="I17" i="1"/>
  <c r="I15" i="1"/>
  <c r="I14" i="1"/>
  <c r="I13" i="1"/>
  <c r="I12" i="1"/>
  <c r="I11" i="1"/>
  <c r="I10" i="1"/>
  <c r="I9" i="1"/>
  <c r="I8" i="1"/>
  <c r="I6" i="1"/>
  <c r="H44" i="1"/>
  <c r="H43" i="1"/>
  <c r="H41" i="1"/>
  <c r="H35" i="1"/>
  <c r="H34" i="1"/>
  <c r="H33" i="1"/>
  <c r="H31" i="1"/>
  <c r="H30" i="1"/>
  <c r="H28" i="1"/>
  <c r="H27" i="1"/>
  <c r="H25" i="1"/>
  <c r="H24" i="1"/>
  <c r="H23" i="1"/>
  <c r="H22" i="1"/>
  <c r="H20" i="1"/>
  <c r="H18" i="1"/>
  <c r="H17" i="1"/>
  <c r="H15" i="1"/>
  <c r="H14" i="1"/>
  <c r="H13" i="1"/>
  <c r="H12" i="1"/>
  <c r="H11" i="1"/>
  <c r="H10" i="1"/>
  <c r="H9" i="1"/>
  <c r="H8" i="1"/>
  <c r="H6" i="1"/>
  <c r="E30" i="1"/>
  <c r="E31" i="1"/>
  <c r="G44" i="1"/>
  <c r="G43" i="1"/>
  <c r="G41" i="1"/>
  <c r="G35" i="1"/>
  <c r="G34" i="1"/>
  <c r="G33" i="1"/>
  <c r="G31" i="1"/>
  <c r="G30" i="1"/>
  <c r="G28" i="1"/>
  <c r="G27" i="1"/>
  <c r="G25" i="1"/>
  <c r="G24" i="1"/>
  <c r="G23" i="1"/>
  <c r="G22" i="1"/>
  <c r="G20" i="1"/>
  <c r="G18" i="1"/>
  <c r="G17" i="1"/>
  <c r="G15" i="1"/>
  <c r="G14" i="1"/>
  <c r="G13" i="1"/>
  <c r="G12" i="1"/>
  <c r="G11" i="1"/>
  <c r="G10" i="1"/>
  <c r="G9" i="1"/>
  <c r="G8" i="1"/>
  <c r="G6" i="1"/>
  <c r="F44" i="1"/>
  <c r="F43" i="1"/>
  <c r="F41" i="1"/>
  <c r="F35" i="1"/>
  <c r="F34" i="1"/>
  <c r="F33" i="1"/>
  <c r="F31" i="1"/>
  <c r="F30" i="1"/>
  <c r="F28" i="1"/>
  <c r="F27" i="1"/>
  <c r="F25" i="1"/>
  <c r="F24" i="1"/>
  <c r="F23" i="1"/>
  <c r="F22" i="1"/>
  <c r="F20" i="1"/>
  <c r="F18" i="1"/>
  <c r="F17" i="1"/>
  <c r="F15" i="1"/>
  <c r="F14" i="1"/>
  <c r="F13" i="1"/>
  <c r="F12" i="1"/>
  <c r="F11" i="1"/>
  <c r="F10" i="1"/>
  <c r="F9" i="1"/>
  <c r="F8" i="1"/>
  <c r="E44" i="1"/>
  <c r="E43" i="1"/>
  <c r="E41" i="1"/>
  <c r="E35" i="1"/>
  <c r="E34" i="1"/>
  <c r="E33" i="1"/>
  <c r="E28" i="1"/>
  <c r="E27" i="1"/>
  <c r="E25" i="1"/>
  <c r="E24" i="1"/>
  <c r="E23" i="1"/>
  <c r="E22" i="1"/>
  <c r="E20" i="1"/>
  <c r="E18" i="1"/>
  <c r="E17" i="1"/>
  <c r="E15" i="1"/>
  <c r="E14" i="1"/>
  <c r="E13" i="1"/>
  <c r="E12" i="1"/>
  <c r="E11" i="1"/>
  <c r="E10" i="1"/>
  <c r="E9" i="1"/>
  <c r="E8" i="1"/>
  <c r="F6" i="1"/>
  <c r="E6" i="1"/>
</calcChain>
</file>

<file path=xl/sharedStrings.xml><?xml version="1.0" encoding="utf-8"?>
<sst xmlns="http://schemas.openxmlformats.org/spreadsheetml/2006/main" count="72" uniqueCount="58">
  <si>
    <t>Pretax Income</t>
  </si>
  <si>
    <t>Interest Expense</t>
  </si>
  <si>
    <t>EBITDA</t>
  </si>
  <si>
    <t>-</t>
  </si>
  <si>
    <t>Research &amp; Development</t>
  </si>
  <si>
    <t>Net Income</t>
  </si>
  <si>
    <t>Net Income Growth</t>
  </si>
  <si>
    <t>EPS (Basic)</t>
  </si>
  <si>
    <t>EPS (Diluted)</t>
  </si>
  <si>
    <t>EBITDA Margin</t>
  </si>
  <si>
    <t>Name</t>
  </si>
  <si>
    <t>Brian Morman</t>
  </si>
  <si>
    <t>NVIDIA Corperation</t>
  </si>
  <si>
    <t>IHW-3 Consolidated Income Statement</t>
  </si>
  <si>
    <t>Common-sized</t>
  </si>
  <si>
    <t>$ Chg</t>
  </si>
  <si>
    <t>% Chg</t>
  </si>
  <si>
    <t>2024 - 2023</t>
  </si>
  <si>
    <t>2023 - 2022</t>
  </si>
  <si>
    <t>Cost of Revenue</t>
  </si>
  <si>
    <t>Gross Profit</t>
  </si>
  <si>
    <t>Operating Income</t>
  </si>
  <si>
    <t>EBIT</t>
  </si>
  <si>
    <t>Fiscal Year</t>
  </si>
  <si>
    <t>FY 2024</t>
  </si>
  <si>
    <t>FY 2023</t>
  </si>
  <si>
    <t>FY 2022</t>
  </si>
  <si>
    <t>Period Ending</t>
  </si>
  <si>
    <t>Revenue</t>
  </si>
  <si>
    <t>Revenue Growth (YoY)</t>
  </si>
  <si>
    <t>Selling, General &amp; Admin</t>
  </si>
  <si>
    <t>Operating Expenses</t>
  </si>
  <si>
    <t>Interest &amp; Investment Income</t>
  </si>
  <si>
    <t>Currency Exchange Gain (Loss)</t>
  </si>
  <si>
    <t>Other Non Operating Income (Expenses)</t>
  </si>
  <si>
    <t>EBT Excluding Unusual Items</t>
  </si>
  <si>
    <t>Merger &amp; Restructuring Charges</t>
  </si>
  <si>
    <t>Gain (Loss) on Sale of Investments</t>
  </si>
  <si>
    <t>Other Unusual Items</t>
  </si>
  <si>
    <t>Income Tax Expense</t>
  </si>
  <si>
    <t>Net Income to Common</t>
  </si>
  <si>
    <t>Shares Outstanding (Basic)</t>
  </si>
  <si>
    <t>Shares Outstanding (Diluted)</t>
  </si>
  <si>
    <t>Shares Change (YoY)</t>
  </si>
  <si>
    <t>EPS Growth</t>
  </si>
  <si>
    <t>Free Cash Flow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</si>
  <si>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</si>
  <si>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</si>
  <si>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</si>
  <si>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</si>
  <si>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</si>
  <si>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</si>
  <si>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</si>
  <si>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D&amp;A For EBITDA</t>
  </si>
  <si>
    <t>EBIT Margin</t>
  </si>
  <si>
    <t>Effective Tax Rate</t>
  </si>
  <si>
    <t xml:space="preserve">Share price </t>
  </si>
  <si>
    <t>P/E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</si>
</sst>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2F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/>
    <xf numFmtId="0" fontId="4" fillId="3" borderId="1" xfId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10" fontId="0" fillId="0" borderId="1" xfId="0" applyNumberFormat="1" applyBorder="1" applyAlignment="1"/>
    <xf numFmtId="3" fontId="0" fillId="0" borderId="1" xfId="0" applyNumberFormat="1" applyBorder="1" applyAlignment="1"/>
    <xf numFmtId="0" fontId="3" fillId="3" borderId="1" xfId="0" applyFont="1" applyFill="1" applyBorder="1" applyAlignment="1">
      <alignment vertical="center"/>
    </xf>
    <xf numFmtId="10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9" fontId="3" fillId="2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/>
    </xf>
    <xf numFmtId="10" fontId="3" fillId="4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ockanalysis.com/stocks/nvda/revenu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2821-2CD7-47F2-92B6-6D0A315754B6}">
  <dimension ref="A1:K54"/>
  <sheetViews>
    <sheetView tabSelected="1" topLeftCell="A26" workbookViewId="0">
      <selection activeCell="A48" sqref="A48:D50"/>
    </sheetView>
  </sheetViews>
  <sheetFormatPr defaultRowHeight="15" x14ac:dyDescent="0.25"/>
  <cols>
    <col min="1" max="1" width="48" bestFit="1" customWidth="1"/>
    <col min="2" max="4" width="14" bestFit="1" customWidth="1"/>
    <col min="5" max="5" width="14.42578125" bestFit="1" customWidth="1"/>
    <col min="6" max="7" width="14.42578125" customWidth="1"/>
    <col min="9" max="9" width="10.5703125" bestFit="1" customWidth="1"/>
  </cols>
  <sheetData>
    <row r="1" spans="1:11" x14ac:dyDescent="0.25">
      <c r="A1" s="1" t="s">
        <v>10</v>
      </c>
      <c r="B1" s="22" t="s">
        <v>11</v>
      </c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22" t="s">
        <v>13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25">
      <c r="A3" s="22" t="s">
        <v>12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18" x14ac:dyDescent="0.25">
      <c r="A4" s="2" t="s">
        <v>23</v>
      </c>
      <c r="B4" s="3" t="s">
        <v>24</v>
      </c>
      <c r="C4" s="3" t="s">
        <v>25</v>
      </c>
      <c r="D4" s="3" t="s">
        <v>26</v>
      </c>
      <c r="E4" s="4" t="s">
        <v>14</v>
      </c>
      <c r="F4" s="4" t="s">
        <v>14</v>
      </c>
      <c r="G4" s="4" t="s">
        <v>14</v>
      </c>
      <c r="H4" s="4" t="s">
        <v>15</v>
      </c>
      <c r="I4" s="5" t="s">
        <v>16</v>
      </c>
      <c r="J4" s="5" t="s">
        <v>15</v>
      </c>
      <c r="K4" s="5" t="s">
        <v>16</v>
      </c>
    </row>
    <row r="5" spans="1:11" ht="18" x14ac:dyDescent="0.25">
      <c r="A5" s="2" t="s">
        <v>27</v>
      </c>
      <c r="B5" s="6">
        <v>45319</v>
      </c>
      <c r="C5" s="6">
        <v>44955</v>
      </c>
      <c r="D5" s="6">
        <v>44591</v>
      </c>
      <c r="E5" s="7">
        <v>2024</v>
      </c>
      <c r="F5" s="7">
        <v>2023</v>
      </c>
      <c r="G5" s="7">
        <v>2022</v>
      </c>
      <c r="H5" s="7" t="s">
        <v>17</v>
      </c>
      <c r="I5" s="7" t="s">
        <v>17</v>
      </c>
      <c r="J5" s="7" t="s">
        <v>18</v>
      </c>
      <c r="K5" s="7" t="s">
        <v>18</v>
      </c>
    </row>
    <row r="6" spans="1:11" ht="18" x14ac:dyDescent="0.25">
      <c r="A6" s="8" t="s">
        <v>28</v>
      </c>
      <c r="B6" s="9">
        <v>60922</v>
      </c>
      <c r="C6" s="9">
        <v>26974</v>
      </c>
      <c r="D6" s="9">
        <v>26914</v>
      </c>
      <c r="E6" s="10">
        <f>B6/$B$6</f>
        <v>1</v>
      </c>
      <c r="F6" s="10">
        <f>C6/$C$6</f>
        <v>1</v>
      </c>
      <c r="G6" s="10">
        <f>D6/$D$6</f>
        <v>1</v>
      </c>
      <c r="H6" s="11">
        <f>B6-C6</f>
        <v>33948</v>
      </c>
      <c r="I6" s="10">
        <f>B6/C6</f>
        <v>2.2585452658115224</v>
      </c>
      <c r="J6" s="11">
        <f>C6-D6</f>
        <v>60</v>
      </c>
      <c r="K6" s="10">
        <f>C6/D6</f>
        <v>1.002229323028907</v>
      </c>
    </row>
    <row r="7" spans="1:11" ht="18" x14ac:dyDescent="0.25">
      <c r="A7" s="12" t="s">
        <v>29</v>
      </c>
      <c r="B7" s="13">
        <v>1.2585</v>
      </c>
      <c r="C7" s="13">
        <v>2.2000000000000001E-3</v>
      </c>
      <c r="D7" s="13">
        <v>0.61399999999999999</v>
      </c>
      <c r="E7" s="10"/>
      <c r="F7" s="10"/>
      <c r="G7" s="10"/>
      <c r="H7" s="11"/>
      <c r="I7" s="10"/>
      <c r="J7" s="11"/>
      <c r="K7" s="10"/>
    </row>
    <row r="8" spans="1:11" ht="18" x14ac:dyDescent="0.25">
      <c r="A8" s="12" t="s">
        <v>19</v>
      </c>
      <c r="B8" s="14">
        <v>16621</v>
      </c>
      <c r="C8" s="14">
        <v>11618</v>
      </c>
      <c r="D8" s="14">
        <v>9439</v>
      </c>
      <c r="E8" s="10">
        <f t="shared" ref="E8:E44" si="0">B8/$B$6</f>
        <v>0.27282426709563046</v>
      </c>
      <c r="F8" s="10">
        <f t="shared" ref="F8:F44" si="1">C8/$C$6</f>
        <v>0.43071105509008673</v>
      </c>
      <c r="G8" s="10">
        <f t="shared" ref="G8:G44" si="2">D8/$D$6</f>
        <v>0.35070966783086871</v>
      </c>
      <c r="H8" s="11">
        <f t="shared" ref="H8:H44" si="3">B8-C8</f>
        <v>5003</v>
      </c>
      <c r="I8" s="10">
        <f t="shared" ref="I8:I44" si="4">B8/C8</f>
        <v>1.4306248924083318</v>
      </c>
      <c r="J8" s="11">
        <f t="shared" ref="J8:J44" si="5">C8-D8</f>
        <v>2179</v>
      </c>
      <c r="K8" s="10">
        <f t="shared" ref="K8:K44" si="6">C8/D8</f>
        <v>1.2308507257124695</v>
      </c>
    </row>
    <row r="9" spans="1:11" ht="18" x14ac:dyDescent="0.25">
      <c r="A9" s="15" t="s">
        <v>20</v>
      </c>
      <c r="B9" s="9">
        <v>44301</v>
      </c>
      <c r="C9" s="9">
        <v>15356</v>
      </c>
      <c r="D9" s="9">
        <v>17475</v>
      </c>
      <c r="E9" s="10">
        <f t="shared" si="0"/>
        <v>0.72717573290436954</v>
      </c>
      <c r="F9" s="10">
        <f t="shared" si="1"/>
        <v>0.56928894490991322</v>
      </c>
      <c r="G9" s="10">
        <f t="shared" si="2"/>
        <v>0.64929033216913135</v>
      </c>
      <c r="H9" s="11">
        <f t="shared" si="3"/>
        <v>28945</v>
      </c>
      <c r="I9" s="10">
        <f t="shared" si="4"/>
        <v>2.8849309716071896</v>
      </c>
      <c r="J9" s="11">
        <f t="shared" si="5"/>
        <v>-2119</v>
      </c>
      <c r="K9" s="10">
        <f t="shared" si="6"/>
        <v>0.87874105865522179</v>
      </c>
    </row>
    <row r="10" spans="1:11" ht="18" x14ac:dyDescent="0.25">
      <c r="A10" s="12" t="s">
        <v>30</v>
      </c>
      <c r="B10" s="14">
        <v>2654</v>
      </c>
      <c r="C10" s="14">
        <v>2440</v>
      </c>
      <c r="D10" s="14">
        <v>2166</v>
      </c>
      <c r="E10" s="10">
        <f t="shared" si="0"/>
        <v>4.3563901382095135E-2</v>
      </c>
      <c r="F10" s="10">
        <f t="shared" si="1"/>
        <v>9.0457477570994288E-2</v>
      </c>
      <c r="G10" s="10">
        <f t="shared" si="2"/>
        <v>8.0478561343538674E-2</v>
      </c>
      <c r="H10" s="11">
        <f t="shared" si="3"/>
        <v>214</v>
      </c>
      <c r="I10" s="10">
        <f t="shared" si="4"/>
        <v>1.0877049180327869</v>
      </c>
      <c r="J10" s="11">
        <f t="shared" si="5"/>
        <v>274</v>
      </c>
      <c r="K10" s="10">
        <f t="shared" si="6"/>
        <v>1.126500461680517</v>
      </c>
    </row>
    <row r="11" spans="1:11" ht="18" x14ac:dyDescent="0.25">
      <c r="A11" s="12" t="s">
        <v>4</v>
      </c>
      <c r="B11" s="14">
        <v>8675</v>
      </c>
      <c r="C11" s="14">
        <v>7339</v>
      </c>
      <c r="D11" s="14">
        <v>5268</v>
      </c>
      <c r="E11" s="10">
        <f t="shared" si="0"/>
        <v>0.14239519385443683</v>
      </c>
      <c r="F11" s="10">
        <f t="shared" si="1"/>
        <v>0.27207681471046191</v>
      </c>
      <c r="G11" s="10">
        <f t="shared" si="2"/>
        <v>0.19573456193802483</v>
      </c>
      <c r="H11" s="11">
        <f t="shared" si="3"/>
        <v>1336</v>
      </c>
      <c r="I11" s="10">
        <f t="shared" si="4"/>
        <v>1.1820411500204389</v>
      </c>
      <c r="J11" s="11">
        <f t="shared" si="5"/>
        <v>2071</v>
      </c>
      <c r="K11" s="10">
        <f t="shared" si="6"/>
        <v>1.3931283219438118</v>
      </c>
    </row>
    <row r="12" spans="1:11" ht="18" x14ac:dyDescent="0.25">
      <c r="A12" s="12" t="s">
        <v>31</v>
      </c>
      <c r="B12" s="14">
        <v>11329</v>
      </c>
      <c r="C12" s="14">
        <v>9779</v>
      </c>
      <c r="D12" s="14">
        <v>7434</v>
      </c>
      <c r="E12" s="10">
        <f t="shared" si="0"/>
        <v>0.18595909523653195</v>
      </c>
      <c r="F12" s="10">
        <f t="shared" si="1"/>
        <v>0.36253429228145623</v>
      </c>
      <c r="G12" s="10">
        <f t="shared" si="2"/>
        <v>0.2762131232815635</v>
      </c>
      <c r="H12" s="11">
        <f t="shared" si="3"/>
        <v>1550</v>
      </c>
      <c r="I12" s="10">
        <f t="shared" si="4"/>
        <v>1.1585029144084262</v>
      </c>
      <c r="J12" s="11">
        <f t="shared" si="5"/>
        <v>2345</v>
      </c>
      <c r="K12" s="10">
        <f t="shared" si="6"/>
        <v>1.3154425612052731</v>
      </c>
    </row>
    <row r="13" spans="1:11" ht="18" x14ac:dyDescent="0.25">
      <c r="A13" s="15" t="s">
        <v>21</v>
      </c>
      <c r="B13" s="9">
        <v>32972</v>
      </c>
      <c r="C13" s="9">
        <v>5577</v>
      </c>
      <c r="D13" s="9">
        <v>10041</v>
      </c>
      <c r="E13" s="10">
        <f t="shared" si="0"/>
        <v>0.54121663766783756</v>
      </c>
      <c r="F13" s="10">
        <f t="shared" si="1"/>
        <v>0.20675465262845702</v>
      </c>
      <c r="G13" s="10">
        <f t="shared" si="2"/>
        <v>0.37307720888756779</v>
      </c>
      <c r="H13" s="11">
        <f t="shared" si="3"/>
        <v>27395</v>
      </c>
      <c r="I13" s="10">
        <f t="shared" si="4"/>
        <v>5.9121391429083738</v>
      </c>
      <c r="J13" s="11">
        <f t="shared" si="5"/>
        <v>-4464</v>
      </c>
      <c r="K13" s="10">
        <f t="shared" si="6"/>
        <v>0.55542276665670753</v>
      </c>
    </row>
    <row r="14" spans="1:11" ht="18" x14ac:dyDescent="0.25">
      <c r="A14" s="12" t="s">
        <v>1</v>
      </c>
      <c r="B14" s="16">
        <v>-257</v>
      </c>
      <c r="C14" s="16">
        <v>-262</v>
      </c>
      <c r="D14" s="16">
        <v>-236</v>
      </c>
      <c r="E14" s="10">
        <f t="shared" si="0"/>
        <v>-4.2185089130363411E-3</v>
      </c>
      <c r="F14" s="10">
        <f t="shared" si="1"/>
        <v>-9.7130570178690593E-3</v>
      </c>
      <c r="G14" s="10">
        <f t="shared" si="2"/>
        <v>-8.7686705803670956E-3</v>
      </c>
      <c r="H14" s="11">
        <f t="shared" si="3"/>
        <v>5</v>
      </c>
      <c r="I14" s="10">
        <f t="shared" si="4"/>
        <v>0.98091603053435117</v>
      </c>
      <c r="J14" s="11">
        <f t="shared" si="5"/>
        <v>-26</v>
      </c>
      <c r="K14" s="10">
        <f t="shared" si="6"/>
        <v>1.1101694915254237</v>
      </c>
    </row>
    <row r="15" spans="1:11" ht="18" x14ac:dyDescent="0.25">
      <c r="A15" s="12" t="s">
        <v>32</v>
      </c>
      <c r="B15" s="16">
        <v>866</v>
      </c>
      <c r="C15" s="16">
        <v>267</v>
      </c>
      <c r="D15" s="16">
        <v>29</v>
      </c>
      <c r="E15" s="10">
        <f t="shared" si="0"/>
        <v>1.421489773809133E-2</v>
      </c>
      <c r="F15" s="10">
        <f t="shared" si="1"/>
        <v>9.8984207014161784E-3</v>
      </c>
      <c r="G15" s="10">
        <f t="shared" si="2"/>
        <v>1.0775061306383296E-3</v>
      </c>
      <c r="H15" s="11">
        <f t="shared" si="3"/>
        <v>599</v>
      </c>
      <c r="I15" s="10">
        <f t="shared" si="4"/>
        <v>3.2434456928838951</v>
      </c>
      <c r="J15" s="11">
        <f t="shared" si="5"/>
        <v>238</v>
      </c>
      <c r="K15" s="10">
        <f t="shared" si="6"/>
        <v>9.2068965517241388</v>
      </c>
    </row>
    <row r="16" spans="1:11" ht="18" x14ac:dyDescent="0.25">
      <c r="A16" s="12" t="s">
        <v>33</v>
      </c>
      <c r="B16" s="16" t="s">
        <v>3</v>
      </c>
      <c r="C16" s="16" t="s">
        <v>3</v>
      </c>
      <c r="D16" s="16" t="s">
        <v>3</v>
      </c>
      <c r="E16" s="10"/>
      <c r="F16" s="10"/>
      <c r="G16" s="10"/>
      <c r="H16" s="11"/>
      <c r="I16" s="10"/>
      <c r="J16" s="11"/>
      <c r="K16" s="10"/>
    </row>
    <row r="17" spans="1:11" ht="18" x14ac:dyDescent="0.25">
      <c r="A17" s="12" t="s">
        <v>34</v>
      </c>
      <c r="B17" s="16">
        <v>-1</v>
      </c>
      <c r="C17" s="16">
        <v>-3</v>
      </c>
      <c r="D17" s="16">
        <v>7</v>
      </c>
      <c r="E17" s="10">
        <f t="shared" si="0"/>
        <v>-1.6414431568234792E-5</v>
      </c>
      <c r="F17" s="10">
        <f t="shared" si="1"/>
        <v>-1.1121821012827167E-4</v>
      </c>
      <c r="G17" s="10">
        <f t="shared" si="2"/>
        <v>2.6008768670580365E-4</v>
      </c>
      <c r="H17" s="11">
        <f t="shared" si="3"/>
        <v>2</v>
      </c>
      <c r="I17" s="10">
        <f t="shared" si="4"/>
        <v>0.33333333333333331</v>
      </c>
      <c r="J17" s="11">
        <f t="shared" si="5"/>
        <v>-10</v>
      </c>
      <c r="K17" s="10">
        <f t="shared" si="6"/>
        <v>-0.42857142857142855</v>
      </c>
    </row>
    <row r="18" spans="1:11" ht="18" x14ac:dyDescent="0.25">
      <c r="A18" s="15" t="s">
        <v>35</v>
      </c>
      <c r="B18" s="9">
        <v>33580</v>
      </c>
      <c r="C18" s="9">
        <v>5579</v>
      </c>
      <c r="D18" s="9">
        <v>9841</v>
      </c>
      <c r="E18" s="10">
        <f t="shared" si="0"/>
        <v>0.55119661206132431</v>
      </c>
      <c r="F18" s="10">
        <f t="shared" si="1"/>
        <v>0.20682879810187588</v>
      </c>
      <c r="G18" s="10">
        <f t="shared" si="2"/>
        <v>0.36564613212454483</v>
      </c>
      <c r="H18" s="11">
        <f t="shared" si="3"/>
        <v>28001</v>
      </c>
      <c r="I18" s="10">
        <f t="shared" si="4"/>
        <v>6.0189998207564077</v>
      </c>
      <c r="J18" s="11">
        <f t="shared" si="5"/>
        <v>-4262</v>
      </c>
      <c r="K18" s="10">
        <f t="shared" si="6"/>
        <v>0.56691393151102532</v>
      </c>
    </row>
    <row r="19" spans="1:11" ht="18" x14ac:dyDescent="0.25">
      <c r="A19" s="12" t="s">
        <v>36</v>
      </c>
      <c r="B19" s="16" t="s">
        <v>3</v>
      </c>
      <c r="C19" s="16" t="s">
        <v>3</v>
      </c>
      <c r="D19" s="16" t="s">
        <v>3</v>
      </c>
      <c r="E19" s="10"/>
      <c r="F19" s="10"/>
      <c r="G19" s="10"/>
      <c r="H19" s="11"/>
      <c r="I19" s="10"/>
      <c r="J19" s="11"/>
      <c r="K19" s="10"/>
    </row>
    <row r="20" spans="1:11" ht="18" x14ac:dyDescent="0.25">
      <c r="A20" s="12" t="s">
        <v>37</v>
      </c>
      <c r="B20" s="16">
        <v>238</v>
      </c>
      <c r="C20" s="16">
        <v>-45</v>
      </c>
      <c r="D20" s="16">
        <v>100</v>
      </c>
      <c r="E20" s="10">
        <f t="shared" si="0"/>
        <v>3.9066347132398803E-3</v>
      </c>
      <c r="F20" s="10">
        <f t="shared" si="1"/>
        <v>-1.6682731519240749E-3</v>
      </c>
      <c r="G20" s="10">
        <f t="shared" si="2"/>
        <v>3.7155383815114808E-3</v>
      </c>
      <c r="H20" s="11">
        <f t="shared" si="3"/>
        <v>283</v>
      </c>
      <c r="I20" s="10">
        <f t="shared" si="4"/>
        <v>-5.2888888888888888</v>
      </c>
      <c r="J20" s="11">
        <f t="shared" si="5"/>
        <v>-145</v>
      </c>
      <c r="K20" s="10">
        <f t="shared" si="6"/>
        <v>-0.45</v>
      </c>
    </row>
    <row r="21" spans="1:11" ht="18" x14ac:dyDescent="0.25">
      <c r="A21" s="12" t="s">
        <v>38</v>
      </c>
      <c r="B21" s="16" t="s">
        <v>3</v>
      </c>
      <c r="C21" s="14">
        <v>-1353</v>
      </c>
      <c r="D21" s="16" t="s">
        <v>3</v>
      </c>
      <c r="E21" s="10"/>
      <c r="F21" s="10"/>
      <c r="G21" s="10"/>
      <c r="H21" s="11"/>
      <c r="I21" s="10"/>
      <c r="J21" s="11"/>
      <c r="K21" s="10"/>
    </row>
    <row r="22" spans="1:11" ht="18" x14ac:dyDescent="0.25">
      <c r="A22" s="15" t="s">
        <v>0</v>
      </c>
      <c r="B22" s="9">
        <v>33818</v>
      </c>
      <c r="C22" s="9">
        <v>4181</v>
      </c>
      <c r="D22" s="9">
        <v>9941</v>
      </c>
      <c r="E22" s="10">
        <f t="shared" si="0"/>
        <v>0.55510324677456424</v>
      </c>
      <c r="F22" s="10">
        <f t="shared" si="1"/>
        <v>0.15500111218210127</v>
      </c>
      <c r="G22" s="10">
        <f t="shared" si="2"/>
        <v>0.36936167050605634</v>
      </c>
      <c r="H22" s="11">
        <f t="shared" si="3"/>
        <v>29637</v>
      </c>
      <c r="I22" s="10">
        <f t="shared" si="4"/>
        <v>8.0884955752212395</v>
      </c>
      <c r="J22" s="11">
        <f t="shared" si="5"/>
        <v>-5760</v>
      </c>
      <c r="K22" s="10">
        <f t="shared" si="6"/>
        <v>0.42058143043959362</v>
      </c>
    </row>
    <row r="23" spans="1:11" ht="18" x14ac:dyDescent="0.25">
      <c r="A23" s="12" t="s">
        <v>39</v>
      </c>
      <c r="B23" s="14">
        <v>4058</v>
      </c>
      <c r="C23" s="16">
        <v>-187</v>
      </c>
      <c r="D23" s="16">
        <v>189</v>
      </c>
      <c r="E23" s="10">
        <f t="shared" si="0"/>
        <v>6.6609763303896785E-2</v>
      </c>
      <c r="F23" s="10">
        <f t="shared" si="1"/>
        <v>-6.9326017646622676E-3</v>
      </c>
      <c r="G23" s="10">
        <f t="shared" si="2"/>
        <v>7.0223675410566993E-3</v>
      </c>
      <c r="H23" s="11">
        <f t="shared" si="3"/>
        <v>4245</v>
      </c>
      <c r="I23" s="10">
        <f t="shared" si="4"/>
        <v>-21.700534759358288</v>
      </c>
      <c r="J23" s="11">
        <f t="shared" si="5"/>
        <v>-376</v>
      </c>
      <c r="K23" s="10">
        <f t="shared" si="6"/>
        <v>-0.98941798941798942</v>
      </c>
    </row>
    <row r="24" spans="1:11" ht="18" x14ac:dyDescent="0.25">
      <c r="A24" s="12" t="s">
        <v>5</v>
      </c>
      <c r="B24" s="14">
        <v>29760</v>
      </c>
      <c r="C24" s="14">
        <v>4368</v>
      </c>
      <c r="D24" s="14">
        <v>9752</v>
      </c>
      <c r="E24" s="10">
        <f t="shared" si="0"/>
        <v>0.4884934834706674</v>
      </c>
      <c r="F24" s="10">
        <f t="shared" si="1"/>
        <v>0.16193371394676356</v>
      </c>
      <c r="G24" s="10">
        <f t="shared" si="2"/>
        <v>0.36233930296499961</v>
      </c>
      <c r="H24" s="11">
        <f t="shared" si="3"/>
        <v>25392</v>
      </c>
      <c r="I24" s="10">
        <f t="shared" si="4"/>
        <v>6.813186813186813</v>
      </c>
      <c r="J24" s="11">
        <f t="shared" si="5"/>
        <v>-5384</v>
      </c>
      <c r="K24" s="10">
        <f t="shared" si="6"/>
        <v>0.44790812141099262</v>
      </c>
    </row>
    <row r="25" spans="1:11" ht="18" x14ac:dyDescent="0.25">
      <c r="A25" s="15" t="s">
        <v>40</v>
      </c>
      <c r="B25" s="9">
        <v>29760</v>
      </c>
      <c r="C25" s="9">
        <v>4368</v>
      </c>
      <c r="D25" s="9">
        <v>9752</v>
      </c>
      <c r="E25" s="10">
        <f t="shared" si="0"/>
        <v>0.4884934834706674</v>
      </c>
      <c r="F25" s="10">
        <f t="shared" si="1"/>
        <v>0.16193371394676356</v>
      </c>
      <c r="G25" s="10">
        <f t="shared" si="2"/>
        <v>0.36233930296499961</v>
      </c>
      <c r="H25" s="11">
        <f t="shared" si="3"/>
        <v>25392</v>
      </c>
      <c r="I25" s="10">
        <f t="shared" si="4"/>
        <v>6.813186813186813</v>
      </c>
      <c r="J25" s="11">
        <f t="shared" si="5"/>
        <v>-5384</v>
      </c>
      <c r="K25" s="10">
        <f t="shared" si="6"/>
        <v>0.44790812141099262</v>
      </c>
    </row>
    <row r="26" spans="1:11" ht="18" x14ac:dyDescent="0.25">
      <c r="A26" s="12" t="s">
        <v>6</v>
      </c>
      <c r="B26" s="13">
        <v>5.8132000000000001</v>
      </c>
      <c r="C26" s="13">
        <v>-0.55210000000000004</v>
      </c>
      <c r="D26" s="13">
        <v>1.2512000000000001</v>
      </c>
      <c r="E26" s="10"/>
      <c r="F26" s="10"/>
      <c r="G26" s="10"/>
      <c r="H26" s="11"/>
      <c r="I26" s="10"/>
      <c r="J26" s="11"/>
      <c r="K26" s="10"/>
    </row>
    <row r="27" spans="1:11" ht="18" x14ac:dyDescent="0.25">
      <c r="A27" s="12" t="s">
        <v>41</v>
      </c>
      <c r="B27" s="14">
        <v>24690</v>
      </c>
      <c r="C27" s="14">
        <v>24870</v>
      </c>
      <c r="D27" s="14">
        <v>24960</v>
      </c>
      <c r="E27" s="10">
        <f t="shared" si="0"/>
        <v>0.40527231541971703</v>
      </c>
      <c r="F27" s="10">
        <f t="shared" si="1"/>
        <v>0.92199896196337217</v>
      </c>
      <c r="G27" s="10">
        <f t="shared" si="2"/>
        <v>0.92739838002526565</v>
      </c>
      <c r="H27" s="11">
        <f t="shared" si="3"/>
        <v>-180</v>
      </c>
      <c r="I27" s="10">
        <f t="shared" si="4"/>
        <v>0.99276236429433051</v>
      </c>
      <c r="J27" s="11">
        <f t="shared" si="5"/>
        <v>-90</v>
      </c>
      <c r="K27" s="10">
        <f t="shared" si="6"/>
        <v>0.99639423076923073</v>
      </c>
    </row>
    <row r="28" spans="1:11" ht="18" x14ac:dyDescent="0.25">
      <c r="A28" s="15" t="s">
        <v>42</v>
      </c>
      <c r="B28" s="9">
        <v>24940</v>
      </c>
      <c r="C28" s="9">
        <v>25070</v>
      </c>
      <c r="D28" s="9">
        <v>25350</v>
      </c>
      <c r="E28" s="10">
        <f t="shared" si="0"/>
        <v>0.40937592331177569</v>
      </c>
      <c r="F28" s="10">
        <f t="shared" si="1"/>
        <v>0.9294135093052569</v>
      </c>
      <c r="G28" s="10">
        <f t="shared" si="2"/>
        <v>0.94188897971316043</v>
      </c>
      <c r="H28" s="11">
        <f t="shared" si="3"/>
        <v>-130</v>
      </c>
      <c r="I28" s="10">
        <f t="shared" si="4"/>
        <v>0.99481451934583165</v>
      </c>
      <c r="J28" s="11">
        <f t="shared" si="5"/>
        <v>-280</v>
      </c>
      <c r="K28" s="10">
        <f t="shared" si="6"/>
        <v>0.98895463510848125</v>
      </c>
    </row>
    <row r="29" spans="1:11" ht="18" x14ac:dyDescent="0.25">
      <c r="A29" s="12" t="s">
        <v>43</v>
      </c>
      <c r="B29" s="13">
        <v>-5.1999999999999998E-3</v>
      </c>
      <c r="C29" s="13">
        <v>-1.0999999999999999E-2</v>
      </c>
      <c r="D29" s="13">
        <v>0.01</v>
      </c>
      <c r="E29" s="10"/>
      <c r="F29" s="10"/>
      <c r="G29" s="10"/>
      <c r="H29" s="11"/>
      <c r="I29" s="10"/>
      <c r="J29" s="11"/>
      <c r="K29" s="10"/>
    </row>
    <row r="30" spans="1:11" ht="18" x14ac:dyDescent="0.25">
      <c r="A30" s="12" t="s">
        <v>7</v>
      </c>
      <c r="B30" s="16">
        <v>1.21</v>
      </c>
      <c r="C30" s="16">
        <v>0.18</v>
      </c>
      <c r="D30" s="16">
        <v>0.39</v>
      </c>
      <c r="E30" s="10">
        <f t="shared" si="0"/>
        <v>1.9861462197564098E-5</v>
      </c>
      <c r="F30" s="10">
        <f t="shared" si="1"/>
        <v>6.6730926076962997E-6</v>
      </c>
      <c r="G30" s="10">
        <f t="shared" si="2"/>
        <v>1.4490599687894776E-5</v>
      </c>
      <c r="H30" s="11">
        <f t="shared" si="3"/>
        <v>1.03</v>
      </c>
      <c r="I30" s="10">
        <f t="shared" si="4"/>
        <v>6.7222222222222223</v>
      </c>
      <c r="J30" s="11">
        <f t="shared" si="5"/>
        <v>-0.21000000000000002</v>
      </c>
      <c r="K30" s="10">
        <f t="shared" si="6"/>
        <v>0.46153846153846151</v>
      </c>
    </row>
    <row r="31" spans="1:11" ht="18" x14ac:dyDescent="0.25">
      <c r="A31" s="15" t="s">
        <v>8</v>
      </c>
      <c r="B31" s="17">
        <v>1.19</v>
      </c>
      <c r="C31" s="17">
        <v>0.17</v>
      </c>
      <c r="D31" s="17">
        <v>0.39</v>
      </c>
      <c r="E31" s="10">
        <f t="shared" si="0"/>
        <v>1.9533173566199401E-5</v>
      </c>
      <c r="F31" s="10">
        <f t="shared" si="1"/>
        <v>6.3023652406020618E-6</v>
      </c>
      <c r="G31" s="10">
        <f t="shared" si="2"/>
        <v>1.4490599687894776E-5</v>
      </c>
      <c r="H31" s="11">
        <f t="shared" si="3"/>
        <v>1.02</v>
      </c>
      <c r="I31" s="10">
        <f t="shared" si="4"/>
        <v>6.9999999999999991</v>
      </c>
      <c r="J31" s="11">
        <f t="shared" si="5"/>
        <v>-0.22</v>
      </c>
      <c r="K31" s="10">
        <f t="shared" si="6"/>
        <v>0.4358974358974359</v>
      </c>
    </row>
    <row r="32" spans="1:11" ht="18" x14ac:dyDescent="0.25">
      <c r="A32" s="12" t="s">
        <v>44</v>
      </c>
      <c r="B32" s="13">
        <v>5.8563000000000001</v>
      </c>
      <c r="C32" s="13">
        <v>-0.54810000000000003</v>
      </c>
      <c r="D32" s="13">
        <v>1.2254</v>
      </c>
      <c r="E32" s="10"/>
      <c r="F32" s="10"/>
      <c r="G32" s="10"/>
      <c r="H32" s="11"/>
      <c r="I32" s="10"/>
      <c r="J32" s="11"/>
      <c r="K32" s="10"/>
    </row>
    <row r="33" spans="1:11" ht="18" x14ac:dyDescent="0.25">
      <c r="A33" s="15" t="s">
        <v>45</v>
      </c>
      <c r="B33" s="9">
        <v>27021</v>
      </c>
      <c r="C33" s="9">
        <v>3808</v>
      </c>
      <c r="D33" s="9">
        <v>8132</v>
      </c>
      <c r="E33" s="10">
        <f t="shared" si="0"/>
        <v>0.44353435540527231</v>
      </c>
      <c r="F33" s="10">
        <f t="shared" si="1"/>
        <v>0.14117298138948617</v>
      </c>
      <c r="G33" s="10">
        <f t="shared" si="2"/>
        <v>0.30214758118451363</v>
      </c>
      <c r="H33" s="11">
        <f t="shared" si="3"/>
        <v>23213</v>
      </c>
      <c r="I33" s="10">
        <f t="shared" si="4"/>
        <v>7.0958508403361344</v>
      </c>
      <c r="J33" s="11">
        <f t="shared" si="5"/>
        <v>-4324</v>
      </c>
      <c r="K33" s="10">
        <f t="shared" si="6"/>
        <v>0.46827348745696018</v>
      </c>
    </row>
    <row r="34" spans="1:11" ht="18" x14ac:dyDescent="0.25">
      <c r="A34" s="12" t="s">
        <v>46</v>
      </c>
      <c r="B34" s="16">
        <v>1.08</v>
      </c>
      <c r="C34" s="16">
        <v>0.15</v>
      </c>
      <c r="D34" s="16">
        <v>0.32</v>
      </c>
      <c r="E34" s="10">
        <f t="shared" si="0"/>
        <v>1.7727586093693575E-5</v>
      </c>
      <c r="F34" s="10">
        <f t="shared" si="1"/>
        <v>5.5609105064135835E-6</v>
      </c>
      <c r="G34" s="10">
        <f t="shared" si="2"/>
        <v>1.188972282083674E-5</v>
      </c>
      <c r="H34" s="11">
        <f t="shared" si="3"/>
        <v>0.93</v>
      </c>
      <c r="I34" s="10">
        <f t="shared" si="4"/>
        <v>7.2000000000000011</v>
      </c>
      <c r="J34" s="11">
        <f t="shared" si="5"/>
        <v>-0.17</v>
      </c>
      <c r="K34" s="10">
        <f t="shared" si="6"/>
        <v>0.46875</v>
      </c>
    </row>
    <row r="35" spans="1:11" ht="18" x14ac:dyDescent="0.25">
      <c r="A35" s="15" t="s">
        <v>47</v>
      </c>
      <c r="B35" s="17">
        <v>1.6E-2</v>
      </c>
      <c r="C35" s="17">
        <v>1.6E-2</v>
      </c>
      <c r="D35" s="17">
        <v>1.6E-2</v>
      </c>
      <c r="E35" s="10">
        <f t="shared" si="0"/>
        <v>2.6263090509175666E-7</v>
      </c>
      <c r="F35" s="10">
        <f t="shared" si="1"/>
        <v>5.931637873507822E-7</v>
      </c>
      <c r="G35" s="10">
        <f t="shared" si="2"/>
        <v>5.9448614104183697E-7</v>
      </c>
      <c r="H35" s="11">
        <f t="shared" si="3"/>
        <v>0</v>
      </c>
      <c r="I35" s="10">
        <f t="shared" si="4"/>
        <v>1</v>
      </c>
      <c r="J35" s="11">
        <f t="shared" si="5"/>
        <v>0</v>
      </c>
      <c r="K35" s="10">
        <f t="shared" si="6"/>
        <v>1</v>
      </c>
    </row>
    <row r="36" spans="1:11" ht="18" x14ac:dyDescent="0.25">
      <c r="A36" s="12" t="s">
        <v>48</v>
      </c>
      <c r="B36" s="18">
        <v>0</v>
      </c>
      <c r="C36" s="18">
        <v>0</v>
      </c>
      <c r="D36" s="18">
        <v>0</v>
      </c>
      <c r="E36" s="10"/>
      <c r="F36" s="10"/>
      <c r="G36" s="10"/>
      <c r="H36" s="11"/>
      <c r="I36" s="10"/>
      <c r="J36" s="11"/>
      <c r="K36" s="10"/>
    </row>
    <row r="37" spans="1:11" ht="18" x14ac:dyDescent="0.25">
      <c r="A37" s="12" t="s">
        <v>49</v>
      </c>
      <c r="B37" s="13">
        <v>0.72719999999999996</v>
      </c>
      <c r="C37" s="13">
        <v>0.56930000000000003</v>
      </c>
      <c r="D37" s="13">
        <v>0.64929999999999999</v>
      </c>
      <c r="E37" s="10"/>
      <c r="F37" s="10"/>
      <c r="G37" s="10"/>
      <c r="H37" s="11"/>
      <c r="I37" s="10"/>
      <c r="J37" s="11"/>
      <c r="K37" s="10"/>
    </row>
    <row r="38" spans="1:11" ht="18" x14ac:dyDescent="0.25">
      <c r="A38" s="12" t="s">
        <v>50</v>
      </c>
      <c r="B38" s="13">
        <v>0.54120000000000001</v>
      </c>
      <c r="C38" s="13">
        <v>0.20680000000000001</v>
      </c>
      <c r="D38" s="13">
        <v>0.37309999999999999</v>
      </c>
      <c r="E38" s="10"/>
      <c r="F38" s="10"/>
      <c r="G38" s="10"/>
      <c r="H38" s="11"/>
      <c r="I38" s="10"/>
      <c r="J38" s="11"/>
      <c r="K38" s="10"/>
    </row>
    <row r="39" spans="1:11" ht="18" x14ac:dyDescent="0.25">
      <c r="A39" s="12" t="s">
        <v>51</v>
      </c>
      <c r="B39" s="13">
        <v>0.48849999999999999</v>
      </c>
      <c r="C39" s="13">
        <v>0.16189999999999999</v>
      </c>
      <c r="D39" s="13">
        <v>0.36230000000000001</v>
      </c>
      <c r="E39" s="10"/>
      <c r="F39" s="10"/>
      <c r="G39" s="10"/>
      <c r="H39" s="11"/>
      <c r="I39" s="10"/>
      <c r="J39" s="11"/>
      <c r="K39" s="10"/>
    </row>
    <row r="40" spans="1:11" ht="18" x14ac:dyDescent="0.25">
      <c r="A40" s="12" t="s">
        <v>52</v>
      </c>
      <c r="B40" s="13">
        <v>0.44350000000000001</v>
      </c>
      <c r="C40" s="13">
        <v>0.14119999999999999</v>
      </c>
      <c r="D40" s="13">
        <v>0.30209999999999998</v>
      </c>
      <c r="E40" s="10"/>
      <c r="F40" s="10"/>
      <c r="G40" s="10"/>
      <c r="H40" s="11"/>
      <c r="I40" s="10"/>
      <c r="J40" s="11"/>
      <c r="K40" s="10"/>
    </row>
    <row r="41" spans="1:11" ht="18" x14ac:dyDescent="0.25">
      <c r="A41" s="15" t="s">
        <v>2</v>
      </c>
      <c r="B41" s="9">
        <v>34480</v>
      </c>
      <c r="C41" s="9">
        <v>7121</v>
      </c>
      <c r="D41" s="9">
        <v>11215</v>
      </c>
      <c r="E41" s="10">
        <f t="shared" si="0"/>
        <v>0.56596960047273559</v>
      </c>
      <c r="F41" s="10">
        <f t="shared" si="1"/>
        <v>0.26399495810780754</v>
      </c>
      <c r="G41" s="10">
        <f t="shared" si="2"/>
        <v>0.41669762948651262</v>
      </c>
      <c r="H41" s="11">
        <f t="shared" si="3"/>
        <v>27359</v>
      </c>
      <c r="I41" s="10">
        <f t="shared" si="4"/>
        <v>4.8420165707063614</v>
      </c>
      <c r="J41" s="11">
        <f t="shared" si="5"/>
        <v>-4094</v>
      </c>
      <c r="K41" s="10">
        <f t="shared" si="6"/>
        <v>0.63495318769505127</v>
      </c>
    </row>
    <row r="42" spans="1:11" ht="18" x14ac:dyDescent="0.25">
      <c r="A42" s="12" t="s">
        <v>9</v>
      </c>
      <c r="B42" s="13">
        <v>0.56599999999999995</v>
      </c>
      <c r="C42" s="13">
        <v>0.26400000000000001</v>
      </c>
      <c r="D42" s="13">
        <v>0.41670000000000001</v>
      </c>
      <c r="E42" s="10"/>
      <c r="F42" s="10"/>
      <c r="G42" s="10"/>
      <c r="H42" s="11"/>
      <c r="I42" s="10"/>
      <c r="J42" s="11"/>
      <c r="K42" s="10"/>
    </row>
    <row r="43" spans="1:11" ht="18" x14ac:dyDescent="0.25">
      <c r="A43" s="12" t="s">
        <v>53</v>
      </c>
      <c r="B43" s="14">
        <v>1508</v>
      </c>
      <c r="C43" s="14">
        <v>1544</v>
      </c>
      <c r="D43" s="14">
        <v>1174</v>
      </c>
      <c r="E43" s="10">
        <f t="shared" si="0"/>
        <v>2.4752962804898065E-2</v>
      </c>
      <c r="F43" s="10">
        <f t="shared" si="1"/>
        <v>5.7240305479350488E-2</v>
      </c>
      <c r="G43" s="10">
        <f t="shared" si="2"/>
        <v>4.362042059894479E-2</v>
      </c>
      <c r="H43" s="11">
        <f t="shared" si="3"/>
        <v>-36</v>
      </c>
      <c r="I43" s="10">
        <f t="shared" si="4"/>
        <v>0.97668393782383423</v>
      </c>
      <c r="J43" s="11">
        <f t="shared" si="5"/>
        <v>370</v>
      </c>
      <c r="K43" s="10">
        <f t="shared" si="6"/>
        <v>1.3151618398637137</v>
      </c>
    </row>
    <row r="44" spans="1:11" ht="18" x14ac:dyDescent="0.25">
      <c r="A44" s="15" t="s">
        <v>22</v>
      </c>
      <c r="B44" s="9">
        <v>32972</v>
      </c>
      <c r="C44" s="9">
        <v>5577</v>
      </c>
      <c r="D44" s="9">
        <v>10041</v>
      </c>
      <c r="E44" s="10">
        <f t="shared" si="0"/>
        <v>0.54121663766783756</v>
      </c>
      <c r="F44" s="10">
        <f t="shared" si="1"/>
        <v>0.20675465262845702</v>
      </c>
      <c r="G44" s="10">
        <f t="shared" si="2"/>
        <v>0.37307720888756779</v>
      </c>
      <c r="H44" s="11">
        <f t="shared" si="3"/>
        <v>27395</v>
      </c>
      <c r="I44" s="10">
        <f t="shared" si="4"/>
        <v>5.9121391429083738</v>
      </c>
      <c r="J44" s="11">
        <f t="shared" si="5"/>
        <v>-4464</v>
      </c>
      <c r="K44" s="10">
        <f t="shared" si="6"/>
        <v>0.55542276665670753</v>
      </c>
    </row>
    <row r="45" spans="1:11" ht="18" x14ac:dyDescent="0.25">
      <c r="A45" s="12" t="s">
        <v>54</v>
      </c>
      <c r="B45" s="13">
        <v>0.54120000000000001</v>
      </c>
      <c r="C45" s="13">
        <v>0.20680000000000001</v>
      </c>
      <c r="D45" s="13">
        <v>0.37309999999999999</v>
      </c>
      <c r="E45" s="10"/>
      <c r="F45" s="10"/>
      <c r="G45" s="10"/>
      <c r="H45" s="1"/>
      <c r="I45" s="1"/>
      <c r="J45" s="1"/>
      <c r="K45" s="1"/>
    </row>
    <row r="46" spans="1:11" ht="18" x14ac:dyDescent="0.25">
      <c r="A46" s="19" t="s">
        <v>55</v>
      </c>
      <c r="B46" s="20">
        <v>0.12</v>
      </c>
      <c r="C46" s="21" t="s">
        <v>3</v>
      </c>
      <c r="D46" s="20">
        <v>1.9E-2</v>
      </c>
      <c r="E46" s="10"/>
      <c r="F46" s="10"/>
      <c r="G46" s="10"/>
      <c r="H46" s="1"/>
      <c r="I46" s="1"/>
      <c r="J46" s="1"/>
      <c r="K46" s="1"/>
    </row>
    <row r="48" spans="1:11" x14ac:dyDescent="0.25">
      <c r="B48" s="1">
        <v>2024</v>
      </c>
      <c r="C48" s="1">
        <v>2023</v>
      </c>
      <c r="D48" s="1">
        <v>2022</v>
      </c>
    </row>
    <row r="49" spans="1:4" x14ac:dyDescent="0.25">
      <c r="A49" s="1" t="s">
        <v>56</v>
      </c>
      <c r="B49" s="1">
        <v>61.02</v>
      </c>
      <c r="C49" s="1">
        <v>19.16</v>
      </c>
      <c r="D49" s="1">
        <v>22.84</v>
      </c>
    </row>
    <row r="50" spans="1:4" x14ac:dyDescent="0.25">
      <c r="A50" s="1" t="s">
        <v>57</v>
      </c>
      <c r="B50" s="1">
        <f>B49/B31</f>
        <v>51.27731092436975</v>
      </c>
      <c r="C50" s="1">
        <f>C49/C31</f>
        <v>112.70588235294117</v>
      </c>
      <c r="D50" s="1">
        <f>D49/D31</f>
        <v>58.564102564102562</v>
      </c>
    </row>
    <row r="54" spans="1:4" ht="42.75" customHeight="1" x14ac:dyDescent="0.25"/>
  </sheetData>
  <mergeCells count="3">
    <mergeCell ref="A3:K3"/>
    <mergeCell ref="A2:K2"/>
    <mergeCell ref="B1:K1"/>
  </mergeCells>
  <hyperlinks>
    <hyperlink ref="A6" r:id="rId1" display="https://stockanalysis.com/stocks/nvda/revenue/" xr:uid="{C40CFD13-CA36-42C0-AD42-942320B51EA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2024-09-13T12:45:09Z</dcterms:created>
  <dcterms:modified xsi:type="dcterms:W3CDTF">2024-09-16T12:14:29Z</dcterms:modified>
</cp:coreProperties>
</file>