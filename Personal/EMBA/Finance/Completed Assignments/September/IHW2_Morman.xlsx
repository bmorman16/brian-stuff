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EMBA\Finance\Completed Assignments\"/>
    </mc:Choice>
  </mc:AlternateContent>
  <xr:revisionPtr revIDLastSave="0" documentId="13_ncr:1_{50BC79B1-3B4D-458B-91CF-2DAD45DFA40F}" xr6:coauthVersionLast="47" xr6:coauthVersionMax="47" xr10:uidLastSave="{00000000-0000-0000-0000-000000000000}"/>
  <bookViews>
    <workbookView xWindow="0" yWindow="0" windowWidth="14400" windowHeight="15600" xr2:uid="{583B7DFC-E704-47C5-A264-3B1D7BFF1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K24" i="1"/>
  <c r="K23" i="1"/>
  <c r="K22" i="1"/>
  <c r="J24" i="1"/>
  <c r="J23" i="1"/>
  <c r="J22" i="1"/>
  <c r="C92" i="1"/>
  <c r="C93" i="1" s="1"/>
  <c r="B92" i="1"/>
  <c r="B93" i="1" s="1"/>
  <c r="C91" i="1"/>
  <c r="B91" i="1"/>
  <c r="C90" i="1"/>
  <c r="B90" i="1"/>
  <c r="G86" i="1"/>
  <c r="G85" i="1"/>
  <c r="G83" i="1"/>
  <c r="G78" i="1"/>
  <c r="G77" i="1"/>
  <c r="G76" i="1"/>
  <c r="G75" i="1"/>
  <c r="G74" i="1"/>
  <c r="G72" i="1"/>
  <c r="G71" i="1"/>
  <c r="G70" i="1"/>
  <c r="G69" i="1"/>
  <c r="G68" i="1"/>
  <c r="G67" i="1"/>
  <c r="G65" i="1"/>
  <c r="G63" i="1"/>
  <c r="G62" i="1"/>
  <c r="G61" i="1"/>
  <c r="G60" i="1"/>
  <c r="G59" i="1"/>
  <c r="G58" i="1"/>
  <c r="G57" i="1"/>
  <c r="G56" i="1"/>
  <c r="G55" i="1"/>
  <c r="G54" i="1"/>
  <c r="G53" i="1"/>
  <c r="G50" i="1"/>
  <c r="G49" i="1"/>
  <c r="G48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7" i="1"/>
  <c r="G25" i="1"/>
  <c r="G24" i="1"/>
  <c r="G23" i="1"/>
  <c r="G22" i="1"/>
  <c r="G21" i="1"/>
  <c r="G20" i="1"/>
  <c r="G19" i="1"/>
  <c r="G18" i="1"/>
  <c r="G17" i="1"/>
  <c r="G16" i="1"/>
  <c r="G13" i="1"/>
  <c r="G12" i="1"/>
  <c r="G11" i="1"/>
  <c r="G8" i="1"/>
  <c r="G7" i="1"/>
  <c r="F86" i="1"/>
  <c r="F85" i="1"/>
  <c r="F83" i="1"/>
  <c r="F78" i="1"/>
  <c r="F77" i="1"/>
  <c r="F76" i="1"/>
  <c r="F75" i="1"/>
  <c r="F74" i="1"/>
  <c r="F72" i="1"/>
  <c r="F71" i="1"/>
  <c r="F70" i="1"/>
  <c r="F69" i="1"/>
  <c r="F68" i="1"/>
  <c r="F67" i="1"/>
  <c r="F65" i="1"/>
  <c r="F63" i="1"/>
  <c r="F62" i="1"/>
  <c r="F61" i="1"/>
  <c r="F60" i="1"/>
  <c r="F59" i="1"/>
  <c r="F58" i="1"/>
  <c r="F57" i="1"/>
  <c r="F56" i="1"/>
  <c r="F55" i="1"/>
  <c r="F54" i="1"/>
  <c r="F53" i="1"/>
  <c r="F50" i="1"/>
  <c r="F49" i="1"/>
  <c r="F48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7" i="1"/>
  <c r="F25" i="1"/>
  <c r="F24" i="1"/>
  <c r="F23" i="1"/>
  <c r="F22" i="1"/>
  <c r="F21" i="1"/>
  <c r="F20" i="1"/>
  <c r="F19" i="1"/>
  <c r="F18" i="1"/>
  <c r="F17" i="1"/>
  <c r="F16" i="1"/>
  <c r="F13" i="1"/>
  <c r="F12" i="1"/>
  <c r="F11" i="1"/>
  <c r="F8" i="1"/>
  <c r="F7" i="1"/>
  <c r="E86" i="1"/>
  <c r="E85" i="1"/>
  <c r="E84" i="1"/>
  <c r="E83" i="1"/>
  <c r="E82" i="1"/>
  <c r="E78" i="1"/>
  <c r="E77" i="1"/>
  <c r="E76" i="1"/>
  <c r="E75" i="1"/>
  <c r="E74" i="1"/>
  <c r="E73" i="1"/>
  <c r="E72" i="1"/>
  <c r="E71" i="1"/>
  <c r="E70" i="1"/>
  <c r="E69" i="1"/>
  <c r="E68" i="1"/>
  <c r="E67" i="1"/>
  <c r="E65" i="1"/>
  <c r="E63" i="1"/>
  <c r="E62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5" i="1"/>
  <c r="E24" i="1"/>
  <c r="E23" i="1"/>
  <c r="E22" i="1"/>
  <c r="E21" i="1"/>
  <c r="E20" i="1"/>
  <c r="E19" i="1"/>
  <c r="E18" i="1"/>
  <c r="E17" i="1"/>
  <c r="E16" i="1"/>
  <c r="E15" i="1"/>
  <c r="E13" i="1"/>
  <c r="E12" i="1"/>
  <c r="E11" i="1"/>
  <c r="E10" i="1"/>
  <c r="E9" i="1"/>
  <c r="E8" i="1"/>
  <c r="E7" i="1"/>
  <c r="D86" i="1"/>
  <c r="D85" i="1"/>
  <c r="D84" i="1"/>
  <c r="D83" i="1"/>
  <c r="D82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5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7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7" i="1"/>
  <c r="D25" i="1"/>
  <c r="D24" i="1"/>
  <c r="D23" i="1"/>
  <c r="D22" i="1"/>
  <c r="D21" i="1"/>
  <c r="D20" i="1"/>
  <c r="D19" i="1"/>
  <c r="D18" i="1"/>
  <c r="D17" i="1"/>
  <c r="D16" i="1"/>
  <c r="D15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<sst xmlns="http://schemas.openxmlformats.org/spreadsheetml/2006/main" count="113" uniqueCount="99">
  <si>
    <t>Fiscal year is February-January. All values USD Millions.</t>
  </si>
  <si>
    <t>Cash &amp; Short Term Investments</t>
  </si>
  <si>
    <t>Cash Only</t>
  </si>
  <si>
    <t>Cash &amp; Short Term Investments Growth</t>
  </si>
  <si>
    <t>-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</si>
  <si>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</si>
  <si>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</si>
  <si>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</si>
  <si>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</si>
  <si>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</si>
  <si>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Accounts Receivable Growth</t>
  </si>
  <si>
    <t>Accounts Receivable Turnover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</si>
  <si>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</si>
  <si>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</si>
  <si>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</si>
  <si>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</si>
  <si>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</si>
  <si>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</si>
  <si>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</si>
  <si>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</si>
  <si>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</si>
  <si>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</si>
  <si>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</si>
  <si>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</si>
  <si>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</si>
  <si>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</si>
  <si>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Other Property, Plant &amp; Equipment</t>
  </si>
  <si>
    <t>Accumulated Depreciation</t>
  </si>
  <si>
    <t>Total Investments and Advances</t>
  </si>
  <si>
    <t>Other Long-Term Investments</t>
  </si>
  <si>
    <t>Intangible Assets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</si>
  <si>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</si>
  <si>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</si>
  <si>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</si>
  <si>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</si>
  <si>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</si>
  <si>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</si>
  <si>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</si>
  <si>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</si>
  <si>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</si>
  <si>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</si>
  <si>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All values USD Millions.</t>
  </si>
  <si>
    <t>ST Debt &amp; Current Portion LT Debt</t>
  </si>
  <si>
    <t>Short Term Debt</t>
  </si>
  <si>
    <t>Accounts Payable</t>
  </si>
  <si>
    <t>Accounts Payable Growth</t>
  </si>
  <si>
    <t>Income Tax Payable</t>
  </si>
  <si>
    <t>Other Current Liabilities</t>
  </si>
  <si>
    <t>Accrued Payroll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</si>
  <si>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</si>
  <si>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</si>
  <si>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</si>
  <si>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</si>
  <si>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</si>
  <si>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</si>
  <si>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</si>
  <si>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</si>
  <si>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Provision for Risks &amp; Charges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</si>
  <si>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</si>
  <si>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</si>
  <si>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</si>
  <si>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</si>
  <si>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</si>
  <si>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Deferred Income</t>
  </si>
  <si>
    <t>Total Liabilities</t>
  </si>
  <si>
    <t>Total Liabilities / Total Assets</t>
  </si>
  <si>
    <t>Common Equity (Total)</t>
  </si>
  <si>
    <t>Common Stock Par/Carry Value</t>
  </si>
  <si>
    <t>Additional Paid-In Capital/Capital Surplus</t>
  </si>
  <si>
    <t>Retained Earnings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</si>
  <si>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</si>
  <si>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</si>
  <si>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</si>
  <si>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</si>
  <si>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</si>
  <si>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Total Equity</t>
  </si>
  <si>
    <t>% Chg</t>
  </si>
  <si>
    <t>Common- sized</t>
  </si>
  <si>
    <t>2024-2023</t>
  </si>
  <si>
    <t>Current assets:</t>
  </si>
  <si>
    <t>Column 2 / Total assets 2024</t>
  </si>
  <si>
    <t>Column 3 / total assets 2023</t>
  </si>
  <si>
    <t>Column 2 minus column 3</t>
  </si>
  <si>
    <t>Column 6 / Column 3</t>
  </si>
  <si>
    <t>$ Chg</t>
  </si>
  <si>
    <t>Name</t>
  </si>
  <si>
    <t>IHW-2 Consolidated Balance Sheet</t>
  </si>
  <si>
    <t>NVIDIA Corperation</t>
  </si>
  <si>
    <t>Stock price per share on 9/10</t>
  </si>
  <si>
    <t>Number of shares outstanding</t>
  </si>
  <si>
    <t xml:space="preserve">Total Market value </t>
  </si>
  <si>
    <t>Book value SE per share</t>
  </si>
  <si>
    <t>Book Value of Total Stockholders' equity ($millions)</t>
  </si>
  <si>
    <t>Price to book (i.e. P/B ratio)</t>
  </si>
  <si>
    <t>Current assets / Total assets</t>
  </si>
  <si>
    <t>Non current assets</t>
  </si>
  <si>
    <t>Noncurrent assets / total assets</t>
  </si>
  <si>
    <t>Retained earnings / total assets</t>
  </si>
  <si>
    <t>Brian Morman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</si>
</sst>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rgb="FF45923D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232A3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5" fillId="0" borderId="0" xfId="0" applyFont="1" applyFill="1" applyBorder="1" applyAlignment="1">
      <alignment horizontal="left" vertical="center" wrapText="1"/>
    </xf>
    <xf numFmtId="3" fontId="6" fillId="0" borderId="0" xfId="0" applyNumberFormat="1" applyFont="1"/>
    <xf numFmtId="165" fontId="0" fillId="0" borderId="0" xfId="0" applyNumberFormat="1" applyFont="1"/>
    <xf numFmtId="165" fontId="5" fillId="0" borderId="0" xfId="0" applyNumberFormat="1" applyFont="1" applyFill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vertical="center" wrapText="1"/>
    </xf>
    <xf numFmtId="164" fontId="0" fillId="0" borderId="2" xfId="0" applyNumberFormat="1" applyFont="1" applyBorder="1"/>
    <xf numFmtId="3" fontId="0" fillId="0" borderId="2" xfId="0" applyNumberFormat="1" applyFont="1" applyBorder="1"/>
    <xf numFmtId="0" fontId="1" fillId="0" borderId="2" xfId="0" applyFont="1" applyBorder="1" applyAlignment="1">
      <alignment vertical="center" wrapText="1"/>
    </xf>
    <xf numFmtId="10" fontId="3" fillId="0" borderId="2" xfId="0" applyNumberFormat="1" applyFont="1" applyBorder="1" applyAlignment="1">
      <alignment vertical="center" wrapText="1"/>
    </xf>
    <xf numFmtId="9" fontId="0" fillId="0" borderId="2" xfId="0" applyNumberFormat="1" applyFont="1" applyBorder="1"/>
    <xf numFmtId="10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right" wrapText="1"/>
    </xf>
    <xf numFmtId="3" fontId="1" fillId="2" borderId="2" xfId="0" applyNumberFormat="1" applyFont="1" applyFill="1" applyBorder="1" applyAlignment="1">
      <alignment horizontal="right" vertical="center" wrapText="1"/>
    </xf>
    <xf numFmtId="10" fontId="4" fillId="2" borderId="2" xfId="0" applyNumberFormat="1" applyFont="1" applyFill="1" applyBorder="1" applyAlignment="1">
      <alignment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2" borderId="2" xfId="0" applyFont="1" applyFill="1" applyBorder="1"/>
    <xf numFmtId="3" fontId="5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wrapText="1"/>
    </xf>
    <xf numFmtId="164" fontId="0" fillId="2" borderId="2" xfId="0" applyNumberFormat="1" applyFont="1" applyFill="1" applyBorder="1"/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right" wrapText="1"/>
    </xf>
    <xf numFmtId="0" fontId="8" fillId="2" borderId="2" xfId="0" applyFont="1" applyFill="1" applyBorder="1" applyAlignment="1">
      <alignment horizontal="right" wrapText="1"/>
    </xf>
    <xf numFmtId="0" fontId="7" fillId="0" borderId="2" xfId="0" applyFont="1" applyBorder="1"/>
    <xf numFmtId="0" fontId="7" fillId="2" borderId="2" xfId="0" applyFont="1" applyFill="1" applyBorder="1"/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 indent="4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 indent="2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 indent="4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24D8-A001-410D-B52D-78CEAA91CA5A}">
  <dimension ref="A1:K93"/>
  <sheetViews>
    <sheetView tabSelected="1" workbookViewId="0">
      <selection activeCell="E5" sqref="E5"/>
    </sheetView>
  </sheetViews>
  <sheetFormatPr defaultRowHeight="15" x14ac:dyDescent="0.25"/>
  <cols>
    <col min="1" max="1" width="20.85546875" style="1" customWidth="1"/>
    <col min="2" max="2" width="11.7109375" style="1" customWidth="1"/>
    <col min="3" max="3" width="10.7109375" style="1" customWidth="1"/>
    <col min="4" max="4" width="11.28515625" style="1" bestFit="1" customWidth="1"/>
    <col min="5" max="5" width="11" style="1" customWidth="1"/>
    <col min="6" max="7" width="9.7109375" style="1" bestFit="1" customWidth="1"/>
    <col min="8" max="8" width="9.140625" style="1"/>
    <col min="9" max="9" width="29.28515625" style="1" bestFit="1" customWidth="1"/>
    <col min="10" max="16384" width="9.140625" style="1"/>
  </cols>
  <sheetData>
    <row r="1" spans="1:7" x14ac:dyDescent="0.25">
      <c r="A1" s="8" t="s">
        <v>85</v>
      </c>
      <c r="B1" s="51" t="s">
        <v>98</v>
      </c>
      <c r="C1" s="52"/>
      <c r="D1" s="52"/>
      <c r="E1" s="52"/>
      <c r="F1" s="52"/>
      <c r="G1" s="53"/>
    </row>
    <row r="2" spans="1:7" x14ac:dyDescent="0.25">
      <c r="A2" s="51" t="s">
        <v>86</v>
      </c>
      <c r="B2" s="52"/>
      <c r="C2" s="52"/>
      <c r="D2" s="52"/>
      <c r="E2" s="52"/>
      <c r="F2" s="52"/>
      <c r="G2" s="53"/>
    </row>
    <row r="3" spans="1:7" x14ac:dyDescent="0.25">
      <c r="A3" s="51" t="s">
        <v>87</v>
      </c>
      <c r="B3" s="52"/>
      <c r="C3" s="52"/>
      <c r="D3" s="52"/>
      <c r="E3" s="52"/>
      <c r="F3" s="52"/>
      <c r="G3" s="53"/>
    </row>
    <row r="4" spans="1:7" ht="30" x14ac:dyDescent="0.25">
      <c r="A4" s="8"/>
      <c r="B4" s="8"/>
      <c r="C4" s="8"/>
      <c r="D4" s="9" t="s">
        <v>77</v>
      </c>
      <c r="E4" s="9" t="s">
        <v>77</v>
      </c>
      <c r="F4" s="8" t="s">
        <v>84</v>
      </c>
      <c r="G4" s="8" t="s">
        <v>76</v>
      </c>
    </row>
    <row r="5" spans="1:7" ht="60" x14ac:dyDescent="0.25">
      <c r="A5" s="38" t="s">
        <v>0</v>
      </c>
      <c r="B5" s="39">
        <v>2024</v>
      </c>
      <c r="C5" s="40">
        <v>2023</v>
      </c>
      <c r="D5" s="41">
        <v>2024</v>
      </c>
      <c r="E5" s="42">
        <v>2023</v>
      </c>
      <c r="F5" s="41" t="s">
        <v>78</v>
      </c>
      <c r="G5" s="42" t="s">
        <v>78</v>
      </c>
    </row>
    <row r="6" spans="1:7" ht="45" x14ac:dyDescent="0.25">
      <c r="A6" s="38" t="s">
        <v>79</v>
      </c>
      <c r="B6" s="10"/>
      <c r="C6" s="24"/>
      <c r="D6" s="9" t="s">
        <v>80</v>
      </c>
      <c r="E6" s="36" t="s">
        <v>81</v>
      </c>
      <c r="F6" s="9" t="s">
        <v>82</v>
      </c>
      <c r="G6" s="36" t="s">
        <v>83</v>
      </c>
    </row>
    <row r="7" spans="1:7" ht="30" x14ac:dyDescent="0.25">
      <c r="A7" s="43" t="s">
        <v>1</v>
      </c>
      <c r="B7" s="11">
        <v>25984</v>
      </c>
      <c r="C7" s="25">
        <v>13296</v>
      </c>
      <c r="D7" s="12">
        <f>B7/$B$41</f>
        <v>0.39532619279454723</v>
      </c>
      <c r="E7" s="37">
        <f>C7/$C$41</f>
        <v>0.3228595017240542</v>
      </c>
      <c r="F7" s="13">
        <f>B7-C7</f>
        <v>12688</v>
      </c>
      <c r="G7" s="37">
        <f>F7/C7</f>
        <v>0.95427196149217808</v>
      </c>
    </row>
    <row r="8" spans="1:7" x14ac:dyDescent="0.25">
      <c r="A8" s="44" t="s">
        <v>2</v>
      </c>
      <c r="B8" s="11">
        <v>7280</v>
      </c>
      <c r="C8" s="25">
        <v>3389</v>
      </c>
      <c r="D8" s="12">
        <f t="shared" ref="D8:D71" si="0">B8/$B$41</f>
        <v>0.11075949367088607</v>
      </c>
      <c r="E8" s="37">
        <f t="shared" ref="E8:E71" si="1">C8/$C$41</f>
        <v>8.2293234908455151E-2</v>
      </c>
      <c r="F8" s="13">
        <f t="shared" ref="F8:F71" si="2">B8-C8</f>
        <v>3891</v>
      </c>
      <c r="G8" s="37">
        <f t="shared" ref="G8:G71" si="3">F8/C8</f>
        <v>1.1481262909412806</v>
      </c>
    </row>
    <row r="9" spans="1:7" ht="45" x14ac:dyDescent="0.25">
      <c r="A9" s="45" t="s">
        <v>3</v>
      </c>
      <c r="B9" s="15">
        <v>0.95430000000000004</v>
      </c>
      <c r="C9" s="26">
        <v>-0.37309999999999999</v>
      </c>
      <c r="D9" s="12">
        <f t="shared" si="0"/>
        <v>1.4518926484907498E-5</v>
      </c>
      <c r="E9" s="37">
        <f t="shared" si="1"/>
        <v>-9.0597834005147885E-6</v>
      </c>
      <c r="F9" s="16"/>
      <c r="G9" s="37"/>
    </row>
    <row r="10" spans="1:7" ht="45" x14ac:dyDescent="0.25">
      <c r="A10" s="44" t="s">
        <v>5</v>
      </c>
      <c r="B10" s="17">
        <v>0.39529999999999998</v>
      </c>
      <c r="C10" s="27">
        <v>0.32290000000000002</v>
      </c>
      <c r="D10" s="12">
        <f t="shared" si="0"/>
        <v>6.0141796494644596E-6</v>
      </c>
      <c r="E10" s="37">
        <f t="shared" si="1"/>
        <v>7.8408042348598903E-6</v>
      </c>
      <c r="F10" s="13"/>
      <c r="G10" s="37"/>
    </row>
    <row r="11" spans="1:7" ht="30" x14ac:dyDescent="0.25">
      <c r="A11" s="43" t="s">
        <v>6</v>
      </c>
      <c r="B11" s="11">
        <v>9999</v>
      </c>
      <c r="C11" s="25">
        <v>3827</v>
      </c>
      <c r="D11" s="12">
        <f t="shared" si="0"/>
        <v>0.15212694741966895</v>
      </c>
      <c r="E11" s="37">
        <f t="shared" si="1"/>
        <v>9.2928949541061623E-2</v>
      </c>
      <c r="F11" s="13">
        <f t="shared" si="2"/>
        <v>6172</v>
      </c>
      <c r="G11" s="37">
        <f t="shared" si="3"/>
        <v>1.6127515024823622</v>
      </c>
    </row>
    <row r="12" spans="1:7" ht="45" x14ac:dyDescent="0.25">
      <c r="A12" s="44" t="s">
        <v>7</v>
      </c>
      <c r="B12" s="11">
        <v>9999</v>
      </c>
      <c r="C12" s="25">
        <v>3827</v>
      </c>
      <c r="D12" s="12">
        <f t="shared" si="0"/>
        <v>0.15212694741966895</v>
      </c>
      <c r="E12" s="37">
        <f t="shared" si="1"/>
        <v>9.2928949541061623E-2</v>
      </c>
      <c r="F12" s="13">
        <f t="shared" si="2"/>
        <v>6172</v>
      </c>
      <c r="G12" s="37">
        <f t="shared" si="3"/>
        <v>1.6127515024823622</v>
      </c>
    </row>
    <row r="13" spans="1:7" ht="45" x14ac:dyDescent="0.25">
      <c r="A13" s="46" t="s">
        <v>8</v>
      </c>
      <c r="B13" s="11">
        <v>9999</v>
      </c>
      <c r="C13" s="25">
        <v>3827</v>
      </c>
      <c r="D13" s="12">
        <f t="shared" si="0"/>
        <v>0.15212694741966895</v>
      </c>
      <c r="E13" s="37">
        <f t="shared" si="1"/>
        <v>9.2928949541061623E-2</v>
      </c>
      <c r="F13" s="13">
        <f t="shared" si="2"/>
        <v>6172</v>
      </c>
      <c r="G13" s="37">
        <f t="shared" si="3"/>
        <v>1.6127515024823622</v>
      </c>
    </row>
    <row r="14" spans="1:7" ht="30" x14ac:dyDescent="0.25">
      <c r="A14" s="45" t="s">
        <v>9</v>
      </c>
      <c r="B14" s="14" t="s">
        <v>4</v>
      </c>
      <c r="C14" s="28" t="s">
        <v>4</v>
      </c>
      <c r="D14" s="12"/>
      <c r="E14" s="37"/>
      <c r="F14" s="13"/>
      <c r="G14" s="37"/>
    </row>
    <row r="15" spans="1:7" ht="30" x14ac:dyDescent="0.25">
      <c r="A15" s="45" t="s">
        <v>10</v>
      </c>
      <c r="B15" s="15">
        <v>1.6128</v>
      </c>
      <c r="C15" s="26">
        <v>-0.17699999999999999</v>
      </c>
      <c r="D15" s="12">
        <f t="shared" si="0"/>
        <v>2.4537487828627068E-5</v>
      </c>
      <c r="E15" s="37">
        <f t="shared" si="1"/>
        <v>-4.2979942693409736E-6</v>
      </c>
      <c r="F15" s="13"/>
      <c r="G15" s="37"/>
    </row>
    <row r="16" spans="1:7" ht="45" x14ac:dyDescent="0.25">
      <c r="A16" s="44" t="s">
        <v>11</v>
      </c>
      <c r="B16" s="18">
        <v>6.09</v>
      </c>
      <c r="C16" s="29">
        <v>7.05</v>
      </c>
      <c r="D16" s="12">
        <f t="shared" si="0"/>
        <v>9.2654576436222008E-5</v>
      </c>
      <c r="E16" s="37">
        <f t="shared" si="1"/>
        <v>1.7119129716866593E-4</v>
      </c>
      <c r="F16" s="13">
        <f t="shared" si="2"/>
        <v>-0.96</v>
      </c>
      <c r="G16" s="37">
        <f t="shared" si="3"/>
        <v>-0.13617021276595745</v>
      </c>
    </row>
    <row r="17" spans="1:11" x14ac:dyDescent="0.25">
      <c r="A17" s="43" t="s">
        <v>12</v>
      </c>
      <c r="B17" s="11">
        <v>5282</v>
      </c>
      <c r="C17" s="25">
        <v>5159</v>
      </c>
      <c r="D17" s="12">
        <f t="shared" si="0"/>
        <v>8.0361489776046735E-2</v>
      </c>
      <c r="E17" s="37">
        <f t="shared" si="1"/>
        <v>0.1252731776018649</v>
      </c>
      <c r="F17" s="13">
        <f t="shared" si="2"/>
        <v>123</v>
      </c>
      <c r="G17" s="37">
        <f t="shared" si="3"/>
        <v>2.3841829811979066E-2</v>
      </c>
    </row>
    <row r="18" spans="1:11" x14ac:dyDescent="0.25">
      <c r="A18" s="44" t="s">
        <v>13</v>
      </c>
      <c r="B18" s="11">
        <v>2058</v>
      </c>
      <c r="C18" s="25">
        <v>2263</v>
      </c>
      <c r="D18" s="12">
        <f t="shared" si="0"/>
        <v>3.1310856864654332E-2</v>
      </c>
      <c r="E18" s="37">
        <f t="shared" si="1"/>
        <v>5.4951192268466807E-2</v>
      </c>
      <c r="F18" s="13">
        <f t="shared" si="2"/>
        <v>-205</v>
      </c>
      <c r="G18" s="37">
        <f t="shared" si="3"/>
        <v>-9.0587715422006193E-2</v>
      </c>
    </row>
    <row r="19" spans="1:11" ht="30" x14ac:dyDescent="0.25">
      <c r="A19" s="44" t="s">
        <v>14</v>
      </c>
      <c r="B19" s="11">
        <v>1505</v>
      </c>
      <c r="C19" s="30">
        <v>466</v>
      </c>
      <c r="D19" s="12">
        <f t="shared" si="0"/>
        <v>2.2897395326192796E-2</v>
      </c>
      <c r="E19" s="37">
        <f t="shared" si="1"/>
        <v>1.1315623330581321E-2</v>
      </c>
      <c r="F19" s="13">
        <f t="shared" si="2"/>
        <v>1039</v>
      </c>
      <c r="G19" s="37">
        <f t="shared" si="3"/>
        <v>2.2296137339055795</v>
      </c>
    </row>
    <row r="20" spans="1:11" x14ac:dyDescent="0.25">
      <c r="A20" s="44" t="s">
        <v>15</v>
      </c>
      <c r="B20" s="11">
        <v>1719</v>
      </c>
      <c r="C20" s="25">
        <v>2430</v>
      </c>
      <c r="D20" s="12">
        <f t="shared" si="0"/>
        <v>2.615323758519961E-2</v>
      </c>
      <c r="E20" s="37">
        <f t="shared" si="1"/>
        <v>5.9006362002816767E-2</v>
      </c>
      <c r="F20" s="13">
        <f t="shared" si="2"/>
        <v>-711</v>
      </c>
      <c r="G20" s="37">
        <f t="shared" si="3"/>
        <v>-0.29259259259259257</v>
      </c>
    </row>
    <row r="21" spans="1:11" ht="30" x14ac:dyDescent="0.25">
      <c r="A21" s="43" t="s">
        <v>16</v>
      </c>
      <c r="B21" s="11">
        <v>3080</v>
      </c>
      <c r="C21" s="30">
        <v>791</v>
      </c>
      <c r="D21" s="12">
        <f t="shared" si="0"/>
        <v>4.6859785783836413E-2</v>
      </c>
      <c r="E21" s="37">
        <f t="shared" si="1"/>
        <v>1.9207420717789324E-2</v>
      </c>
      <c r="F21" s="13">
        <f t="shared" si="2"/>
        <v>2289</v>
      </c>
      <c r="G21" s="37">
        <f t="shared" si="3"/>
        <v>2.8938053097345131</v>
      </c>
      <c r="J21" s="1">
        <v>2024</v>
      </c>
      <c r="K21" s="1">
        <v>2023</v>
      </c>
    </row>
    <row r="22" spans="1:11" ht="30" x14ac:dyDescent="0.25">
      <c r="A22" s="44" t="s">
        <v>17</v>
      </c>
      <c r="B22" s="11">
        <v>3080</v>
      </c>
      <c r="C22" s="30">
        <v>791</v>
      </c>
      <c r="D22" s="12">
        <f t="shared" si="0"/>
        <v>4.6859785783836413E-2</v>
      </c>
      <c r="E22" s="37">
        <f t="shared" si="1"/>
        <v>1.9207420717789324E-2</v>
      </c>
      <c r="F22" s="13">
        <f t="shared" si="2"/>
        <v>2289</v>
      </c>
      <c r="G22" s="37">
        <f t="shared" si="3"/>
        <v>2.8938053097345131</v>
      </c>
      <c r="I22" s="1" t="s">
        <v>94</v>
      </c>
      <c r="J22" s="1">
        <f>B23/B41</f>
        <v>0.67467441577409937</v>
      </c>
      <c r="K22" s="1">
        <f>C23/C41</f>
        <v>0.56026904958477008</v>
      </c>
    </row>
    <row r="23" spans="1:11" ht="30" x14ac:dyDescent="0.25">
      <c r="A23" s="43" t="s">
        <v>18</v>
      </c>
      <c r="B23" s="11">
        <v>44345</v>
      </c>
      <c r="C23" s="25">
        <v>23073</v>
      </c>
      <c r="D23" s="12">
        <f t="shared" si="0"/>
        <v>0.67467441577409937</v>
      </c>
      <c r="E23" s="37">
        <f t="shared" si="1"/>
        <v>0.56026904958477008</v>
      </c>
      <c r="F23" s="13">
        <f t="shared" si="2"/>
        <v>21272</v>
      </c>
      <c r="G23" s="37">
        <f t="shared" si="3"/>
        <v>0.92194339704416417</v>
      </c>
      <c r="I23" s="1" t="s">
        <v>95</v>
      </c>
      <c r="J23" s="2">
        <f>B41-B23</f>
        <v>21383</v>
      </c>
      <c r="K23" s="2">
        <f>C41-C23</f>
        <v>18109</v>
      </c>
    </row>
    <row r="24" spans="1:11" ht="30" x14ac:dyDescent="0.25">
      <c r="A24" s="43" t="s">
        <v>19</v>
      </c>
      <c r="B24" s="11">
        <v>5260</v>
      </c>
      <c r="C24" s="25">
        <v>4845</v>
      </c>
      <c r="D24" s="12">
        <f t="shared" si="0"/>
        <v>8.0026777020447901E-2</v>
      </c>
      <c r="E24" s="37">
        <f t="shared" si="1"/>
        <v>0.11764848720314701</v>
      </c>
      <c r="F24" s="13">
        <f t="shared" si="2"/>
        <v>415</v>
      </c>
      <c r="G24" s="37">
        <f t="shared" si="3"/>
        <v>8.5655314757481935E-2</v>
      </c>
      <c r="I24" s="1" t="s">
        <v>96</v>
      </c>
      <c r="J24" s="1">
        <f>1-J22</f>
        <v>0.32532558422590063</v>
      </c>
      <c r="K24" s="1">
        <f>1-K22</f>
        <v>0.43973095041522992</v>
      </c>
    </row>
    <row r="25" spans="1:11" ht="45" x14ac:dyDescent="0.25">
      <c r="A25" s="44" t="s">
        <v>20</v>
      </c>
      <c r="B25" s="11">
        <v>8769</v>
      </c>
      <c r="C25" s="25">
        <v>7539</v>
      </c>
      <c r="D25" s="12">
        <f t="shared" si="0"/>
        <v>0.13341346153846154</v>
      </c>
      <c r="E25" s="37">
        <f t="shared" si="1"/>
        <v>0.18306541692972658</v>
      </c>
      <c r="F25" s="13">
        <f t="shared" si="2"/>
        <v>1230</v>
      </c>
      <c r="G25" s="37">
        <f t="shared" si="3"/>
        <v>0.1631516116195782</v>
      </c>
      <c r="I25" s="1" t="s">
        <v>97</v>
      </c>
      <c r="J25" s="1">
        <f>B77/B41</f>
        <v>0.4536422833495618</v>
      </c>
      <c r="K25" s="1">
        <f>C77/C41</f>
        <v>0.24697683453936187</v>
      </c>
    </row>
    <row r="26" spans="1:11" x14ac:dyDescent="0.25">
      <c r="A26" s="46" t="s">
        <v>21</v>
      </c>
      <c r="B26" s="19" t="s">
        <v>4</v>
      </c>
      <c r="C26" s="30" t="s">
        <v>4</v>
      </c>
      <c r="D26" s="12"/>
      <c r="E26" s="37"/>
      <c r="F26" s="13"/>
      <c r="G26" s="37"/>
    </row>
    <row r="27" spans="1:11" ht="30" x14ac:dyDescent="0.25">
      <c r="A27" s="46" t="s">
        <v>22</v>
      </c>
      <c r="B27" s="19">
        <v>218</v>
      </c>
      <c r="C27" s="30">
        <v>218</v>
      </c>
      <c r="D27" s="12">
        <f t="shared" si="0"/>
        <v>3.3166991236611488E-3</v>
      </c>
      <c r="E27" s="37">
        <f t="shared" si="1"/>
        <v>5.2935748628041377E-3</v>
      </c>
      <c r="F27" s="13">
        <f t="shared" si="2"/>
        <v>0</v>
      </c>
      <c r="G27" s="37">
        <f t="shared" si="3"/>
        <v>0</v>
      </c>
    </row>
    <row r="28" spans="1:11" ht="30" x14ac:dyDescent="0.25">
      <c r="A28" s="46" t="s">
        <v>23</v>
      </c>
      <c r="B28" s="19" t="s">
        <v>4</v>
      </c>
      <c r="C28" s="30" t="s">
        <v>4</v>
      </c>
      <c r="D28" s="12"/>
      <c r="E28" s="37"/>
      <c r="F28" s="13"/>
      <c r="G28" s="37"/>
    </row>
    <row r="29" spans="1:11" ht="30" x14ac:dyDescent="0.25">
      <c r="A29" s="46" t="s">
        <v>24</v>
      </c>
      <c r="B29" s="19">
        <v>189</v>
      </c>
      <c r="C29" s="30">
        <v>382</v>
      </c>
      <c r="D29" s="12">
        <f t="shared" si="0"/>
        <v>2.8754868549172347E-3</v>
      </c>
      <c r="E29" s="37">
        <f t="shared" si="1"/>
        <v>9.2758972366567913E-3</v>
      </c>
      <c r="F29" s="13">
        <f t="shared" si="2"/>
        <v>-193</v>
      </c>
      <c r="G29" s="37">
        <f t="shared" si="3"/>
        <v>-0.50523560209424079</v>
      </c>
    </row>
    <row r="30" spans="1:11" ht="45" x14ac:dyDescent="0.25">
      <c r="A30" s="46" t="s">
        <v>25</v>
      </c>
      <c r="B30" s="11">
        <v>5200</v>
      </c>
      <c r="C30" s="25">
        <v>4303</v>
      </c>
      <c r="D30" s="12">
        <f t="shared" si="0"/>
        <v>7.9113924050632917E-2</v>
      </c>
      <c r="E30" s="37">
        <f t="shared" si="1"/>
        <v>0.10448739740663397</v>
      </c>
      <c r="F30" s="13">
        <f t="shared" si="2"/>
        <v>897</v>
      </c>
      <c r="G30" s="37">
        <f t="shared" si="3"/>
        <v>0.20845921450151059</v>
      </c>
    </row>
    <row r="31" spans="1:11" ht="60" x14ac:dyDescent="0.25">
      <c r="A31" s="46" t="s">
        <v>26</v>
      </c>
      <c r="B31" s="11">
        <v>1816</v>
      </c>
      <c r="C31" s="25">
        <v>1598</v>
      </c>
      <c r="D31" s="12">
        <f t="shared" si="0"/>
        <v>2.7629016553067185E-2</v>
      </c>
      <c r="E31" s="37">
        <f t="shared" si="1"/>
        <v>3.8803360691564273E-2</v>
      </c>
      <c r="F31" s="13">
        <f t="shared" si="2"/>
        <v>218</v>
      </c>
      <c r="G31" s="37">
        <f t="shared" si="3"/>
        <v>0.13642052565707133</v>
      </c>
    </row>
    <row r="32" spans="1:11" ht="30" x14ac:dyDescent="0.25">
      <c r="A32" s="44" t="s">
        <v>27</v>
      </c>
      <c r="B32" s="11">
        <v>3509</v>
      </c>
      <c r="C32" s="25">
        <v>2694</v>
      </c>
      <c r="D32" s="12">
        <f t="shared" si="0"/>
        <v>5.3386684518013629E-2</v>
      </c>
      <c r="E32" s="37">
        <f t="shared" si="1"/>
        <v>6.5416929726579573E-2</v>
      </c>
      <c r="F32" s="13">
        <f t="shared" si="2"/>
        <v>815</v>
      </c>
      <c r="G32" s="37">
        <f t="shared" si="3"/>
        <v>0.30252412769116555</v>
      </c>
    </row>
    <row r="33" spans="1:7" ht="30" x14ac:dyDescent="0.25">
      <c r="A33" s="43" t="s">
        <v>28</v>
      </c>
      <c r="B33" s="11">
        <v>1546</v>
      </c>
      <c r="C33" s="30">
        <v>299</v>
      </c>
      <c r="D33" s="12">
        <f t="shared" si="0"/>
        <v>2.3521178188899709E-2</v>
      </c>
      <c r="E33" s="37">
        <f t="shared" si="1"/>
        <v>7.2604535962313629E-3</v>
      </c>
      <c r="F33" s="13">
        <f t="shared" si="2"/>
        <v>1247</v>
      </c>
      <c r="G33" s="37">
        <f t="shared" si="3"/>
        <v>4.1705685618729094</v>
      </c>
    </row>
    <row r="34" spans="1:7" ht="45" x14ac:dyDescent="0.25">
      <c r="A34" s="44" t="s">
        <v>29</v>
      </c>
      <c r="B34" s="11">
        <v>1546</v>
      </c>
      <c r="C34" s="30">
        <v>299</v>
      </c>
      <c r="D34" s="12">
        <f t="shared" si="0"/>
        <v>2.3521178188899709E-2</v>
      </c>
      <c r="E34" s="37">
        <f t="shared" si="1"/>
        <v>7.2604535962313629E-3</v>
      </c>
      <c r="F34" s="13">
        <f t="shared" si="2"/>
        <v>1247</v>
      </c>
      <c r="G34" s="37">
        <f t="shared" si="3"/>
        <v>4.1705685618729094</v>
      </c>
    </row>
    <row r="35" spans="1:7" x14ac:dyDescent="0.25">
      <c r="A35" s="43" t="s">
        <v>30</v>
      </c>
      <c r="B35" s="11">
        <v>5542</v>
      </c>
      <c r="C35" s="25">
        <v>6048</v>
      </c>
      <c r="D35" s="12">
        <f t="shared" si="0"/>
        <v>8.4317185978578388E-2</v>
      </c>
      <c r="E35" s="37">
        <f t="shared" si="1"/>
        <v>0.14686027876256616</v>
      </c>
      <c r="F35" s="13">
        <f t="shared" si="2"/>
        <v>-506</v>
      </c>
      <c r="G35" s="37">
        <f t="shared" si="3"/>
        <v>-8.3664021164021163E-2</v>
      </c>
    </row>
    <row r="36" spans="1:7" x14ac:dyDescent="0.25">
      <c r="A36" s="44" t="s">
        <v>31</v>
      </c>
      <c r="B36" s="11">
        <v>4430</v>
      </c>
      <c r="C36" s="25">
        <v>4372</v>
      </c>
      <c r="D36" s="12">
        <f t="shared" si="0"/>
        <v>6.739897760467381E-2</v>
      </c>
      <c r="E36" s="37">
        <f t="shared" si="1"/>
        <v>0.10616288669807197</v>
      </c>
      <c r="F36" s="13">
        <f t="shared" si="2"/>
        <v>58</v>
      </c>
      <c r="G36" s="37">
        <f t="shared" si="3"/>
        <v>1.3266239707227814E-2</v>
      </c>
    </row>
    <row r="37" spans="1:7" ht="30" x14ac:dyDescent="0.25">
      <c r="A37" s="44" t="s">
        <v>32</v>
      </c>
      <c r="B37" s="11">
        <v>1112</v>
      </c>
      <c r="C37" s="25">
        <v>1676</v>
      </c>
      <c r="D37" s="12">
        <f t="shared" si="0"/>
        <v>1.6918208373904578E-2</v>
      </c>
      <c r="E37" s="37">
        <f t="shared" si="1"/>
        <v>4.0697392064494194E-2</v>
      </c>
      <c r="F37" s="13">
        <f t="shared" si="2"/>
        <v>-564</v>
      </c>
      <c r="G37" s="37">
        <f t="shared" si="3"/>
        <v>-0.33651551312649164</v>
      </c>
    </row>
    <row r="38" spans="1:7" x14ac:dyDescent="0.25">
      <c r="A38" s="43" t="s">
        <v>33</v>
      </c>
      <c r="B38" s="11">
        <v>2954</v>
      </c>
      <c r="C38" s="25">
        <v>3521</v>
      </c>
      <c r="D38" s="12">
        <f t="shared" si="0"/>
        <v>4.4942794547224926E-2</v>
      </c>
      <c r="E38" s="37">
        <f t="shared" si="1"/>
        <v>8.5498518770336554E-2</v>
      </c>
      <c r="F38" s="13">
        <f t="shared" si="2"/>
        <v>-567</v>
      </c>
      <c r="G38" s="37">
        <f t="shared" si="3"/>
        <v>-0.1610337972166998</v>
      </c>
    </row>
    <row r="39" spans="1:7" ht="30" x14ac:dyDescent="0.25">
      <c r="A39" s="44" t="s">
        <v>34</v>
      </c>
      <c r="B39" s="11">
        <v>2822</v>
      </c>
      <c r="C39" s="25">
        <v>3376</v>
      </c>
      <c r="D39" s="12">
        <f t="shared" si="0"/>
        <v>4.2934518013631941E-2</v>
      </c>
      <c r="E39" s="37">
        <f t="shared" si="1"/>
        <v>8.1977563012966825E-2</v>
      </c>
      <c r="F39" s="13">
        <f t="shared" si="2"/>
        <v>-554</v>
      </c>
      <c r="G39" s="37">
        <f t="shared" si="3"/>
        <v>-0.1640995260663507</v>
      </c>
    </row>
    <row r="40" spans="1:7" ht="30" x14ac:dyDescent="0.25">
      <c r="A40" s="44" t="s">
        <v>35</v>
      </c>
      <c r="B40" s="19">
        <v>132</v>
      </c>
      <c r="C40" s="30">
        <v>145</v>
      </c>
      <c r="D40" s="12">
        <f t="shared" si="0"/>
        <v>2.0082765335929895E-3</v>
      </c>
      <c r="E40" s="37">
        <f t="shared" si="1"/>
        <v>3.5209557573697248E-3</v>
      </c>
      <c r="F40" s="13">
        <f t="shared" si="2"/>
        <v>-13</v>
      </c>
      <c r="G40" s="37">
        <f t="shared" si="3"/>
        <v>-8.9655172413793102E-2</v>
      </c>
    </row>
    <row r="41" spans="1:7" x14ac:dyDescent="0.25">
      <c r="A41" s="43" t="s">
        <v>36</v>
      </c>
      <c r="B41" s="11">
        <v>65728</v>
      </c>
      <c r="C41" s="25">
        <v>41182</v>
      </c>
      <c r="D41" s="12">
        <f t="shared" si="0"/>
        <v>1</v>
      </c>
      <c r="E41" s="37">
        <f t="shared" si="1"/>
        <v>1</v>
      </c>
      <c r="F41" s="13">
        <f t="shared" si="2"/>
        <v>24546</v>
      </c>
      <c r="G41" s="37">
        <f t="shared" si="3"/>
        <v>0.59603710358894668</v>
      </c>
    </row>
    <row r="42" spans="1:7" ht="30" x14ac:dyDescent="0.25">
      <c r="A42" s="45" t="s">
        <v>37</v>
      </c>
      <c r="B42" s="15">
        <v>0.59599999999999997</v>
      </c>
      <c r="C42" s="26">
        <v>-6.8000000000000005E-2</v>
      </c>
      <c r="D42" s="12">
        <f t="shared" si="0"/>
        <v>9.0676728334956172E-6</v>
      </c>
      <c r="E42" s="37">
        <f t="shared" si="1"/>
        <v>-1.6512068379389054E-6</v>
      </c>
      <c r="F42" s="13"/>
      <c r="G42" s="37"/>
    </row>
    <row r="43" spans="1:7" x14ac:dyDescent="0.25">
      <c r="A43" s="45"/>
      <c r="B43" s="15"/>
      <c r="C43" s="26"/>
      <c r="D43" s="12"/>
      <c r="E43" s="37"/>
      <c r="F43" s="13"/>
      <c r="G43" s="37"/>
    </row>
    <row r="44" spans="1:7" x14ac:dyDescent="0.25">
      <c r="A44" s="44" t="s">
        <v>38</v>
      </c>
      <c r="B44" s="18">
        <v>1.1399999999999999</v>
      </c>
      <c r="C44" s="30" t="s">
        <v>4</v>
      </c>
      <c r="D44" s="12"/>
      <c r="E44" s="37"/>
      <c r="F44" s="13"/>
      <c r="G44" s="37"/>
    </row>
    <row r="45" spans="1:7" ht="30" x14ac:dyDescent="0.25">
      <c r="A45" s="44" t="s">
        <v>39</v>
      </c>
      <c r="B45" s="17">
        <v>0.55669999999999997</v>
      </c>
      <c r="C45" s="30" t="s">
        <v>4</v>
      </c>
      <c r="D45" s="12"/>
      <c r="E45" s="37"/>
      <c r="F45" s="13"/>
      <c r="G45" s="37"/>
    </row>
    <row r="46" spans="1:7" ht="45" x14ac:dyDescent="0.25">
      <c r="A46" s="43" t="s">
        <v>40</v>
      </c>
      <c r="B46" s="8"/>
      <c r="C46" s="31"/>
      <c r="D46" s="12"/>
      <c r="E46" s="37"/>
      <c r="F46" s="13"/>
      <c r="G46" s="37"/>
    </row>
    <row r="47" spans="1:7" ht="30" x14ac:dyDescent="0.25">
      <c r="A47" s="38" t="s">
        <v>41</v>
      </c>
      <c r="B47" s="10">
        <v>2024</v>
      </c>
      <c r="C47" s="24">
        <v>2023</v>
      </c>
      <c r="D47" s="12">
        <f t="shared" si="0"/>
        <v>3.0793573515092501E-2</v>
      </c>
      <c r="E47" s="37">
        <f t="shared" si="1"/>
        <v>4.9123403428682433E-2</v>
      </c>
      <c r="F47" s="13"/>
      <c r="G47" s="37"/>
    </row>
    <row r="48" spans="1:7" ht="30" x14ac:dyDescent="0.25">
      <c r="A48" s="47" t="s">
        <v>42</v>
      </c>
      <c r="B48" s="20">
        <v>1478</v>
      </c>
      <c r="C48" s="32">
        <v>1426</v>
      </c>
      <c r="D48" s="12">
        <f t="shared" si="0"/>
        <v>2.2486611489776046E-2</v>
      </c>
      <c r="E48" s="37">
        <f t="shared" si="1"/>
        <v>3.4626778689718807E-2</v>
      </c>
      <c r="F48" s="13">
        <f t="shared" si="2"/>
        <v>52</v>
      </c>
      <c r="G48" s="37">
        <f t="shared" si="3"/>
        <v>3.6465638148667601E-2</v>
      </c>
    </row>
    <row r="49" spans="1:7" x14ac:dyDescent="0.25">
      <c r="A49" s="48" t="s">
        <v>43</v>
      </c>
      <c r="B49" s="20">
        <v>1478</v>
      </c>
      <c r="C49" s="32">
        <v>1426</v>
      </c>
      <c r="D49" s="12">
        <f t="shared" si="0"/>
        <v>2.2486611489776046E-2</v>
      </c>
      <c r="E49" s="37">
        <f t="shared" si="1"/>
        <v>3.4626778689718807E-2</v>
      </c>
      <c r="F49" s="13">
        <f t="shared" si="2"/>
        <v>52</v>
      </c>
      <c r="G49" s="37">
        <f t="shared" si="3"/>
        <v>3.6465638148667601E-2</v>
      </c>
    </row>
    <row r="50" spans="1:7" x14ac:dyDescent="0.25">
      <c r="A50" s="47" t="s">
        <v>44</v>
      </c>
      <c r="B50" s="20">
        <v>2699</v>
      </c>
      <c r="C50" s="32">
        <v>1193</v>
      </c>
      <c r="D50" s="12">
        <f t="shared" si="0"/>
        <v>4.1063169425511199E-2</v>
      </c>
      <c r="E50" s="37">
        <f t="shared" si="1"/>
        <v>2.8968967024428149E-2</v>
      </c>
      <c r="F50" s="13">
        <f t="shared" si="2"/>
        <v>1506</v>
      </c>
      <c r="G50" s="37">
        <f t="shared" si="3"/>
        <v>1.2623637887678123</v>
      </c>
    </row>
    <row r="51" spans="1:7" ht="30" x14ac:dyDescent="0.25">
      <c r="A51" s="49" t="s">
        <v>45</v>
      </c>
      <c r="B51" s="15">
        <v>1.2624</v>
      </c>
      <c r="C51" s="26">
        <v>-0.33090000000000003</v>
      </c>
      <c r="D51" s="12">
        <f t="shared" si="0"/>
        <v>1.9206426484907498E-5</v>
      </c>
      <c r="E51" s="37">
        <f t="shared" si="1"/>
        <v>-8.0350638628527029E-6</v>
      </c>
      <c r="F51" s="13"/>
      <c r="G51" s="37"/>
    </row>
    <row r="52" spans="1:7" x14ac:dyDescent="0.25">
      <c r="A52" s="49"/>
      <c r="B52" s="15"/>
      <c r="C52" s="26"/>
      <c r="D52" s="12"/>
      <c r="E52" s="37"/>
      <c r="F52" s="13"/>
      <c r="G52" s="37"/>
    </row>
    <row r="53" spans="1:7" ht="30" x14ac:dyDescent="0.25">
      <c r="A53" s="47" t="s">
        <v>46</v>
      </c>
      <c r="B53" s="22">
        <v>296</v>
      </c>
      <c r="C53" s="33">
        <v>467</v>
      </c>
      <c r="D53" s="12">
        <f t="shared" si="0"/>
        <v>4.5034079844206423E-3</v>
      </c>
      <c r="E53" s="37">
        <f t="shared" si="1"/>
        <v>1.1339905784080423E-2</v>
      </c>
      <c r="F53" s="13">
        <f t="shared" si="2"/>
        <v>-171</v>
      </c>
      <c r="G53" s="37">
        <f t="shared" si="3"/>
        <v>-0.36616702355460384</v>
      </c>
    </row>
    <row r="54" spans="1:7" ht="30" x14ac:dyDescent="0.25">
      <c r="A54" s="47" t="s">
        <v>47</v>
      </c>
      <c r="B54" s="20">
        <v>6158</v>
      </c>
      <c r="C54" s="32">
        <v>3477</v>
      </c>
      <c r="D54" s="12">
        <f t="shared" si="0"/>
        <v>9.3689143135345668E-2</v>
      </c>
      <c r="E54" s="37">
        <f t="shared" si="1"/>
        <v>8.4430090816376091E-2</v>
      </c>
      <c r="F54" s="13">
        <f t="shared" si="2"/>
        <v>2681</v>
      </c>
      <c r="G54" s="37">
        <f t="shared" si="3"/>
        <v>0.7710670117917745</v>
      </c>
    </row>
    <row r="55" spans="1:7" x14ac:dyDescent="0.25">
      <c r="A55" s="48" t="s">
        <v>48</v>
      </c>
      <c r="B55" s="22">
        <v>675</v>
      </c>
      <c r="C55" s="33">
        <v>530</v>
      </c>
      <c r="D55" s="12">
        <f t="shared" si="0"/>
        <v>1.0269595910418695E-2</v>
      </c>
      <c r="E55" s="37">
        <f t="shared" si="1"/>
        <v>1.2869700354523821E-2</v>
      </c>
      <c r="F55" s="13">
        <f t="shared" si="2"/>
        <v>145</v>
      </c>
      <c r="G55" s="37">
        <f t="shared" si="3"/>
        <v>0.27358490566037735</v>
      </c>
    </row>
    <row r="56" spans="1:7" ht="45" x14ac:dyDescent="0.25">
      <c r="A56" s="48" t="s">
        <v>49</v>
      </c>
      <c r="B56" s="20">
        <v>5483</v>
      </c>
      <c r="C56" s="32">
        <v>2947</v>
      </c>
      <c r="D56" s="12">
        <f t="shared" si="0"/>
        <v>8.3419547224926976E-2</v>
      </c>
      <c r="E56" s="37">
        <f t="shared" si="1"/>
        <v>7.1560390461852266E-2</v>
      </c>
      <c r="F56" s="13">
        <f t="shared" si="2"/>
        <v>2536</v>
      </c>
      <c r="G56" s="37">
        <f t="shared" si="3"/>
        <v>0.86053613844587717</v>
      </c>
    </row>
    <row r="57" spans="1:7" ht="30" x14ac:dyDescent="0.25">
      <c r="A57" s="47" t="s">
        <v>50</v>
      </c>
      <c r="B57" s="20">
        <v>10631</v>
      </c>
      <c r="C57" s="32">
        <v>6563</v>
      </c>
      <c r="D57" s="12">
        <f t="shared" si="0"/>
        <v>0.16174233203505356</v>
      </c>
      <c r="E57" s="37">
        <f t="shared" si="1"/>
        <v>0.15936574231460346</v>
      </c>
      <c r="F57" s="13">
        <f t="shared" si="2"/>
        <v>4068</v>
      </c>
      <c r="G57" s="37">
        <f t="shared" si="3"/>
        <v>0.61983848849611456</v>
      </c>
    </row>
    <row r="58" spans="1:7" x14ac:dyDescent="0.25">
      <c r="A58" s="48" t="s">
        <v>51</v>
      </c>
      <c r="B58" s="18">
        <v>4.17</v>
      </c>
      <c r="C58" s="29">
        <v>3.52</v>
      </c>
      <c r="D58" s="12">
        <f t="shared" si="0"/>
        <v>6.3443281402142157E-5</v>
      </c>
      <c r="E58" s="37">
        <f t="shared" si="1"/>
        <v>8.5474236316837452E-5</v>
      </c>
      <c r="F58" s="13">
        <f t="shared" si="2"/>
        <v>0.64999999999999991</v>
      </c>
      <c r="G58" s="37">
        <f t="shared" si="3"/>
        <v>0.18465909090909088</v>
      </c>
    </row>
    <row r="59" spans="1:7" x14ac:dyDescent="0.25">
      <c r="A59" s="48" t="s">
        <v>52</v>
      </c>
      <c r="B59" s="18">
        <v>3.67</v>
      </c>
      <c r="C59" s="29">
        <v>2.73</v>
      </c>
      <c r="D59" s="12">
        <f t="shared" si="0"/>
        <v>5.5836173320350536E-5</v>
      </c>
      <c r="E59" s="37">
        <f t="shared" si="1"/>
        <v>6.6291098052547235E-5</v>
      </c>
      <c r="F59" s="13">
        <f t="shared" si="2"/>
        <v>0.94</v>
      </c>
      <c r="G59" s="37">
        <f t="shared" si="3"/>
        <v>0.34432234432234432</v>
      </c>
    </row>
    <row r="60" spans="1:7" x14ac:dyDescent="0.25">
      <c r="A60" s="48" t="s">
        <v>53</v>
      </c>
      <c r="B60" s="18">
        <v>2.44</v>
      </c>
      <c r="C60" s="29">
        <v>2.0299999999999998</v>
      </c>
      <c r="D60" s="12">
        <f t="shared" si="0"/>
        <v>3.7122687439143134E-5</v>
      </c>
      <c r="E60" s="37">
        <f t="shared" si="1"/>
        <v>4.9293380603176143E-5</v>
      </c>
      <c r="F60" s="13">
        <f t="shared" si="2"/>
        <v>0.41000000000000014</v>
      </c>
      <c r="G60" s="37">
        <f t="shared" si="3"/>
        <v>0.20197044334975378</v>
      </c>
    </row>
    <row r="61" spans="1:7" x14ac:dyDescent="0.25">
      <c r="A61" s="47" t="s">
        <v>54</v>
      </c>
      <c r="B61" s="20">
        <v>9578</v>
      </c>
      <c r="C61" s="32">
        <v>10605</v>
      </c>
      <c r="D61" s="12">
        <f t="shared" si="0"/>
        <v>0.14572176241480039</v>
      </c>
      <c r="E61" s="37">
        <f t="shared" si="1"/>
        <v>0.25751541935797195</v>
      </c>
      <c r="F61" s="13">
        <f t="shared" si="2"/>
        <v>-1027</v>
      </c>
      <c r="G61" s="37">
        <f t="shared" si="3"/>
        <v>-9.6841112682696837E-2</v>
      </c>
    </row>
    <row r="62" spans="1:7" ht="45" x14ac:dyDescent="0.25">
      <c r="A62" s="48" t="s">
        <v>55</v>
      </c>
      <c r="B62" s="20">
        <v>8459</v>
      </c>
      <c r="C62" s="32">
        <v>9703</v>
      </c>
      <c r="D62" s="12">
        <f t="shared" si="0"/>
        <v>0.12869705452775074</v>
      </c>
      <c r="E62" s="37">
        <f t="shared" si="1"/>
        <v>0.23561264630178233</v>
      </c>
      <c r="F62" s="13">
        <f t="shared" si="2"/>
        <v>-1244</v>
      </c>
      <c r="G62" s="37">
        <f t="shared" si="3"/>
        <v>-0.12820777079253839</v>
      </c>
    </row>
    <row r="63" spans="1:7" ht="45" x14ac:dyDescent="0.25">
      <c r="A63" s="50" t="s">
        <v>56</v>
      </c>
      <c r="B63" s="20">
        <v>8459</v>
      </c>
      <c r="C63" s="32">
        <v>9703</v>
      </c>
      <c r="D63" s="12">
        <f t="shared" si="0"/>
        <v>0.12869705452775074</v>
      </c>
      <c r="E63" s="37">
        <f t="shared" si="1"/>
        <v>0.23561264630178233</v>
      </c>
      <c r="F63" s="13">
        <f t="shared" si="2"/>
        <v>-1244</v>
      </c>
      <c r="G63" s="37">
        <f t="shared" si="3"/>
        <v>-0.12820777079253839</v>
      </c>
    </row>
    <row r="64" spans="1:7" ht="30" x14ac:dyDescent="0.25">
      <c r="A64" s="47" t="s">
        <v>57</v>
      </c>
      <c r="B64" s="22" t="s">
        <v>4</v>
      </c>
      <c r="C64" s="33" t="s">
        <v>4</v>
      </c>
      <c r="D64" s="12"/>
      <c r="E64" s="37"/>
      <c r="F64" s="13"/>
      <c r="G64" s="37"/>
    </row>
    <row r="65" spans="1:7" x14ac:dyDescent="0.25">
      <c r="A65" s="49" t="s">
        <v>58</v>
      </c>
      <c r="B65" s="23">
        <v>-5619</v>
      </c>
      <c r="C65" s="34">
        <v>-3149</v>
      </c>
      <c r="D65" s="12">
        <f t="shared" si="0"/>
        <v>-8.5488680623174287E-2</v>
      </c>
      <c r="E65" s="37">
        <f t="shared" si="1"/>
        <v>-7.6465446068670784E-2</v>
      </c>
      <c r="F65" s="13">
        <f t="shared" si="2"/>
        <v>-2470</v>
      </c>
      <c r="G65" s="37">
        <f t="shared" si="3"/>
        <v>0.78437599237853284</v>
      </c>
    </row>
    <row r="66" spans="1:7" x14ac:dyDescent="0.25">
      <c r="A66" s="49"/>
      <c r="B66" s="23"/>
      <c r="C66" s="34"/>
      <c r="D66" s="12"/>
      <c r="E66" s="37"/>
      <c r="F66" s="13"/>
      <c r="G66" s="37"/>
    </row>
    <row r="67" spans="1:7" ht="30" x14ac:dyDescent="0.25">
      <c r="A67" s="48" t="s">
        <v>59</v>
      </c>
      <c r="B67" s="22">
        <v>462</v>
      </c>
      <c r="C67" s="33">
        <v>247</v>
      </c>
      <c r="D67" s="12">
        <f t="shared" si="0"/>
        <v>7.0289678675754625E-3</v>
      </c>
      <c r="E67" s="37">
        <f t="shared" si="1"/>
        <v>5.9977660142780829E-3</v>
      </c>
      <c r="F67" s="13">
        <f t="shared" si="2"/>
        <v>215</v>
      </c>
      <c r="G67" s="37">
        <f t="shared" si="3"/>
        <v>0.87044534412955465</v>
      </c>
    </row>
    <row r="68" spans="1:7" ht="30" x14ac:dyDescent="0.25">
      <c r="A68" s="48" t="s">
        <v>60</v>
      </c>
      <c r="B68" s="20">
        <v>6081</v>
      </c>
      <c r="C68" s="32">
        <v>3396</v>
      </c>
      <c r="D68" s="12">
        <f t="shared" si="0"/>
        <v>9.2517648490749754E-2</v>
      </c>
      <c r="E68" s="37">
        <f t="shared" si="1"/>
        <v>8.2463212082948864E-2</v>
      </c>
      <c r="F68" s="13">
        <f t="shared" si="2"/>
        <v>2685</v>
      </c>
      <c r="G68" s="37">
        <f t="shared" si="3"/>
        <v>0.79063604240282681</v>
      </c>
    </row>
    <row r="69" spans="1:7" x14ac:dyDescent="0.25">
      <c r="A69" s="47" t="s">
        <v>61</v>
      </c>
      <c r="B69" s="20">
        <v>2079</v>
      </c>
      <c r="C69" s="32">
        <v>1666</v>
      </c>
      <c r="D69" s="12">
        <f t="shared" si="0"/>
        <v>3.163035540408958E-2</v>
      </c>
      <c r="E69" s="37">
        <f t="shared" si="1"/>
        <v>4.0454567529503181E-2</v>
      </c>
      <c r="F69" s="13">
        <f t="shared" si="2"/>
        <v>413</v>
      </c>
      <c r="G69" s="37">
        <f t="shared" si="3"/>
        <v>0.24789915966386555</v>
      </c>
    </row>
    <row r="70" spans="1:7" ht="45" x14ac:dyDescent="0.25">
      <c r="A70" s="48" t="s">
        <v>62</v>
      </c>
      <c r="B70" s="20">
        <v>1506</v>
      </c>
      <c r="C70" s="32">
        <v>1448</v>
      </c>
      <c r="D70" s="12">
        <f t="shared" si="0"/>
        <v>2.2912609542356379E-2</v>
      </c>
      <c r="E70" s="37">
        <f t="shared" si="1"/>
        <v>3.5160992666699045E-2</v>
      </c>
      <c r="F70" s="13">
        <f t="shared" si="2"/>
        <v>58</v>
      </c>
      <c r="G70" s="37">
        <f t="shared" si="3"/>
        <v>4.0055248618784532E-2</v>
      </c>
    </row>
    <row r="71" spans="1:7" x14ac:dyDescent="0.25">
      <c r="A71" s="48" t="s">
        <v>63</v>
      </c>
      <c r="B71" s="22">
        <v>573</v>
      </c>
      <c r="C71" s="33">
        <v>218</v>
      </c>
      <c r="D71" s="12">
        <f t="shared" si="0"/>
        <v>8.7177458617332029E-3</v>
      </c>
      <c r="E71" s="37">
        <f t="shared" si="1"/>
        <v>5.2935748628041377E-3</v>
      </c>
      <c r="F71" s="13">
        <f t="shared" si="2"/>
        <v>355</v>
      </c>
      <c r="G71" s="37">
        <f t="shared" si="3"/>
        <v>1.628440366972477</v>
      </c>
    </row>
    <row r="72" spans="1:7" x14ac:dyDescent="0.25">
      <c r="A72" s="47" t="s">
        <v>64</v>
      </c>
      <c r="B72" s="20">
        <v>22750</v>
      </c>
      <c r="C72" s="32">
        <v>19081</v>
      </c>
      <c r="D72" s="12">
        <f t="shared" ref="D72:D86" si="4">B72/$B$41</f>
        <v>0.346123417721519</v>
      </c>
      <c r="E72" s="37">
        <f t="shared" ref="E72:E86" si="5">C72/$C$41</f>
        <v>0.46333349521635664</v>
      </c>
      <c r="F72" s="13">
        <f t="shared" ref="F72:F86" si="6">B72-C72</f>
        <v>3669</v>
      </c>
      <c r="G72" s="37">
        <f t="shared" ref="G72:G86" si="7">F72/C72</f>
        <v>0.19228551962685395</v>
      </c>
    </row>
    <row r="73" spans="1:7" ht="30" x14ac:dyDescent="0.25">
      <c r="A73" s="48" t="s">
        <v>65</v>
      </c>
      <c r="B73" s="17">
        <v>0.34610000000000002</v>
      </c>
      <c r="C73" s="27">
        <v>0.46329999999999999</v>
      </c>
      <c r="D73" s="12">
        <f t="shared" si="4"/>
        <v>5.2656402142161641E-6</v>
      </c>
      <c r="E73" s="37">
        <f t="shared" si="5"/>
        <v>1.1250060706133748E-5</v>
      </c>
      <c r="F73" s="13"/>
      <c r="G73" s="37"/>
    </row>
    <row r="74" spans="1:7" ht="30" x14ac:dyDescent="0.25">
      <c r="A74" s="47" t="s">
        <v>66</v>
      </c>
      <c r="B74" s="20">
        <v>42978</v>
      </c>
      <c r="C74" s="32">
        <v>22101</v>
      </c>
      <c r="D74" s="12">
        <f t="shared" si="4"/>
        <v>0.653876582278481</v>
      </c>
      <c r="E74" s="37">
        <f t="shared" si="5"/>
        <v>0.53666650478364331</v>
      </c>
      <c r="F74" s="13">
        <f t="shared" si="6"/>
        <v>20877</v>
      </c>
      <c r="G74" s="37">
        <f t="shared" si="7"/>
        <v>0.94461789059318579</v>
      </c>
    </row>
    <row r="75" spans="1:7" ht="30" x14ac:dyDescent="0.25">
      <c r="A75" s="48" t="s">
        <v>67</v>
      </c>
      <c r="B75" s="22">
        <v>2</v>
      </c>
      <c r="C75" s="33">
        <v>2</v>
      </c>
      <c r="D75" s="12">
        <f t="shared" si="4"/>
        <v>3.0428432327166505E-5</v>
      </c>
      <c r="E75" s="37">
        <f t="shared" si="5"/>
        <v>4.8564906998203096E-5</v>
      </c>
      <c r="F75" s="13">
        <f t="shared" si="6"/>
        <v>0</v>
      </c>
      <c r="G75" s="37">
        <f t="shared" si="7"/>
        <v>0</v>
      </c>
    </row>
    <row r="76" spans="1:7" ht="45" x14ac:dyDescent="0.25">
      <c r="A76" s="48" t="s">
        <v>68</v>
      </c>
      <c r="B76" s="20">
        <v>13132</v>
      </c>
      <c r="C76" s="32">
        <v>11971</v>
      </c>
      <c r="D76" s="12">
        <f t="shared" si="4"/>
        <v>0.19979308666017526</v>
      </c>
      <c r="E76" s="37">
        <f t="shared" si="5"/>
        <v>0.29068525083774466</v>
      </c>
      <c r="F76" s="13">
        <f t="shared" si="6"/>
        <v>1161</v>
      </c>
      <c r="G76" s="37">
        <f t="shared" si="7"/>
        <v>9.6984378915712974E-2</v>
      </c>
    </row>
    <row r="77" spans="1:7" ht="30" x14ac:dyDescent="0.25">
      <c r="A77" s="48" t="s">
        <v>69</v>
      </c>
      <c r="B77" s="20">
        <v>29817</v>
      </c>
      <c r="C77" s="32">
        <v>10171</v>
      </c>
      <c r="D77" s="12">
        <f t="shared" si="4"/>
        <v>0.4536422833495618</v>
      </c>
      <c r="E77" s="37">
        <f t="shared" si="5"/>
        <v>0.24697683453936187</v>
      </c>
      <c r="F77" s="13">
        <f t="shared" si="6"/>
        <v>19646</v>
      </c>
      <c r="G77" s="37">
        <f t="shared" si="7"/>
        <v>1.9315701504276865</v>
      </c>
    </row>
    <row r="78" spans="1:7" ht="30" x14ac:dyDescent="0.25">
      <c r="A78" s="49" t="s">
        <v>70</v>
      </c>
      <c r="B78" s="21">
        <v>27</v>
      </c>
      <c r="C78" s="35">
        <v>-43</v>
      </c>
      <c r="D78" s="12">
        <f t="shared" si="4"/>
        <v>4.1078383641674783E-4</v>
      </c>
      <c r="E78" s="37">
        <f t="shared" si="5"/>
        <v>-1.0441455004613666E-3</v>
      </c>
      <c r="F78" s="13">
        <f t="shared" si="6"/>
        <v>70</v>
      </c>
      <c r="G78" s="37">
        <f t="shared" si="7"/>
        <v>-1.6279069767441861</v>
      </c>
    </row>
    <row r="79" spans="1:7" x14ac:dyDescent="0.25">
      <c r="A79" s="49"/>
      <c r="B79" s="21"/>
      <c r="C79" s="35"/>
      <c r="D79" s="12">
        <f t="shared" si="4"/>
        <v>0</v>
      </c>
      <c r="E79" s="37"/>
      <c r="F79" s="13"/>
      <c r="G79" s="37"/>
    </row>
    <row r="80" spans="1:7" x14ac:dyDescent="0.25">
      <c r="A80" s="49" t="s">
        <v>71</v>
      </c>
      <c r="B80" s="21" t="s">
        <v>4</v>
      </c>
      <c r="C80" s="35" t="s">
        <v>4</v>
      </c>
      <c r="D80" s="12"/>
      <c r="E80" s="37"/>
      <c r="F80" s="13"/>
      <c r="G80" s="37"/>
    </row>
    <row r="81" spans="1:7" x14ac:dyDescent="0.25">
      <c r="A81" s="49"/>
      <c r="B81" s="21"/>
      <c r="C81" s="35"/>
      <c r="D81" s="12"/>
      <c r="E81" s="37"/>
      <c r="F81" s="13"/>
      <c r="G81" s="37"/>
    </row>
    <row r="82" spans="1:7" ht="30" x14ac:dyDescent="0.25">
      <c r="A82" s="48" t="s">
        <v>72</v>
      </c>
      <c r="B82" s="17">
        <v>0.65390000000000004</v>
      </c>
      <c r="C82" s="27">
        <v>0.53669999999999995</v>
      </c>
      <c r="D82" s="12">
        <f t="shared" si="4"/>
        <v>9.9485759493670886E-6</v>
      </c>
      <c r="E82" s="37">
        <f t="shared" si="5"/>
        <v>1.30323927929678E-5</v>
      </c>
      <c r="F82" s="13"/>
      <c r="G82" s="37"/>
    </row>
    <row r="83" spans="1:7" ht="45" x14ac:dyDescent="0.25">
      <c r="A83" s="47" t="s">
        <v>73</v>
      </c>
      <c r="B83" s="20">
        <v>42978</v>
      </c>
      <c r="C83" s="32">
        <v>22101</v>
      </c>
      <c r="D83" s="12">
        <f t="shared" si="4"/>
        <v>0.653876582278481</v>
      </c>
      <c r="E83" s="37">
        <f t="shared" si="5"/>
        <v>0.53666650478364331</v>
      </c>
      <c r="F83" s="13">
        <f t="shared" si="6"/>
        <v>20877</v>
      </c>
      <c r="G83" s="37">
        <f t="shared" si="7"/>
        <v>0.94461789059318579</v>
      </c>
    </row>
    <row r="84" spans="1:7" ht="60" x14ac:dyDescent="0.25">
      <c r="A84" s="48" t="s">
        <v>74</v>
      </c>
      <c r="B84" s="17">
        <v>0.65390000000000004</v>
      </c>
      <c r="C84" s="27">
        <v>0.53669999999999995</v>
      </c>
      <c r="D84" s="12">
        <f t="shared" si="4"/>
        <v>9.9485759493670886E-6</v>
      </c>
      <c r="E84" s="37">
        <f t="shared" si="5"/>
        <v>1.30323927929678E-5</v>
      </c>
      <c r="F84" s="13"/>
      <c r="G84" s="37"/>
    </row>
    <row r="85" spans="1:7" x14ac:dyDescent="0.25">
      <c r="A85" s="47" t="s">
        <v>75</v>
      </c>
      <c r="B85" s="20">
        <v>42978</v>
      </c>
      <c r="C85" s="32">
        <v>22101</v>
      </c>
      <c r="D85" s="12">
        <f t="shared" si="4"/>
        <v>0.653876582278481</v>
      </c>
      <c r="E85" s="37">
        <f t="shared" si="5"/>
        <v>0.53666650478364331</v>
      </c>
      <c r="F85" s="13">
        <f t="shared" si="6"/>
        <v>20877</v>
      </c>
      <c r="G85" s="37">
        <f t="shared" si="7"/>
        <v>0.94461789059318579</v>
      </c>
    </row>
    <row r="86" spans="1:7" ht="45" x14ac:dyDescent="0.25">
      <c r="A86" s="47" t="s">
        <v>40</v>
      </c>
      <c r="B86" s="20">
        <v>65728</v>
      </c>
      <c r="C86" s="32">
        <v>41182</v>
      </c>
      <c r="D86" s="12">
        <f t="shared" si="4"/>
        <v>1</v>
      </c>
      <c r="E86" s="37">
        <f t="shared" si="5"/>
        <v>1</v>
      </c>
      <c r="F86" s="13">
        <f t="shared" si="6"/>
        <v>24546</v>
      </c>
      <c r="G86" s="37">
        <f t="shared" si="7"/>
        <v>0.59603710358894668</v>
      </c>
    </row>
    <row r="88" spans="1:7" ht="28.5" x14ac:dyDescent="0.25">
      <c r="A88" s="3" t="s">
        <v>88</v>
      </c>
      <c r="B88" s="6">
        <v>108.1</v>
      </c>
      <c r="C88" s="6">
        <v>45.57</v>
      </c>
    </row>
    <row r="89" spans="1:7" ht="28.5" x14ac:dyDescent="0.25">
      <c r="A89" s="3" t="s">
        <v>89</v>
      </c>
      <c r="B89" s="4">
        <v>24530000000</v>
      </c>
      <c r="C89" s="4">
        <v>24700000000</v>
      </c>
    </row>
    <row r="90" spans="1:7" x14ac:dyDescent="0.25">
      <c r="A90" s="3" t="s">
        <v>90</v>
      </c>
      <c r="B90" s="5">
        <f>B89*B88</f>
        <v>2651693000000</v>
      </c>
      <c r="C90" s="5">
        <f>C89*C88</f>
        <v>1125579000000</v>
      </c>
    </row>
    <row r="91" spans="1:7" ht="43.5" thickBot="1" x14ac:dyDescent="0.3">
      <c r="A91" s="3" t="s">
        <v>92</v>
      </c>
      <c r="B91" s="7">
        <f>B41-B72</f>
        <v>42978</v>
      </c>
      <c r="C91" s="7">
        <f>C41-C72</f>
        <v>22101</v>
      </c>
    </row>
    <row r="92" spans="1:7" ht="28.5" x14ac:dyDescent="0.25">
      <c r="A92" s="3" t="s">
        <v>91</v>
      </c>
      <c r="B92" s="5">
        <f>(B91*1000000)/B89</f>
        <v>1.7520587036282103</v>
      </c>
      <c r="C92" s="5">
        <f>(C91*1000000)/C89</f>
        <v>0.89477732793522269</v>
      </c>
    </row>
    <row r="93" spans="1:7" ht="28.5" x14ac:dyDescent="0.25">
      <c r="A93" s="3" t="s">
        <v>93</v>
      </c>
      <c r="B93" s="1">
        <f>B88/B92</f>
        <v>61.698845921168967</v>
      </c>
      <c r="C93" s="1">
        <f>C88/C92</f>
        <v>50.928871996742231</v>
      </c>
    </row>
  </sheetData>
  <mergeCells count="3">
    <mergeCell ref="B1:G1"/>
    <mergeCell ref="A2:G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cp:lastPrinted>2024-09-13T12:09:38Z</cp:lastPrinted>
  <dcterms:created xsi:type="dcterms:W3CDTF">2024-09-11T11:43:07Z</dcterms:created>
  <dcterms:modified xsi:type="dcterms:W3CDTF">2024-09-13T13:10:41Z</dcterms:modified>
</cp:coreProperties>
</file>