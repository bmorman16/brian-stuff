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ocuments\Personal\EMBA\Finance\Individual\"/>
    </mc:Choice>
  </mc:AlternateContent>
  <xr:revisionPtr revIDLastSave="0" documentId="13_ncr:1_{16494329-6065-48D8-8895-F26CC69D2E6D}" xr6:coauthVersionLast="47" xr6:coauthVersionMax="47" xr10:uidLastSave="{00000000-0000-0000-0000-000000000000}"/>
  <bookViews>
    <workbookView xWindow="-16320" yWindow="-4530" windowWidth="16440" windowHeight="28440" activeTab="1" xr2:uid="{4B2E370E-307C-459D-B80C-992549CFAE17}"/>
  </bookViews>
  <sheets>
    <sheet name="Income Statement Historical" sheetId="1" r:id="rId1"/>
    <sheet name="Waterfall Chart" sheetId="4" r:id="rId2"/>
    <sheet name="Proforma IS and BS" sheetId="3" r:id="rId3"/>
  </sheets>
  <definedNames>
    <definedName name="_xlchart.v1.0" hidden="1">'Waterfall Chart'!$A$1:$A$5</definedName>
    <definedName name="_xlchart.v1.1" hidden="1">'Waterfall Chart'!$B$1:$B$5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9" i="1" l="1"/>
  <c r="V93" i="1" s="1"/>
  <c r="V90" i="1"/>
  <c r="V83" i="1"/>
  <c r="H64" i="1"/>
  <c r="L35" i="1"/>
  <c r="H12" i="1"/>
  <c r="H13" i="1"/>
  <c r="G37" i="1"/>
  <c r="F37" i="1"/>
  <c r="E37" i="1"/>
  <c r="D37" i="1"/>
  <c r="C37" i="1"/>
  <c r="R72" i="1"/>
  <c r="S72" i="1"/>
  <c r="T72" i="1"/>
  <c r="U73" i="1"/>
  <c r="U74" i="1" s="1"/>
  <c r="T73" i="1"/>
  <c r="T74" i="1" s="1"/>
  <c r="S73" i="1"/>
  <c r="R73" i="1"/>
  <c r="R74" i="1" s="1"/>
  <c r="Q73" i="1"/>
  <c r="U71" i="1"/>
  <c r="T71" i="1"/>
  <c r="S71" i="1"/>
  <c r="R71" i="1"/>
  <c r="Q71" i="1"/>
  <c r="T94" i="1"/>
  <c r="S94" i="1"/>
  <c r="R94" i="1"/>
  <c r="Q94" i="1"/>
  <c r="T95" i="1"/>
  <c r="S95" i="1"/>
  <c r="S97" i="1" s="1"/>
  <c r="R95" i="1"/>
  <c r="R97" i="1" s="1"/>
  <c r="Q95" i="1"/>
  <c r="Q97" i="1" s="1"/>
  <c r="U97" i="1" s="1"/>
  <c r="T82" i="1"/>
  <c r="S82" i="1"/>
  <c r="R82" i="1"/>
  <c r="Q82" i="1"/>
  <c r="T46" i="1"/>
  <c r="S46" i="1"/>
  <c r="R46" i="1"/>
  <c r="Q46" i="1"/>
  <c r="L45" i="1"/>
  <c r="B6" i="4" s="1"/>
  <c r="Q78" i="1"/>
  <c r="V78" i="1" s="1"/>
  <c r="G17" i="1"/>
  <c r="F17" i="1"/>
  <c r="E17" i="1"/>
  <c r="D17" i="1"/>
  <c r="C17" i="1"/>
  <c r="G6" i="1"/>
  <c r="F6" i="1"/>
  <c r="E6" i="1"/>
  <c r="D6" i="1"/>
  <c r="C6" i="1"/>
  <c r="H46" i="1"/>
  <c r="K46" i="1" s="1"/>
  <c r="H3" i="1"/>
  <c r="K3" i="1" s="1"/>
  <c r="L3" i="1" s="1"/>
  <c r="B1" i="4" s="1"/>
  <c r="H37" i="1" l="1"/>
  <c r="V71" i="1"/>
  <c r="Q74" i="1"/>
  <c r="V74" i="1" s="1"/>
  <c r="S74" i="1"/>
  <c r="Q72" i="1"/>
  <c r="V72" i="1" s="1"/>
  <c r="V82" i="1"/>
  <c r="V81" i="1" s="1"/>
  <c r="R96" i="1"/>
  <c r="Q96" i="1"/>
  <c r="S96" i="1"/>
  <c r="U46" i="1"/>
  <c r="U43" i="1" s="1"/>
  <c r="V77" i="1" s="1"/>
  <c r="H6" i="1"/>
  <c r="K6" i="1" s="1"/>
  <c r="L6" i="1" s="1"/>
  <c r="B2" i="4" s="1"/>
  <c r="B3" i="4" s="1"/>
  <c r="H17" i="1"/>
  <c r="K17" i="1" s="1"/>
  <c r="L17" i="1" s="1"/>
  <c r="B4" i="4" s="1"/>
  <c r="V73" i="1" l="1"/>
  <c r="U96" i="1"/>
  <c r="V95" i="1" s="1"/>
  <c r="V94" i="1" s="1"/>
  <c r="B5" i="4"/>
</calcChain>
</file>

<file path=xl/sharedStrings.xml><?xml version="1.0" encoding="utf-8"?>
<sst xmlns="http://schemas.openxmlformats.org/spreadsheetml/2006/main" count="224" uniqueCount="152">
  <si>
    <t>Research &amp; Development</t>
  </si>
  <si>
    <t>Interest Expense</t>
  </si>
  <si>
    <t>-</t>
  </si>
  <si>
    <t>Pretax Income</t>
  </si>
  <si>
    <t>Net Income</t>
  </si>
  <si>
    <t>Net Income Growth</t>
  </si>
  <si>
    <t>EPS (Basic)</t>
  </si>
  <si>
    <t>EPS (Diluted)</t>
  </si>
  <si>
    <t>EBITDA</t>
  </si>
  <si>
    <t>EBITDA Margin</t>
  </si>
  <si>
    <t>EBIT</t>
  </si>
  <si>
    <t>Fiscal year is February-January. All values USD Millions.</t>
  </si>
  <si>
    <t>Cash &amp; Short Term Investments</t>
  </si>
  <si>
    <t>Cash Only</t>
  </si>
  <si>
    <t>Cash &amp; Short Term Investments Growth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</si>
  <si>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</si>
  <si>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</si>
  <si>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</si>
  <si>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</si>
  <si>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</si>
  <si>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Accounts Receivable Growth</t>
  </si>
  <si>
    <t>Accounts Receivable Turnover</t>
  </si>
  <si>
    <t>Inventories</t>
  </si>
  <si>
    <t>Finished Goods</t>
  </si>
  <si>
    <t>Work in Progress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</si>
  <si>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</si>
  <si>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</si>
  <si>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</si>
  <si>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</si>
  <si>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</si>
  <si>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</si>
  <si>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</si>
  <si>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</si>
  <si>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</si>
  <si>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</si>
  <si>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Computer Software and Equipment</t>
  </si>
  <si>
    <t>Other Property, Plant &amp; Equipment</t>
  </si>
  <si>
    <t>Accumulated Depreciation</t>
  </si>
  <si>
    <t>Total Investments and Advances</t>
  </si>
  <si>
    <t>Other Long-Term Investments</t>
  </si>
  <si>
    <t>Intangible Assets</t>
  </si>
  <si>
    <t>Net Goodwill</t>
  </si>
  <si>
    <t>Net Other Intangibles</t>
  </si>
  <si>
    <t>Other Assets</t>
  </si>
  <si>
    <t>Deferred Charges</t>
  </si>
  <si>
    <t>Tangible Other Assets</t>
  </si>
  <si>
    <t>Total Assets</t>
  </si>
  <si>
    <t>Assets - Total - Growth</t>
  </si>
  <si>
    <t>Return On Average Assets</t>
  </si>
  <si>
    <t>Sales/Revenue</t>
  </si>
  <si>
    <t>Sales Growth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</si>
  <si>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</si>
  <si>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</si>
  <si>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</si>
  <si>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</si>
  <si>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</si>
  <si>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COGS Growth</t>
  </si>
  <si>
    <t>Gross Income</t>
  </si>
  <si>
    <t>Gross Income Growth</t>
  </si>
  <si>
    <t>Gross Profit Margin</t>
  </si>
  <si>
    <t>SG&amp;A Expense</t>
  </si>
  <si>
    <t>Other SG&amp;A</t>
  </si>
  <si>
    <t>SGA Growth</t>
  </si>
  <si>
    <t>Unusual Expense</t>
  </si>
  <si>
    <t>Non Operating Income/Expense</t>
  </si>
  <si>
    <t>Non-Operating Interest Income</t>
  </si>
  <si>
    <t>Interest Expense Growth</t>
  </si>
  <si>
    <t>Gross Interest Expense</t>
  </si>
  <si>
    <t>Pretax Income Growth</t>
  </si>
  <si>
    <t>Pretax Margin</t>
  </si>
  <si>
    <t>Income Tax</t>
  </si>
  <si>
    <t>Income Tax - Current Domestic</t>
  </si>
  <si>
    <t>Income Tax - Current Foreign</t>
  </si>
  <si>
    <t>Income Tax - Deferred Domestic</t>
  </si>
  <si>
    <t>Income Tax - Deferred Foreign</t>
  </si>
  <si>
    <t>Consolidated Net Income</t>
  </si>
  <si>
    <t>Net Margin</t>
  </si>
  <si>
    <t>Net Income After Extraordinaries</t>
  </si>
  <si>
    <t>Net Income Available to Common</t>
  </si>
  <si>
    <t>EPS (Basic) Growth</t>
  </si>
  <si>
    <t>Basic Shares Outstanding</t>
  </si>
  <si>
    <t>EPS (Diluted) Growth</t>
  </si>
  <si>
    <t>Diluted Shares Outstanding</t>
  </si>
  <si>
    <t>EBITDA Growth</t>
  </si>
  <si>
    <t>NVIDIA Income Statement</t>
  </si>
  <si>
    <t>NVIDIA Balance Sheet</t>
  </si>
  <si>
    <t>Management Projection</t>
  </si>
  <si>
    <t>Analyist Projection</t>
  </si>
  <si>
    <t>COGS % Calculated</t>
  </si>
  <si>
    <r>
      <t xml:space="preserve">CAGR or </t>
    </r>
    <r>
      <rPr>
        <sz val="8"/>
        <color rgb="FFFF0000"/>
        <rFont val="Aptos Narrow"/>
        <family val="2"/>
        <scheme val="minor"/>
      </rPr>
      <t>AVG</t>
    </r>
  </si>
  <si>
    <t>SG&amp;A / Revenue</t>
  </si>
  <si>
    <t>Fiscal year is February-January. All values USD Millions.  Highlighted = calculated</t>
  </si>
  <si>
    <t>2025 Proforma Projection</t>
  </si>
  <si>
    <t>Asset Turnover (TAT)</t>
  </si>
  <si>
    <t>Proforma item number</t>
  </si>
  <si>
    <t>All values USD Millions.</t>
  </si>
  <si>
    <t>ST Debt &amp; Current Portion LT Debt</t>
  </si>
  <si>
    <t>Short Term Debt</t>
  </si>
  <si>
    <t>Accounts Payable</t>
  </si>
  <si>
    <t>Accounts Payable Growth</t>
  </si>
  <si>
    <t>Income Tax Payable</t>
  </si>
  <si>
    <t>Other Current Liabilities</t>
  </si>
  <si>
    <t>Accrued Payroll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</si>
  <si>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</si>
  <si>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</si>
  <si>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</si>
  <si>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</si>
  <si>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</si>
  <si>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</si>
  <si>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</si>
  <si>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</si>
  <si>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Provision for Risks &amp; Charges</t>
  </si>
  <si>
    <t>Deferred Taxes</t>
  </si>
  <si>
    <t>Deferred Taxes - Credit</t>
  </si>
  <si>
    <t>Deferred Taxes - Debit</t>
  </si>
  <si>
    <t>Other Liabilities</t>
  </si>
  <si>
    <t>Other Liabilities (excl. Deferred Income)</t>
  </si>
  <si>
    <t>Deferred Income</t>
  </si>
  <si>
    <t>Total Liabilities</t>
  </si>
  <si>
    <t>Total Liabilities / Total Assets</t>
  </si>
  <si>
    <t>Common Equity (Total)</t>
  </si>
  <si>
    <t>Common Stock Par/Carry Value</t>
  </si>
  <si>
    <t>Additional Paid-In Capital/Capital Surplus</t>
  </si>
  <si>
    <t>Retained Earnings</t>
  </si>
  <si>
    <t>Other Appropriated Reserves</t>
  </si>
  <si>
    <t>Treasury Stock</t>
  </si>
  <si>
    <t>Common Equity / Total Assets</t>
  </si>
  <si>
    <t>Total Shareholders' Equity</t>
  </si>
  <si>
    <t>Total Shareholders' Equity / Total Assets</t>
  </si>
  <si>
    <t>Total Equity</t>
  </si>
  <si>
    <t>Liabilities &amp; Shareholders' Equity</t>
  </si>
  <si>
    <t>Final Forecast</t>
  </si>
  <si>
    <t>x</t>
  </si>
  <si>
    <t>Revenue</t>
  </si>
  <si>
    <t>Cost of Goods</t>
  </si>
  <si>
    <t>Gross Margin</t>
  </si>
  <si>
    <t>SG&amp;A</t>
  </si>
  <si>
    <t>Proforma Etimated Net Income</t>
  </si>
  <si>
    <t>Yoy change</t>
  </si>
  <si>
    <t>average</t>
  </si>
  <si>
    <t>Balance Sheet Plug</t>
  </si>
  <si>
    <t>PP&amp;E + Intangible assets net</t>
  </si>
  <si>
    <t>NA</t>
  </si>
  <si>
    <t>% D&amp;A / (PP&amp;E + Net intangible)</t>
  </si>
  <si>
    <t>D&amp;A copy</t>
  </si>
  <si>
    <t>PP&amp;E + Intangible assets net % Change</t>
  </si>
  <si>
    <t>Long Term Debt + Other Liabilities</t>
  </si>
  <si>
    <t>Interest Expense Copy</t>
  </si>
  <si>
    <t>% Interest Expense / Long term and other debt</t>
  </si>
  <si>
    <t>Long Term Debt + Other Liabilities yoy % change</t>
  </si>
  <si>
    <t>Income Tax %</t>
  </si>
  <si>
    <t>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</si>
</sst>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>
    <font>
      <sz val="11"/>
      <color theme="1"/>
      <name val="Aptos Narrow"/>
      <family val="2"/>
      <scheme val="minor"/>
    </font>
    <font>
      <sz val="8"/>
      <color rgb="FF33333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45923D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sz val="8"/>
      <color rgb="FF45923D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medium">
        <color rgb="FFE5E5E5"/>
      </left>
      <right/>
      <top/>
      <bottom style="medium">
        <color rgb="FFE5E5E5"/>
      </bottom>
      <diagonal/>
    </border>
    <border>
      <left style="medium">
        <color rgb="FFE5E5E5"/>
      </left>
      <right/>
      <top/>
      <bottom/>
      <diagonal/>
    </border>
    <border>
      <left/>
      <right style="medium">
        <color rgb="FFE5E5E5"/>
      </right>
      <top style="medium">
        <color rgb="FFE5E5E5"/>
      </top>
      <bottom/>
      <diagonal/>
    </border>
    <border>
      <left/>
      <right style="medium">
        <color rgb="FFE5E5E5"/>
      </right>
      <top/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/>
      <diagonal/>
    </border>
    <border>
      <left style="medium">
        <color rgb="FFE5E5E5"/>
      </left>
      <right style="medium">
        <color rgb="FFE5E5E5"/>
      </right>
      <top/>
      <bottom style="medium">
        <color rgb="FFE5E5E5"/>
      </bottom>
      <diagonal/>
    </border>
    <border>
      <left style="medium">
        <color rgb="FFE5E5E5"/>
      </left>
      <right/>
      <top style="medium">
        <color rgb="FFE5E5E5"/>
      </top>
      <bottom/>
      <diagonal/>
    </border>
    <border>
      <left/>
      <right style="medium">
        <color rgb="FFE5E5E5"/>
      </right>
      <top/>
      <bottom/>
      <diagonal/>
    </border>
    <border>
      <left style="medium">
        <color rgb="FFE5E5E5"/>
      </left>
      <right style="medium">
        <color rgb="FFE5E5E5"/>
      </right>
      <top/>
      <bottom/>
      <diagonal/>
    </border>
    <border>
      <left/>
      <right/>
      <top style="medium">
        <color rgb="FF000000"/>
      </top>
      <bottom style="medium">
        <color rgb="FFE5E5E5"/>
      </bottom>
      <diagonal/>
    </border>
    <border>
      <left style="medium">
        <color rgb="FFE5E5E5"/>
      </left>
      <right/>
      <top style="medium">
        <color rgb="FF000000"/>
      </top>
      <bottom style="medium">
        <color rgb="FFE5E5E5"/>
      </bottom>
      <diagonal/>
    </border>
    <border>
      <left/>
      <right/>
      <top style="medium">
        <color rgb="FFE5E5E5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0" fontId="2" fillId="0" borderId="1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horizontal="left" wrapText="1"/>
    </xf>
    <xf numFmtId="0" fontId="2" fillId="0" borderId="1" xfId="0" applyFont="1" applyBorder="1" applyAlignment="1">
      <alignment horizontal="left" vertical="center" wrapText="1" indent="1"/>
    </xf>
    <xf numFmtId="10" fontId="3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right" vertical="center" wrapText="1"/>
    </xf>
    <xf numFmtId="10" fontId="7" fillId="0" borderId="2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 indent="3"/>
    </xf>
    <xf numFmtId="0" fontId="7" fillId="0" borderId="2" xfId="0" applyFont="1" applyBorder="1" applyAlignment="1">
      <alignment horizontal="right" vertical="center" wrapText="1"/>
    </xf>
    <xf numFmtId="10" fontId="7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0" fontId="2" fillId="0" borderId="2" xfId="0" applyNumberFormat="1" applyFont="1" applyBorder="1" applyAlignment="1">
      <alignment horizontal="right" vertical="center" wrapText="1"/>
    </xf>
    <xf numFmtId="10" fontId="4" fillId="0" borderId="0" xfId="0" applyNumberFormat="1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left" vertical="center" wrapText="1"/>
    </xf>
    <xf numFmtId="3" fontId="6" fillId="0" borderId="12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wrapText="1"/>
    </xf>
    <xf numFmtId="2" fontId="7" fillId="0" borderId="2" xfId="0" applyNumberFormat="1" applyFont="1" applyBorder="1" applyAlignment="1">
      <alignment horizontal="right" vertical="center" wrapText="1"/>
    </xf>
    <xf numFmtId="2" fontId="0" fillId="0" borderId="2" xfId="0" applyNumberFormat="1" applyBorder="1" applyAlignment="1">
      <alignment horizontal="left" wrapText="1"/>
    </xf>
    <xf numFmtId="9" fontId="2" fillId="0" borderId="0" xfId="0" applyNumberFormat="1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10" fontId="3" fillId="0" borderId="6" xfId="0" applyNumberFormat="1" applyFont="1" applyBorder="1" applyAlignment="1">
      <alignment vertical="center" wrapText="1"/>
    </xf>
    <xf numFmtId="10" fontId="4" fillId="0" borderId="6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3" borderId="0" xfId="0" applyFill="1"/>
    <xf numFmtId="0" fontId="2" fillId="3" borderId="0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10" fontId="2" fillId="0" borderId="0" xfId="0" applyNumberFormat="1" applyFont="1" applyBorder="1" applyAlignment="1">
      <alignment horizontal="right" vertical="center" wrapText="1"/>
    </xf>
    <xf numFmtId="44" fontId="0" fillId="0" borderId="0" xfId="0" applyNumberFormat="1"/>
    <xf numFmtId="2" fontId="9" fillId="0" borderId="0" xfId="0" applyNumberFormat="1" applyFont="1" applyFill="1" applyBorder="1" applyAlignment="1">
      <alignment horizontal="right" vertical="center" wrapText="1"/>
    </xf>
    <xf numFmtId="10" fontId="6" fillId="0" borderId="2" xfId="0" applyNumberFormat="1" applyFont="1" applyBorder="1" applyAlignment="1">
      <alignment horizontal="right" vertical="center" wrapText="1"/>
    </xf>
    <xf numFmtId="10" fontId="0" fillId="0" borderId="2" xfId="0" applyNumberFormat="1" applyBorder="1" applyAlignment="1">
      <alignment horizontal="left" wrapText="1"/>
    </xf>
    <xf numFmtId="164" fontId="0" fillId="0" borderId="2" xfId="0" applyNumberFormat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164" fontId="0" fillId="0" borderId="0" xfId="0" applyNumberFormat="1"/>
    <xf numFmtId="3" fontId="0" fillId="0" borderId="0" xfId="0" applyNumberFormat="1"/>
    <xf numFmtId="0" fontId="2" fillId="4" borderId="2" xfId="0" applyFont="1" applyFill="1" applyBorder="1" applyAlignment="1">
      <alignment horizontal="right" vertical="center" wrapText="1"/>
    </xf>
    <xf numFmtId="0" fontId="0" fillId="4" borderId="0" xfId="0" applyFill="1"/>
    <xf numFmtId="164" fontId="2" fillId="0" borderId="1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10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10" fontId="7" fillId="0" borderId="6" xfId="0" applyNumberFormat="1" applyFont="1" applyBorder="1" applyAlignment="1">
      <alignment horizontal="right" vertical="center" wrapText="1"/>
    </xf>
    <xf numFmtId="10" fontId="7" fillId="0" borderId="7" xfId="0" applyNumberFormat="1" applyFont="1" applyBorder="1" applyAlignment="1">
      <alignment horizontal="right" vertical="center" wrapText="1"/>
    </xf>
    <xf numFmtId="10" fontId="8" fillId="0" borderId="6" xfId="0" applyNumberFormat="1" applyFont="1" applyBorder="1" applyAlignment="1">
      <alignment horizontal="right" vertical="center" wrapText="1"/>
    </xf>
    <xf numFmtId="10" fontId="8" fillId="0" borderId="7" xfId="0" applyNumberFormat="1" applyFont="1" applyBorder="1" applyAlignment="1">
      <alignment horizontal="right" vertical="center" wrapText="1"/>
    </xf>
    <xf numFmtId="10" fontId="7" fillId="0" borderId="8" xfId="0" applyNumberFormat="1" applyFont="1" applyBorder="1" applyAlignment="1">
      <alignment horizontal="right" vertical="center" wrapText="1"/>
    </xf>
    <xf numFmtId="10" fontId="7" fillId="0" borderId="2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left" vertical="center" wrapText="1" indent="3"/>
    </xf>
    <xf numFmtId="0" fontId="6" fillId="0" borderId="5" xfId="0" applyFont="1" applyBorder="1" applyAlignment="1">
      <alignment horizontal="left" vertical="center" wrapText="1" indent="3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left" vertical="center" wrapText="1" indent="1"/>
    </xf>
    <xf numFmtId="10" fontId="7" fillId="0" borderId="10" xfId="0" applyNumberFormat="1" applyFont="1" applyBorder="1" applyAlignment="1">
      <alignment horizontal="right" vertical="center" wrapText="1"/>
    </xf>
    <xf numFmtId="10" fontId="8" fillId="0" borderId="10" xfId="0" applyNumberFormat="1" applyFont="1" applyBorder="1" applyAlignment="1">
      <alignment horizontal="right" vertical="center" wrapText="1"/>
    </xf>
    <xf numFmtId="10" fontId="7" fillId="0" borderId="3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10" fontId="3" fillId="0" borderId="6" xfId="0" applyNumberFormat="1" applyFont="1" applyBorder="1" applyAlignment="1">
      <alignment horizontal="right" vertical="center" wrapText="1"/>
    </xf>
    <xf numFmtId="10" fontId="3" fillId="0" borderId="7" xfId="0" applyNumberFormat="1" applyFont="1" applyBorder="1" applyAlignment="1">
      <alignment horizontal="right" vertical="center" wrapText="1"/>
    </xf>
    <xf numFmtId="10" fontId="4" fillId="0" borderId="6" xfId="0" applyNumberFormat="1" applyFont="1" applyBorder="1" applyAlignment="1">
      <alignment horizontal="right" vertical="center" wrapText="1"/>
    </xf>
    <xf numFmtId="10" fontId="4" fillId="0" borderId="7" xfId="0" applyNumberFormat="1" applyFont="1" applyBorder="1" applyAlignment="1">
      <alignment horizontal="right" vertical="center" wrapText="1"/>
    </xf>
    <xf numFmtId="3" fontId="2" fillId="0" borderId="6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3" fontId="6" fillId="0" borderId="6" xfId="0" applyNumberFormat="1" applyFont="1" applyBorder="1" applyAlignment="1">
      <alignment horizontal="right" vertical="center" wrapText="1"/>
    </xf>
    <xf numFmtId="3" fontId="6" fillId="0" borderId="7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6" fillId="0" borderId="12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9C26B866-A9D9-400D-882D-A40542F9423E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557212</xdr:colOff>
      <xdr:row>0</xdr:row>
      <xdr:rowOff>142875</xdr:rowOff>
    </xdr:from>
    <xdr:to>
      <xdr:col>10</xdr:col>
      <xdr:colOff>328612</xdr:colOff>
      <xdr:row>15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BCDD90-5447-B479-8346-8E9B2A787C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7512" y="142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BC54-E172-4DB7-BE48-846430340AE4}">
  <dimension ref="A1:Z97"/>
  <sheetViews>
    <sheetView topLeftCell="K1" zoomScale="85" zoomScaleNormal="85" workbookViewId="0">
      <selection activeCell="P92" sqref="P92:V97"/>
    </sheetView>
  </sheetViews>
  <sheetFormatPr defaultRowHeight="14.25"/>
  <cols>
    <col min="8" max="11" width="9" customWidth="1"/>
    <col min="12" max="12" width="12.125" bestFit="1" customWidth="1"/>
    <col min="22" max="22" width="14.375" bestFit="1" customWidth="1"/>
  </cols>
  <sheetData>
    <row r="1" spans="1:24">
      <c r="B1" s="101" t="s">
        <v>84</v>
      </c>
      <c r="C1" s="101"/>
      <c r="D1" s="101"/>
      <c r="E1" s="101"/>
      <c r="F1" s="101"/>
      <c r="G1" s="101"/>
      <c r="H1" s="1"/>
      <c r="I1" s="1"/>
      <c r="J1" s="1"/>
      <c r="K1" s="39"/>
      <c r="L1" s="1"/>
      <c r="M1" s="1"/>
      <c r="N1" s="1"/>
      <c r="O1" s="1"/>
      <c r="P1" s="101" t="s">
        <v>85</v>
      </c>
      <c r="Q1" s="101"/>
      <c r="R1" s="101"/>
      <c r="S1" s="101"/>
      <c r="T1" s="101"/>
    </row>
    <row r="2" spans="1:24" ht="79.5" thickBot="1">
      <c r="A2" t="s">
        <v>94</v>
      </c>
      <c r="B2" s="3" t="s">
        <v>91</v>
      </c>
      <c r="C2" s="5">
        <v>2024</v>
      </c>
      <c r="D2" s="5">
        <v>2023</v>
      </c>
      <c r="E2" s="5">
        <v>2022</v>
      </c>
      <c r="F2" s="5">
        <v>2021</v>
      </c>
      <c r="G2" s="5">
        <v>2020</v>
      </c>
      <c r="H2" s="5" t="s">
        <v>89</v>
      </c>
      <c r="I2" s="5" t="s">
        <v>86</v>
      </c>
      <c r="J2" s="5" t="s">
        <v>87</v>
      </c>
      <c r="K2" s="5" t="s">
        <v>131</v>
      </c>
      <c r="L2" s="5" t="s">
        <v>92</v>
      </c>
      <c r="M2" s="5"/>
      <c r="N2" s="5"/>
      <c r="O2" s="5"/>
      <c r="P2" s="18" t="s">
        <v>11</v>
      </c>
      <c r="Q2" s="19">
        <v>2024</v>
      </c>
      <c r="R2" s="19">
        <v>2023</v>
      </c>
      <c r="S2" s="19">
        <v>2022</v>
      </c>
      <c r="T2" s="19">
        <v>2021</v>
      </c>
      <c r="U2" s="5" t="s">
        <v>89</v>
      </c>
      <c r="V2" s="5" t="s">
        <v>86</v>
      </c>
      <c r="W2" s="5" t="s">
        <v>87</v>
      </c>
      <c r="X2" s="5" t="s">
        <v>92</v>
      </c>
    </row>
    <row r="3" spans="1:24" ht="34.5" thickBot="1">
      <c r="A3" s="51">
        <v>1</v>
      </c>
      <c r="B3" s="7" t="s">
        <v>49</v>
      </c>
      <c r="C3" s="8">
        <v>60922</v>
      </c>
      <c r="D3" s="8">
        <v>26974</v>
      </c>
      <c r="E3" s="8">
        <v>26914</v>
      </c>
      <c r="F3" s="8">
        <v>16675</v>
      </c>
      <c r="G3" s="8">
        <v>10918</v>
      </c>
      <c r="H3" s="34">
        <f>((C3/G3)^(1/5))-1</f>
        <v>0.41034775793547351</v>
      </c>
      <c r="I3" s="34">
        <v>1.22</v>
      </c>
      <c r="J3" s="34">
        <v>0.52</v>
      </c>
      <c r="K3" s="34">
        <f>AVERAGE(H3:J3)</f>
        <v>0.7167825859784912</v>
      </c>
      <c r="L3" s="53">
        <f>C3+(C3*K3)</f>
        <v>104589.82870298164</v>
      </c>
      <c r="M3" s="29"/>
      <c r="N3" s="29"/>
      <c r="O3" s="29"/>
      <c r="P3" s="20" t="s">
        <v>12</v>
      </c>
      <c r="Q3" s="21">
        <v>25984</v>
      </c>
      <c r="R3" s="21">
        <v>13296</v>
      </c>
      <c r="S3" s="21">
        <v>21208</v>
      </c>
      <c r="T3" s="21">
        <v>11561</v>
      </c>
    </row>
    <row r="4" spans="1:24" ht="23.25" thickBot="1">
      <c r="B4" s="10" t="s">
        <v>50</v>
      </c>
      <c r="C4" s="11">
        <v>1.2585</v>
      </c>
      <c r="D4" s="11">
        <v>2.2000000000000001E-3</v>
      </c>
      <c r="E4" s="11">
        <v>0.61399999999999999</v>
      </c>
      <c r="F4" s="11">
        <v>0.52729999999999999</v>
      </c>
      <c r="G4" s="12" t="s">
        <v>2</v>
      </c>
      <c r="H4" s="30"/>
      <c r="I4" s="30"/>
      <c r="J4" s="30"/>
      <c r="K4" s="30"/>
      <c r="L4" s="30"/>
      <c r="M4" s="30"/>
      <c r="N4" s="30"/>
      <c r="O4" s="30"/>
      <c r="P4" s="22" t="s">
        <v>13</v>
      </c>
      <c r="Q4" s="21">
        <v>7280</v>
      </c>
      <c r="R4" s="21">
        <v>3389</v>
      </c>
      <c r="S4" s="21">
        <v>1990</v>
      </c>
      <c r="T4" s="23">
        <v>847</v>
      </c>
    </row>
    <row r="5" spans="1:24" ht="34.5" thickBot="1">
      <c r="A5" s="51">
        <v>3</v>
      </c>
      <c r="B5" s="7" t="s">
        <v>51</v>
      </c>
      <c r="C5" s="8">
        <v>16621</v>
      </c>
      <c r="D5" s="8">
        <v>11618</v>
      </c>
      <c r="E5" s="8">
        <v>9439</v>
      </c>
      <c r="F5" s="8">
        <v>6279</v>
      </c>
      <c r="G5" s="8">
        <v>4135</v>
      </c>
      <c r="H5" s="31"/>
      <c r="I5" s="31"/>
      <c r="J5" s="31"/>
      <c r="K5" s="31"/>
      <c r="L5" s="31"/>
      <c r="M5" s="31"/>
      <c r="N5" s="31"/>
      <c r="O5" s="31"/>
      <c r="P5" s="71" t="s">
        <v>14</v>
      </c>
      <c r="Q5" s="73">
        <v>0.95430000000000004</v>
      </c>
      <c r="R5" s="75">
        <v>-0.37309999999999999</v>
      </c>
      <c r="S5" s="73">
        <v>0.83440000000000003</v>
      </c>
      <c r="T5" s="77">
        <v>6.0900000000000003E-2</v>
      </c>
    </row>
    <row r="6" spans="1:24" ht="23.25" thickBot="1">
      <c r="B6" s="35" t="s">
        <v>88</v>
      </c>
      <c r="C6" s="36">
        <f>C5/C3</f>
        <v>0.27282426709563046</v>
      </c>
      <c r="D6" s="36">
        <f t="shared" ref="D6:G6" si="0">D5/D3</f>
        <v>0.43071105509008673</v>
      </c>
      <c r="E6" s="36">
        <f t="shared" si="0"/>
        <v>0.35070966783086871</v>
      </c>
      <c r="F6" s="36">
        <f t="shared" si="0"/>
        <v>0.37655172413793103</v>
      </c>
      <c r="G6" s="36">
        <f t="shared" si="0"/>
        <v>0.37873236856567138</v>
      </c>
      <c r="H6" s="37">
        <f>AVERAGE(C6:G6)</f>
        <v>0.3619058165440377</v>
      </c>
      <c r="I6" s="45">
        <v>0.25</v>
      </c>
      <c r="J6" s="31" t="s">
        <v>132</v>
      </c>
      <c r="K6" s="55">
        <f>AVERAGE(H6:I6)</f>
        <v>0.30595290827201882</v>
      </c>
      <c r="L6" s="31">
        <f>C5+(C5*K6)</f>
        <v>21706.243288389225</v>
      </c>
      <c r="M6" s="31"/>
      <c r="N6" s="31"/>
      <c r="O6" s="31"/>
      <c r="P6" s="85"/>
      <c r="Q6" s="86"/>
      <c r="R6" s="87"/>
      <c r="S6" s="86"/>
      <c r="T6" s="88"/>
    </row>
    <row r="7" spans="1:24" ht="34.5" thickBot="1">
      <c r="B7" s="10" t="s">
        <v>52</v>
      </c>
      <c r="C7" s="8">
        <v>15113</v>
      </c>
      <c r="D7" s="8">
        <v>10074</v>
      </c>
      <c r="E7" s="8">
        <v>8265</v>
      </c>
      <c r="F7" s="8">
        <v>5181</v>
      </c>
      <c r="G7" s="8">
        <v>3754</v>
      </c>
      <c r="H7" s="29"/>
      <c r="I7" s="29"/>
      <c r="J7" s="29"/>
      <c r="K7" s="29"/>
      <c r="L7" s="29"/>
      <c r="M7" s="29"/>
      <c r="N7" s="29"/>
      <c r="O7" s="29"/>
      <c r="P7" s="72"/>
      <c r="Q7" s="74"/>
      <c r="R7" s="76"/>
      <c r="S7" s="74"/>
      <c r="T7" s="78"/>
    </row>
    <row r="8" spans="1:24" ht="45.75" thickBot="1">
      <c r="B8" s="10" t="s">
        <v>53</v>
      </c>
      <c r="C8" s="8">
        <v>1508</v>
      </c>
      <c r="D8" s="8">
        <v>1544</v>
      </c>
      <c r="E8" s="8">
        <v>1174</v>
      </c>
      <c r="F8" s="8">
        <v>1098</v>
      </c>
      <c r="G8" s="12">
        <v>381</v>
      </c>
      <c r="H8" s="30"/>
      <c r="I8" s="30"/>
      <c r="J8" s="30"/>
      <c r="K8" s="30"/>
      <c r="L8" s="30"/>
      <c r="M8" s="30"/>
      <c r="N8" s="30"/>
      <c r="O8" s="30"/>
      <c r="P8" s="22" t="s">
        <v>15</v>
      </c>
      <c r="Q8" s="24">
        <v>0.39529999999999998</v>
      </c>
      <c r="R8" s="24">
        <v>0.32290000000000002</v>
      </c>
      <c r="S8" s="24">
        <v>0.48</v>
      </c>
      <c r="T8" s="24">
        <v>0.40150000000000002</v>
      </c>
    </row>
    <row r="9" spans="1:24" ht="34.5" thickBot="1">
      <c r="B9" s="13" t="s">
        <v>54</v>
      </c>
      <c r="C9" s="12">
        <v>894</v>
      </c>
      <c r="D9" s="12">
        <v>845</v>
      </c>
      <c r="E9" s="12">
        <v>611</v>
      </c>
      <c r="F9" s="12">
        <v>486</v>
      </c>
      <c r="G9" s="12">
        <v>356</v>
      </c>
      <c r="H9" s="30"/>
      <c r="I9" s="30"/>
      <c r="J9" s="30"/>
      <c r="K9" s="30"/>
      <c r="L9" s="30"/>
      <c r="M9" s="30"/>
      <c r="N9" s="30"/>
      <c r="O9" s="30"/>
      <c r="P9" s="20" t="s">
        <v>16</v>
      </c>
      <c r="Q9" s="21">
        <v>9999</v>
      </c>
      <c r="R9" s="21">
        <v>3827</v>
      </c>
      <c r="S9" s="21">
        <v>4650</v>
      </c>
      <c r="T9" s="21">
        <v>2429</v>
      </c>
    </row>
    <row r="10" spans="1:24" ht="57" thickBot="1">
      <c r="B10" s="13" t="s">
        <v>55</v>
      </c>
      <c r="C10" s="12">
        <v>614</v>
      </c>
      <c r="D10" s="12">
        <v>699</v>
      </c>
      <c r="E10" s="12">
        <v>563</v>
      </c>
      <c r="F10" s="12">
        <v>612</v>
      </c>
      <c r="G10" s="12">
        <v>25</v>
      </c>
      <c r="H10" s="30"/>
      <c r="I10" s="30"/>
      <c r="J10" s="30"/>
      <c r="K10" s="30"/>
      <c r="L10" s="30"/>
      <c r="M10" s="30"/>
      <c r="N10" s="30"/>
      <c r="O10" s="30"/>
      <c r="P10" s="22" t="s">
        <v>17</v>
      </c>
      <c r="Q10" s="21">
        <v>9999</v>
      </c>
      <c r="R10" s="21">
        <v>3827</v>
      </c>
      <c r="S10" s="21">
        <v>4650</v>
      </c>
      <c r="T10" s="21">
        <v>2429</v>
      </c>
    </row>
    <row r="11" spans="1:24" ht="79.5" thickBot="1">
      <c r="B11" s="10" t="s">
        <v>56</v>
      </c>
      <c r="C11" s="11">
        <v>0.43059999999999998</v>
      </c>
      <c r="D11" s="11">
        <v>0.23089999999999999</v>
      </c>
      <c r="E11" s="11">
        <v>0.50329999999999997</v>
      </c>
      <c r="F11" s="11">
        <v>0.51849999999999996</v>
      </c>
      <c r="G11" s="12" t="s">
        <v>2</v>
      </c>
      <c r="H11" s="30"/>
      <c r="I11" s="30"/>
      <c r="J11" s="30"/>
      <c r="K11" s="30"/>
      <c r="L11" s="30"/>
      <c r="M11" s="30"/>
      <c r="N11" s="30"/>
      <c r="O11" s="30"/>
      <c r="P11" s="25" t="s">
        <v>18</v>
      </c>
      <c r="Q11" s="21">
        <v>9999</v>
      </c>
      <c r="R11" s="21">
        <v>3827</v>
      </c>
      <c r="S11" s="21">
        <v>4650</v>
      </c>
      <c r="T11" s="21">
        <v>2433</v>
      </c>
    </row>
    <row r="12" spans="1:24" ht="18.75" customHeight="1" thickBot="1">
      <c r="B12" s="7" t="s">
        <v>57</v>
      </c>
      <c r="C12" s="8">
        <v>44301</v>
      </c>
      <c r="D12" s="8">
        <v>15356</v>
      </c>
      <c r="E12" s="8">
        <v>17475</v>
      </c>
      <c r="F12" s="8">
        <v>10396</v>
      </c>
      <c r="G12" s="8">
        <v>6783</v>
      </c>
      <c r="H12" s="31">
        <f>C12+(C12*H13)</f>
        <v>77274.234299999996</v>
      </c>
      <c r="I12" s="31"/>
      <c r="J12" s="31"/>
      <c r="K12" s="31"/>
      <c r="L12" s="31"/>
      <c r="M12" s="31"/>
      <c r="N12" s="31"/>
      <c r="O12" s="31"/>
      <c r="P12" s="79" t="s">
        <v>19</v>
      </c>
      <c r="Q12" s="81" t="s">
        <v>2</v>
      </c>
      <c r="R12" s="81" t="s">
        <v>2</v>
      </c>
      <c r="S12" s="81" t="s">
        <v>2</v>
      </c>
      <c r="T12" s="83">
        <v>-4</v>
      </c>
    </row>
    <row r="13" spans="1:24" ht="15" thickBot="1">
      <c r="B13" s="91" t="s">
        <v>58</v>
      </c>
      <c r="C13" s="93">
        <v>1.8849</v>
      </c>
      <c r="D13" s="95">
        <v>-0.12130000000000001</v>
      </c>
      <c r="E13" s="93">
        <v>0.68089999999999995</v>
      </c>
      <c r="F13" s="93">
        <v>0.53269999999999995</v>
      </c>
      <c r="G13" s="89" t="s">
        <v>2</v>
      </c>
      <c r="H13" s="69">
        <f>AVERAGE(C13:F14)</f>
        <v>0.74429999999999996</v>
      </c>
      <c r="I13" s="32"/>
      <c r="J13" s="32"/>
      <c r="K13" s="32"/>
      <c r="L13" s="32"/>
      <c r="M13" s="32"/>
      <c r="N13" s="32"/>
      <c r="O13" s="32"/>
      <c r="P13" s="80"/>
      <c r="Q13" s="82"/>
      <c r="R13" s="82"/>
      <c r="S13" s="82"/>
      <c r="T13" s="84"/>
    </row>
    <row r="14" spans="1:24" ht="15" thickBot="1">
      <c r="B14" s="92"/>
      <c r="C14" s="94"/>
      <c r="D14" s="96"/>
      <c r="E14" s="94"/>
      <c r="F14" s="94"/>
      <c r="G14" s="90"/>
      <c r="H14" s="70"/>
      <c r="I14" s="32"/>
      <c r="J14" s="32"/>
      <c r="K14" s="32"/>
      <c r="L14" s="32"/>
      <c r="M14" s="32"/>
      <c r="N14" s="32"/>
      <c r="O14" s="32"/>
      <c r="P14" s="71" t="s">
        <v>20</v>
      </c>
      <c r="Q14" s="73">
        <v>1.6128</v>
      </c>
      <c r="R14" s="75">
        <v>-0.17699999999999999</v>
      </c>
      <c r="S14" s="73">
        <v>0.91439999999999999</v>
      </c>
      <c r="T14" s="77">
        <v>0.46589999999999998</v>
      </c>
    </row>
    <row r="15" spans="1:24" ht="23.25" thickBot="1">
      <c r="B15" s="10" t="s">
        <v>59</v>
      </c>
      <c r="C15" s="11">
        <v>0.72719999999999996</v>
      </c>
      <c r="D15" s="12" t="s">
        <v>2</v>
      </c>
      <c r="E15" s="12" t="s">
        <v>2</v>
      </c>
      <c r="F15" s="12" t="s">
        <v>2</v>
      </c>
      <c r="G15" s="12" t="s">
        <v>2</v>
      </c>
      <c r="H15" s="30"/>
      <c r="I15" s="30"/>
      <c r="J15" s="30"/>
      <c r="K15" s="30"/>
      <c r="L15" s="30"/>
      <c r="M15" s="30"/>
      <c r="N15" s="30"/>
      <c r="O15" s="30"/>
      <c r="P15" s="72"/>
      <c r="Q15" s="74"/>
      <c r="R15" s="76"/>
      <c r="S15" s="74"/>
      <c r="T15" s="78"/>
    </row>
    <row r="16" spans="1:24" ht="34.5" thickBot="1">
      <c r="A16" s="51">
        <v>4</v>
      </c>
      <c r="B16" s="7" t="s">
        <v>60</v>
      </c>
      <c r="C16" s="8">
        <v>11329</v>
      </c>
      <c r="D16" s="8">
        <v>9779</v>
      </c>
      <c r="E16" s="8">
        <v>7434</v>
      </c>
      <c r="F16" s="8">
        <v>5780</v>
      </c>
      <c r="G16" s="8">
        <v>3892</v>
      </c>
      <c r="H16" s="29" t="s">
        <v>132</v>
      </c>
      <c r="I16" s="29" t="s">
        <v>132</v>
      </c>
      <c r="J16" s="29" t="s">
        <v>132</v>
      </c>
      <c r="K16" s="29" t="s">
        <v>132</v>
      </c>
      <c r="L16" s="29"/>
      <c r="M16" s="29"/>
      <c r="N16" s="29"/>
      <c r="O16" s="29"/>
      <c r="P16" s="22" t="s">
        <v>21</v>
      </c>
      <c r="Q16" s="26">
        <v>6.09</v>
      </c>
      <c r="R16" s="26">
        <v>7.05</v>
      </c>
      <c r="S16" s="26">
        <v>5.79</v>
      </c>
      <c r="T16" s="26">
        <v>6.86</v>
      </c>
    </row>
    <row r="17" spans="2:20" ht="23.25" thickBot="1">
      <c r="B17" s="35" t="s">
        <v>90</v>
      </c>
      <c r="C17" s="36">
        <f>C16/C3</f>
        <v>0.18595909523653195</v>
      </c>
      <c r="D17" s="36">
        <f t="shared" ref="D17:G17" si="1">D16/D3</f>
        <v>0.36253429228145623</v>
      </c>
      <c r="E17" s="36">
        <f t="shared" si="1"/>
        <v>0.2762131232815635</v>
      </c>
      <c r="F17" s="36">
        <f t="shared" si="1"/>
        <v>0.34662668665667168</v>
      </c>
      <c r="G17" s="36">
        <f t="shared" si="1"/>
        <v>0.3564755449716065</v>
      </c>
      <c r="H17" s="34">
        <f>AVERAGE(C17:G17)</f>
        <v>0.30556174848556594</v>
      </c>
      <c r="I17" s="34">
        <v>9.2942743009320899E-2</v>
      </c>
      <c r="J17" s="29" t="s">
        <v>132</v>
      </c>
      <c r="K17" s="34">
        <f>AVERAGE(H17:I17)</f>
        <v>0.19925224574744343</v>
      </c>
      <c r="L17" s="29">
        <f>C16+(C16*K17)</f>
        <v>13586.328692072786</v>
      </c>
      <c r="M17" s="29"/>
      <c r="N17" s="29"/>
      <c r="O17" s="29"/>
      <c r="P17" s="22"/>
      <c r="Q17" s="26"/>
      <c r="R17" s="26"/>
      <c r="S17" s="26"/>
      <c r="T17" s="26"/>
    </row>
    <row r="18" spans="2:20" ht="34.5" thickBot="1">
      <c r="B18" s="10" t="s">
        <v>0</v>
      </c>
      <c r="C18" s="8">
        <v>8675</v>
      </c>
      <c r="D18" s="8">
        <v>7339</v>
      </c>
      <c r="E18" s="8">
        <v>5268</v>
      </c>
      <c r="F18" s="8">
        <v>3924</v>
      </c>
      <c r="G18" s="8">
        <v>2829</v>
      </c>
      <c r="H18" s="29"/>
      <c r="I18" s="29"/>
      <c r="J18" s="29"/>
      <c r="K18" s="29"/>
      <c r="L18" s="29"/>
      <c r="M18" s="29"/>
      <c r="N18" s="29"/>
      <c r="O18" s="29"/>
      <c r="P18" s="20" t="s">
        <v>22</v>
      </c>
      <c r="Q18" s="21">
        <v>5282</v>
      </c>
      <c r="R18" s="21">
        <v>5159</v>
      </c>
      <c r="S18" s="21">
        <v>2605</v>
      </c>
      <c r="T18" s="21">
        <v>1826</v>
      </c>
    </row>
    <row r="19" spans="2:20" ht="23.25" thickBot="1">
      <c r="B19" s="10" t="s">
        <v>61</v>
      </c>
      <c r="C19" s="8">
        <v>2654</v>
      </c>
      <c r="D19" s="8">
        <v>2440</v>
      </c>
      <c r="E19" s="8">
        <v>2166</v>
      </c>
      <c r="F19" s="8">
        <v>1856</v>
      </c>
      <c r="G19" s="8">
        <v>1063</v>
      </c>
      <c r="H19" s="29"/>
      <c r="I19" s="29"/>
      <c r="J19" s="29"/>
      <c r="K19" s="29"/>
      <c r="L19" s="29"/>
      <c r="M19" s="29"/>
      <c r="N19" s="29"/>
      <c r="O19" s="29"/>
      <c r="P19" s="22" t="s">
        <v>23</v>
      </c>
      <c r="Q19" s="21">
        <v>2058</v>
      </c>
      <c r="R19" s="21">
        <v>2263</v>
      </c>
      <c r="S19" s="21">
        <v>1122</v>
      </c>
      <c r="T19" s="23">
        <v>737</v>
      </c>
    </row>
    <row r="20" spans="2:20" ht="23.25" thickBot="1">
      <c r="B20" s="10" t="s">
        <v>62</v>
      </c>
      <c r="C20" s="11">
        <v>0.1585</v>
      </c>
      <c r="D20" s="11">
        <v>0.31540000000000001</v>
      </c>
      <c r="E20" s="11">
        <v>0.28620000000000001</v>
      </c>
      <c r="F20" s="11">
        <v>0.48509999999999998</v>
      </c>
      <c r="G20" s="12" t="s">
        <v>2</v>
      </c>
      <c r="H20" s="30"/>
      <c r="I20" s="30"/>
      <c r="J20" s="30"/>
      <c r="K20" s="30"/>
      <c r="L20" s="30"/>
      <c r="M20" s="30"/>
      <c r="N20" s="30"/>
      <c r="O20" s="30"/>
      <c r="P20" s="22" t="s">
        <v>24</v>
      </c>
      <c r="Q20" s="21">
        <v>1505</v>
      </c>
      <c r="R20" s="23">
        <v>466</v>
      </c>
      <c r="S20" s="23">
        <v>692</v>
      </c>
      <c r="T20" s="23">
        <v>457</v>
      </c>
    </row>
    <row r="21" spans="2:20" ht="23.25" thickBot="1">
      <c r="B21" s="7" t="s">
        <v>10</v>
      </c>
      <c r="C21" s="8">
        <v>32972</v>
      </c>
      <c r="D21" s="8">
        <v>5577</v>
      </c>
      <c r="E21" s="8">
        <v>10041</v>
      </c>
      <c r="F21" s="8">
        <v>4616</v>
      </c>
      <c r="G21" s="8">
        <v>2891</v>
      </c>
      <c r="H21" s="29"/>
      <c r="I21" s="29"/>
      <c r="J21" s="29"/>
      <c r="K21" s="29"/>
      <c r="L21" s="29"/>
      <c r="M21" s="29"/>
      <c r="N21" s="29"/>
      <c r="O21" s="29"/>
      <c r="P21" s="22" t="s">
        <v>25</v>
      </c>
      <c r="Q21" s="21">
        <v>1719</v>
      </c>
      <c r="R21" s="21">
        <v>2430</v>
      </c>
      <c r="S21" s="23">
        <v>791</v>
      </c>
      <c r="T21" s="23">
        <v>632</v>
      </c>
    </row>
    <row r="22" spans="2:20" ht="34.5" thickBot="1">
      <c r="B22" s="99" t="s">
        <v>63</v>
      </c>
      <c r="C22" s="89">
        <v>-174</v>
      </c>
      <c r="D22" s="97">
        <v>1414</v>
      </c>
      <c r="E22" s="89">
        <v>-100</v>
      </c>
      <c r="F22" s="89">
        <v>84</v>
      </c>
      <c r="G22" s="89">
        <v>45</v>
      </c>
      <c r="H22" s="33"/>
      <c r="I22" s="33"/>
      <c r="J22" s="33"/>
      <c r="K22" s="33"/>
      <c r="L22" s="33"/>
      <c r="M22" s="33"/>
      <c r="N22" s="33"/>
      <c r="O22" s="33"/>
      <c r="P22" s="20" t="s">
        <v>26</v>
      </c>
      <c r="Q22" s="21">
        <v>3080</v>
      </c>
      <c r="R22" s="23">
        <v>791</v>
      </c>
      <c r="S22" s="23">
        <v>366</v>
      </c>
      <c r="T22" s="23">
        <v>239</v>
      </c>
    </row>
    <row r="23" spans="2:20" ht="45.75" thickBot="1">
      <c r="B23" s="100"/>
      <c r="C23" s="90"/>
      <c r="D23" s="98"/>
      <c r="E23" s="90"/>
      <c r="F23" s="90"/>
      <c r="G23" s="90"/>
      <c r="H23" s="30"/>
      <c r="I23" s="30"/>
      <c r="J23" s="30"/>
      <c r="K23" s="30"/>
      <c r="L23" s="30"/>
      <c r="M23" s="30"/>
      <c r="N23" s="30"/>
      <c r="O23" s="30"/>
      <c r="P23" s="22" t="s">
        <v>27</v>
      </c>
      <c r="Q23" s="21">
        <v>3080</v>
      </c>
      <c r="R23" s="23">
        <v>791</v>
      </c>
      <c r="S23" s="23">
        <v>366</v>
      </c>
      <c r="T23" s="23">
        <v>239</v>
      </c>
    </row>
    <row r="24" spans="2:20" ht="18.75" customHeight="1" thickBot="1">
      <c r="B24" s="99" t="s">
        <v>64</v>
      </c>
      <c r="C24" s="89">
        <v>63</v>
      </c>
      <c r="D24" s="89">
        <v>13</v>
      </c>
      <c r="E24" s="89">
        <v>7</v>
      </c>
      <c r="F24" s="89">
        <v>4</v>
      </c>
      <c r="G24" s="89">
        <v>-2</v>
      </c>
      <c r="H24" s="33"/>
      <c r="I24" s="33"/>
      <c r="J24" s="33"/>
      <c r="K24" s="33"/>
      <c r="L24" s="33"/>
      <c r="M24" s="33"/>
      <c r="N24" s="33"/>
      <c r="O24" s="33"/>
      <c r="P24" s="20" t="s">
        <v>28</v>
      </c>
      <c r="Q24" s="21">
        <v>44345</v>
      </c>
      <c r="R24" s="21">
        <v>23073</v>
      </c>
      <c r="S24" s="21">
        <v>28829</v>
      </c>
      <c r="T24" s="21">
        <v>16055</v>
      </c>
    </row>
    <row r="25" spans="2:20" ht="34.5" thickBot="1">
      <c r="B25" s="100"/>
      <c r="C25" s="90"/>
      <c r="D25" s="90"/>
      <c r="E25" s="90"/>
      <c r="F25" s="90"/>
      <c r="G25" s="90"/>
      <c r="H25" s="30"/>
      <c r="I25" s="30"/>
      <c r="J25" s="30"/>
      <c r="K25" s="30"/>
      <c r="L25" s="30"/>
      <c r="M25" s="30"/>
      <c r="N25" s="30"/>
      <c r="O25" s="30"/>
      <c r="P25" s="20" t="s">
        <v>29</v>
      </c>
      <c r="Q25" s="21">
        <v>5260</v>
      </c>
      <c r="R25" s="21">
        <v>4845</v>
      </c>
      <c r="S25" s="21">
        <v>3607</v>
      </c>
      <c r="T25" s="21">
        <v>2856</v>
      </c>
    </row>
    <row r="26" spans="2:20" ht="45.75" thickBot="1">
      <c r="B26" s="7" t="s">
        <v>65</v>
      </c>
      <c r="C26" s="12">
        <v>866</v>
      </c>
      <c r="D26" s="12">
        <v>267</v>
      </c>
      <c r="E26" s="12">
        <v>29</v>
      </c>
      <c r="F26" s="12">
        <v>57</v>
      </c>
      <c r="G26" s="12">
        <v>178</v>
      </c>
      <c r="H26" s="30"/>
      <c r="I26" s="30"/>
      <c r="J26" s="30"/>
      <c r="K26" s="30"/>
      <c r="L26" s="30"/>
      <c r="M26" s="30"/>
      <c r="N26" s="30"/>
      <c r="O26" s="30"/>
      <c r="P26" s="22" t="s">
        <v>30</v>
      </c>
      <c r="Q26" s="21">
        <v>8769</v>
      </c>
      <c r="R26" s="21">
        <v>7539</v>
      </c>
      <c r="S26" s="21">
        <v>5510</v>
      </c>
      <c r="T26" s="21">
        <v>4264</v>
      </c>
    </row>
    <row r="27" spans="2:20" ht="23.25" thickBot="1">
      <c r="B27" s="7" t="s">
        <v>1</v>
      </c>
      <c r="C27" s="12">
        <v>257</v>
      </c>
      <c r="D27" s="12">
        <v>262</v>
      </c>
      <c r="E27" s="12">
        <v>236</v>
      </c>
      <c r="F27" s="12">
        <v>184</v>
      </c>
      <c r="G27" s="12">
        <v>52</v>
      </c>
      <c r="H27" s="30"/>
      <c r="I27" s="30"/>
      <c r="J27" s="30"/>
      <c r="K27" s="30"/>
      <c r="L27" s="30"/>
      <c r="M27" s="30"/>
      <c r="N27" s="30"/>
      <c r="O27" s="30"/>
      <c r="P27" s="25" t="s">
        <v>31</v>
      </c>
      <c r="Q27" s="23" t="s">
        <v>2</v>
      </c>
      <c r="R27" s="23" t="s">
        <v>2</v>
      </c>
      <c r="S27" s="23" t="s">
        <v>2</v>
      </c>
      <c r="T27" s="23">
        <v>341</v>
      </c>
    </row>
    <row r="28" spans="2:20" ht="18.75" customHeight="1" thickBot="1">
      <c r="B28" s="91" t="s">
        <v>66</v>
      </c>
      <c r="C28" s="95">
        <v>-1.9099999999999999E-2</v>
      </c>
      <c r="D28" s="93">
        <v>0.11020000000000001</v>
      </c>
      <c r="E28" s="93">
        <v>0.28260000000000002</v>
      </c>
      <c r="F28" s="93">
        <v>2.5385</v>
      </c>
      <c r="G28" s="89" t="s">
        <v>2</v>
      </c>
      <c r="H28" s="33"/>
      <c r="I28" s="33"/>
      <c r="J28" s="33"/>
      <c r="K28" s="33"/>
      <c r="L28" s="33"/>
      <c r="M28" s="33"/>
      <c r="N28" s="33"/>
      <c r="O28" s="33"/>
      <c r="P28" s="25" t="s">
        <v>32</v>
      </c>
      <c r="Q28" s="23">
        <v>218</v>
      </c>
      <c r="R28" s="23">
        <v>218</v>
      </c>
      <c r="S28" s="23">
        <v>218</v>
      </c>
      <c r="T28" s="23">
        <v>218</v>
      </c>
    </row>
    <row r="29" spans="2:20" ht="57" thickBot="1">
      <c r="B29" s="92"/>
      <c r="C29" s="96"/>
      <c r="D29" s="94"/>
      <c r="E29" s="94"/>
      <c r="F29" s="94"/>
      <c r="G29" s="90"/>
      <c r="H29" s="30"/>
      <c r="I29" s="30"/>
      <c r="J29" s="30"/>
      <c r="K29" s="30"/>
      <c r="L29" s="30"/>
      <c r="M29" s="30"/>
      <c r="N29" s="30"/>
      <c r="O29" s="30"/>
      <c r="P29" s="25" t="s">
        <v>33</v>
      </c>
      <c r="Q29" s="23" t="s">
        <v>2</v>
      </c>
      <c r="R29" s="23" t="s">
        <v>2</v>
      </c>
      <c r="S29" s="23" t="s">
        <v>2</v>
      </c>
      <c r="T29" s="23">
        <v>782</v>
      </c>
    </row>
    <row r="30" spans="2:20" ht="57" thickBot="1">
      <c r="B30" s="10" t="s">
        <v>67</v>
      </c>
      <c r="C30" s="12">
        <v>257</v>
      </c>
      <c r="D30" s="12">
        <v>262</v>
      </c>
      <c r="E30" s="12">
        <v>236</v>
      </c>
      <c r="F30" s="12">
        <v>184</v>
      </c>
      <c r="G30" s="12">
        <v>52</v>
      </c>
      <c r="H30" s="30"/>
      <c r="I30" s="30"/>
      <c r="J30" s="30"/>
      <c r="K30" s="30"/>
      <c r="L30" s="30"/>
      <c r="M30" s="30"/>
      <c r="N30" s="30"/>
      <c r="O30" s="30"/>
      <c r="P30" s="25" t="s">
        <v>34</v>
      </c>
      <c r="Q30" s="23">
        <v>189</v>
      </c>
      <c r="R30" s="23">
        <v>382</v>
      </c>
      <c r="S30" s="23">
        <v>737</v>
      </c>
      <c r="T30" s="23">
        <v>558</v>
      </c>
    </row>
    <row r="31" spans="2:20" ht="79.5" thickBot="1">
      <c r="B31" s="7" t="s">
        <v>3</v>
      </c>
      <c r="C31" s="8">
        <v>33818</v>
      </c>
      <c r="D31" s="8">
        <v>4181</v>
      </c>
      <c r="E31" s="8">
        <v>9941</v>
      </c>
      <c r="F31" s="8">
        <v>4409</v>
      </c>
      <c r="G31" s="8">
        <v>2970</v>
      </c>
      <c r="H31" s="29"/>
      <c r="I31" s="29"/>
      <c r="J31" s="29"/>
      <c r="K31" s="29"/>
      <c r="L31" s="29"/>
      <c r="M31" s="29"/>
      <c r="N31" s="29"/>
      <c r="O31" s="29"/>
      <c r="P31" s="25" t="s">
        <v>35</v>
      </c>
      <c r="Q31" s="21">
        <v>5200</v>
      </c>
      <c r="R31" s="21">
        <v>4303</v>
      </c>
      <c r="S31" s="21">
        <v>2852</v>
      </c>
      <c r="T31" s="21">
        <v>1187</v>
      </c>
    </row>
    <row r="32" spans="2:20" ht="79.5" thickBot="1">
      <c r="B32" s="91" t="s">
        <v>68</v>
      </c>
      <c r="C32" s="93">
        <v>7.0884999999999998</v>
      </c>
      <c r="D32" s="95">
        <v>-0.57940000000000003</v>
      </c>
      <c r="E32" s="93">
        <v>1.2546999999999999</v>
      </c>
      <c r="F32" s="93">
        <v>0.48449999999999999</v>
      </c>
      <c r="G32" s="89" t="s">
        <v>2</v>
      </c>
      <c r="H32" s="33"/>
      <c r="I32" s="33"/>
      <c r="J32" s="33"/>
      <c r="K32" s="33"/>
      <c r="L32" s="33"/>
      <c r="M32" s="33"/>
      <c r="N32" s="33"/>
      <c r="O32" s="33"/>
      <c r="P32" s="25" t="s">
        <v>36</v>
      </c>
      <c r="Q32" s="21">
        <v>1816</v>
      </c>
      <c r="R32" s="21">
        <v>1598</v>
      </c>
      <c r="S32" s="23">
        <v>874</v>
      </c>
      <c r="T32" s="23">
        <v>471</v>
      </c>
    </row>
    <row r="33" spans="1:26" ht="45.75" thickBot="1">
      <c r="B33" s="92"/>
      <c r="C33" s="94"/>
      <c r="D33" s="96"/>
      <c r="E33" s="94"/>
      <c r="F33" s="94"/>
      <c r="G33" s="90"/>
      <c r="H33" s="30"/>
      <c r="I33" s="30"/>
      <c r="J33" s="30"/>
      <c r="K33" s="30"/>
      <c r="L33" s="30"/>
      <c r="M33" s="30"/>
      <c r="N33" s="30"/>
      <c r="O33" s="30"/>
      <c r="P33" s="22" t="s">
        <v>37</v>
      </c>
      <c r="Q33" s="21">
        <v>3509</v>
      </c>
      <c r="R33" s="21">
        <v>2694</v>
      </c>
      <c r="S33" s="21">
        <v>1903</v>
      </c>
      <c r="T33" s="21">
        <v>1408</v>
      </c>
    </row>
    <row r="34" spans="1:26" ht="45.75" thickBot="1">
      <c r="B34" s="10" t="s">
        <v>69</v>
      </c>
      <c r="C34" s="11">
        <v>0.55510000000000004</v>
      </c>
      <c r="D34" s="12" t="s">
        <v>2</v>
      </c>
      <c r="E34" s="12" t="s">
        <v>2</v>
      </c>
      <c r="F34" s="12" t="s">
        <v>2</v>
      </c>
      <c r="G34" s="12" t="s">
        <v>2</v>
      </c>
      <c r="H34" s="30"/>
      <c r="I34" s="30"/>
      <c r="J34" s="30"/>
      <c r="K34" s="30"/>
      <c r="L34" s="30"/>
      <c r="M34" s="30"/>
      <c r="N34" s="30"/>
      <c r="O34" s="30"/>
      <c r="P34" s="20" t="s">
        <v>38</v>
      </c>
      <c r="Q34" s="21">
        <v>1546</v>
      </c>
      <c r="R34" s="23">
        <v>299</v>
      </c>
      <c r="S34" s="23">
        <v>266</v>
      </c>
      <c r="T34" s="23" t="s">
        <v>2</v>
      </c>
    </row>
    <row r="35" spans="1:26" ht="45.75" thickBot="1">
      <c r="A35" s="68">
        <v>13</v>
      </c>
      <c r="B35" s="99" t="s">
        <v>70</v>
      </c>
      <c r="C35" s="97">
        <v>4058</v>
      </c>
      <c r="D35" s="89">
        <v>-187</v>
      </c>
      <c r="E35" s="89">
        <v>189</v>
      </c>
      <c r="F35" s="89">
        <v>77</v>
      </c>
      <c r="G35" s="89">
        <v>174</v>
      </c>
      <c r="H35" s="33"/>
      <c r="I35" s="33"/>
      <c r="J35" s="33"/>
      <c r="K35" s="33"/>
      <c r="L35" s="66">
        <f>H37*H12</f>
        <v>1905.5440174310052</v>
      </c>
      <c r="M35" s="33"/>
      <c r="N35" s="33"/>
      <c r="O35" s="33"/>
      <c r="P35" s="22" t="s">
        <v>39</v>
      </c>
      <c r="Q35" s="21">
        <v>1546</v>
      </c>
      <c r="R35" s="23">
        <v>299</v>
      </c>
      <c r="S35" s="23">
        <v>266</v>
      </c>
      <c r="T35" s="23" t="s">
        <v>2</v>
      </c>
    </row>
    <row r="36" spans="1:26" ht="23.25" thickBot="1">
      <c r="A36" s="68"/>
      <c r="B36" s="100"/>
      <c r="C36" s="98"/>
      <c r="D36" s="90"/>
      <c r="E36" s="90"/>
      <c r="F36" s="90"/>
      <c r="G36" s="90"/>
      <c r="H36" s="30"/>
      <c r="I36" s="30"/>
      <c r="J36" s="30"/>
      <c r="K36" s="30"/>
      <c r="L36" s="67"/>
      <c r="M36" s="30"/>
      <c r="N36" s="30"/>
      <c r="O36" s="30"/>
      <c r="P36" s="20" t="s">
        <v>40</v>
      </c>
      <c r="Q36" s="21">
        <v>5542</v>
      </c>
      <c r="R36" s="21">
        <v>6048</v>
      </c>
      <c r="S36" s="21">
        <v>6688</v>
      </c>
      <c r="T36" s="21">
        <v>6930</v>
      </c>
    </row>
    <row r="37" spans="1:26" ht="15" thickBot="1">
      <c r="A37" s="68">
        <v>13</v>
      </c>
      <c r="B37" s="7" t="s">
        <v>150</v>
      </c>
      <c r="C37" s="36">
        <f>C35/C12</f>
        <v>9.1600641069050359E-2</v>
      </c>
      <c r="D37" s="36">
        <f>D35/D12</f>
        <v>-1.2177650429799427E-2</v>
      </c>
      <c r="E37" s="36">
        <f>E35/E12</f>
        <v>1.0815450643776824E-2</v>
      </c>
      <c r="F37" s="36">
        <f>F35/F12</f>
        <v>7.4066948826471716E-3</v>
      </c>
      <c r="G37" s="36">
        <f>G35/G12</f>
        <v>2.5652366209641751E-2</v>
      </c>
      <c r="H37" s="34">
        <f>AVERAGE(C37:G37)</f>
        <v>2.4659500475063333E-2</v>
      </c>
      <c r="I37" s="30"/>
      <c r="J37" s="30"/>
      <c r="K37" s="30"/>
      <c r="L37" s="30"/>
      <c r="M37" s="30"/>
      <c r="N37" s="30"/>
      <c r="O37" s="30"/>
      <c r="P37" s="20"/>
      <c r="Q37" s="21"/>
      <c r="R37" s="21"/>
      <c r="S37" s="21"/>
      <c r="T37" s="21"/>
    </row>
    <row r="38" spans="1:26" ht="34.5" thickBot="1">
      <c r="A38" s="68"/>
      <c r="B38" s="10" t="s">
        <v>71</v>
      </c>
      <c r="C38" s="8">
        <v>6045</v>
      </c>
      <c r="D38" s="8">
        <v>1749</v>
      </c>
      <c r="E38" s="12">
        <v>524</v>
      </c>
      <c r="F38" s="12">
        <v>198</v>
      </c>
      <c r="G38" s="12">
        <v>69</v>
      </c>
      <c r="H38" s="30"/>
      <c r="I38" s="30"/>
      <c r="J38" s="30"/>
      <c r="K38" s="30"/>
      <c r="L38" s="30"/>
      <c r="M38" s="30"/>
      <c r="N38" s="30"/>
      <c r="O38" s="30"/>
      <c r="P38" s="22" t="s">
        <v>41</v>
      </c>
      <c r="Q38" s="21">
        <v>4430</v>
      </c>
      <c r="R38" s="21">
        <v>4372</v>
      </c>
      <c r="S38" s="21">
        <v>4349</v>
      </c>
      <c r="T38" s="21">
        <v>4193</v>
      </c>
    </row>
    <row r="39" spans="1:26" ht="34.5" thickBot="1">
      <c r="B39" s="10" t="s">
        <v>72</v>
      </c>
      <c r="C39" s="12">
        <v>502</v>
      </c>
      <c r="D39" s="12">
        <v>228</v>
      </c>
      <c r="E39" s="12">
        <v>71</v>
      </c>
      <c r="F39" s="12">
        <v>161</v>
      </c>
      <c r="G39" s="12">
        <v>87</v>
      </c>
      <c r="H39" s="30"/>
      <c r="I39" s="30"/>
      <c r="J39" s="30"/>
      <c r="K39" s="30"/>
      <c r="L39" s="30"/>
      <c r="M39" s="30"/>
      <c r="N39" s="30"/>
      <c r="O39" s="30"/>
      <c r="P39" s="22" t="s">
        <v>42</v>
      </c>
      <c r="Q39" s="21">
        <v>1112</v>
      </c>
      <c r="R39" s="21">
        <v>1676</v>
      </c>
      <c r="S39" s="21">
        <v>2339</v>
      </c>
      <c r="T39" s="21">
        <v>2737</v>
      </c>
    </row>
    <row r="40" spans="1:26" ht="18.75" customHeight="1" thickBot="1">
      <c r="B40" s="91" t="s">
        <v>73</v>
      </c>
      <c r="C40" s="97">
        <v>-2705</v>
      </c>
      <c r="D40" s="97">
        <v>-2165</v>
      </c>
      <c r="E40" s="89">
        <v>-420</v>
      </c>
      <c r="F40" s="89">
        <v>-246</v>
      </c>
      <c r="G40" s="89">
        <v>2</v>
      </c>
      <c r="H40" s="33"/>
      <c r="I40" s="33"/>
      <c r="J40" s="33"/>
      <c r="K40" s="33"/>
      <c r="L40" s="33"/>
      <c r="M40" s="33"/>
      <c r="N40" s="33"/>
      <c r="O40" s="33"/>
      <c r="P40" s="20" t="s">
        <v>43</v>
      </c>
      <c r="Q40" s="21">
        <v>2954</v>
      </c>
      <c r="R40" s="21">
        <v>3521</v>
      </c>
      <c r="S40" s="21">
        <v>3575</v>
      </c>
      <c r="T40" s="21">
        <v>2144</v>
      </c>
    </row>
    <row r="41" spans="1:26" ht="23.25" thickBot="1">
      <c r="B41" s="92"/>
      <c r="C41" s="98"/>
      <c r="D41" s="98"/>
      <c r="E41" s="90"/>
      <c r="F41" s="90"/>
      <c r="G41" s="90"/>
      <c r="H41" s="30"/>
      <c r="I41" s="30"/>
      <c r="J41" s="30"/>
      <c r="K41" s="30"/>
      <c r="L41" s="30"/>
      <c r="M41" s="30"/>
      <c r="N41" s="30"/>
      <c r="O41" s="30"/>
      <c r="P41" s="22" t="s">
        <v>44</v>
      </c>
      <c r="Q41" s="21">
        <v>2822</v>
      </c>
      <c r="R41" s="21">
        <v>3376</v>
      </c>
      <c r="S41" s="21">
        <v>2156</v>
      </c>
      <c r="T41" s="23" t="s">
        <v>2</v>
      </c>
    </row>
    <row r="42" spans="1:26" ht="18.75" customHeight="1" thickBot="1">
      <c r="B42" s="91" t="s">
        <v>74</v>
      </c>
      <c r="C42" s="89">
        <v>216</v>
      </c>
      <c r="D42" s="89">
        <v>1</v>
      </c>
      <c r="E42" s="89">
        <v>14</v>
      </c>
      <c r="F42" s="89">
        <v>-36</v>
      </c>
      <c r="G42" s="89">
        <v>16</v>
      </c>
      <c r="H42" s="33"/>
      <c r="I42" s="33"/>
      <c r="J42" s="33"/>
      <c r="K42" s="33"/>
      <c r="L42" s="33"/>
      <c r="M42" s="33"/>
      <c r="N42" s="33"/>
      <c r="O42" s="33"/>
      <c r="P42" s="22" t="s">
        <v>45</v>
      </c>
      <c r="Q42" s="23">
        <v>132</v>
      </c>
      <c r="R42" s="23">
        <v>145</v>
      </c>
      <c r="S42" s="21">
        <v>1419</v>
      </c>
      <c r="T42" s="21">
        <v>2144</v>
      </c>
    </row>
    <row r="43" spans="1:26" ht="15" thickBot="1">
      <c r="B43" s="92"/>
      <c r="C43" s="90"/>
      <c r="D43" s="90"/>
      <c r="E43" s="90"/>
      <c r="F43" s="90"/>
      <c r="G43" s="90"/>
      <c r="H43" s="30"/>
      <c r="I43" s="30"/>
      <c r="J43" s="30"/>
      <c r="K43" s="30"/>
      <c r="L43" s="30"/>
      <c r="M43" s="30"/>
      <c r="N43" s="30"/>
      <c r="O43" s="30"/>
      <c r="P43" s="20" t="s">
        <v>46</v>
      </c>
      <c r="Q43" s="21">
        <v>65728</v>
      </c>
      <c r="R43" s="21">
        <v>41182</v>
      </c>
      <c r="S43" s="21">
        <v>44187</v>
      </c>
      <c r="T43" s="21">
        <v>28791</v>
      </c>
      <c r="U43">
        <f>C3/U46</f>
        <v>87969.478619802409</v>
      </c>
    </row>
    <row r="44" spans="1:26" ht="23.25" thickBot="1">
      <c r="B44" s="7" t="s">
        <v>75</v>
      </c>
      <c r="C44" s="8">
        <v>29760</v>
      </c>
      <c r="D44" s="8">
        <v>4368</v>
      </c>
      <c r="E44" s="8">
        <v>9752</v>
      </c>
      <c r="F44" s="8">
        <v>4332</v>
      </c>
      <c r="G44" s="8">
        <v>2796</v>
      </c>
      <c r="H44" s="31"/>
      <c r="I44" s="31"/>
      <c r="J44" s="31"/>
      <c r="K44" s="31"/>
      <c r="L44" s="31"/>
      <c r="M44" s="31"/>
      <c r="N44" s="31"/>
      <c r="O44" s="31"/>
      <c r="P44" s="71" t="s">
        <v>47</v>
      </c>
      <c r="Q44" s="73">
        <v>0.59599999999999997</v>
      </c>
      <c r="R44" s="75">
        <v>-6.8000000000000005E-2</v>
      </c>
      <c r="S44" s="73">
        <v>0.53480000000000005</v>
      </c>
      <c r="T44" s="77">
        <v>0.66279999999999994</v>
      </c>
    </row>
    <row r="45" spans="1:26" ht="15" thickBot="1">
      <c r="A45" s="51">
        <v>2</v>
      </c>
      <c r="B45" s="7" t="s">
        <v>4</v>
      </c>
      <c r="C45" s="8">
        <v>29760</v>
      </c>
      <c r="D45" s="8">
        <v>4368</v>
      </c>
      <c r="E45" s="8">
        <v>9752</v>
      </c>
      <c r="F45" s="8">
        <v>4332</v>
      </c>
      <c r="G45" s="8">
        <v>2796</v>
      </c>
      <c r="H45" t="s">
        <v>132</v>
      </c>
      <c r="I45" t="s">
        <v>132</v>
      </c>
      <c r="J45" t="s">
        <v>132</v>
      </c>
      <c r="K45" t="s">
        <v>132</v>
      </c>
      <c r="L45" s="54">
        <f>C45+(C45*J46)</f>
        <v>47020.800000000003</v>
      </c>
      <c r="M45" s="29"/>
      <c r="N45" s="29"/>
      <c r="O45" s="29"/>
      <c r="P45" s="72"/>
      <c r="Q45" s="74"/>
      <c r="R45" s="76"/>
      <c r="S45" s="74"/>
      <c r="T45" s="78"/>
    </row>
    <row r="46" spans="1:26" ht="34.5" thickBot="1">
      <c r="B46" s="47" t="s">
        <v>5</v>
      </c>
      <c r="C46" s="48">
        <v>5.8132000000000001</v>
      </c>
      <c r="D46" s="49">
        <v>-0.55210000000000004</v>
      </c>
      <c r="E46" s="48">
        <v>1.2512000000000001</v>
      </c>
      <c r="F46" s="48">
        <v>0.5494</v>
      </c>
      <c r="G46" s="50" t="s">
        <v>2</v>
      </c>
      <c r="H46" s="34">
        <f>((C45/G45)^(1/5))-1</f>
        <v>0.60479348274893097</v>
      </c>
      <c r="I46" s="29" t="s">
        <v>132</v>
      </c>
      <c r="J46" s="46">
        <v>0.57999999999999996</v>
      </c>
      <c r="K46" s="45">
        <f>AVERAGE(H46:J46)</f>
        <v>0.59239674137446552</v>
      </c>
      <c r="L46" t="s">
        <v>132</v>
      </c>
      <c r="M46" s="33"/>
      <c r="N46" s="33"/>
      <c r="O46" s="52">
        <v>5</v>
      </c>
      <c r="P46" s="38" t="s">
        <v>93</v>
      </c>
      <c r="Q46" s="43">
        <f>C3/Q43</f>
        <v>0.92688047711781885</v>
      </c>
      <c r="R46" s="43">
        <f>D3/R43</f>
        <v>0.65499490068476518</v>
      </c>
      <c r="S46" s="43">
        <f>E3/S43</f>
        <v>0.60909317219996828</v>
      </c>
      <c r="T46" s="43">
        <f>F3/T43</f>
        <v>0.57917404744538226</v>
      </c>
      <c r="U46" s="57">
        <f>AVERAGE(Q46:T46)</f>
        <v>0.69253564936198364</v>
      </c>
      <c r="V46" s="2"/>
    </row>
    <row r="47" spans="1:26" ht="34.5" thickBot="1">
      <c r="B47" s="10" t="s">
        <v>76</v>
      </c>
      <c r="C47" s="11">
        <v>0.48849999999999999</v>
      </c>
      <c r="D47" s="12" t="s">
        <v>2</v>
      </c>
      <c r="E47" s="12" t="s">
        <v>2</v>
      </c>
      <c r="F47" s="12" t="s">
        <v>2</v>
      </c>
      <c r="G47" s="12" t="s">
        <v>2</v>
      </c>
      <c r="H47" s="12"/>
      <c r="I47" s="30"/>
      <c r="J47" s="30"/>
      <c r="K47" s="30"/>
      <c r="L47" s="30"/>
      <c r="M47" s="30"/>
      <c r="N47" s="30"/>
      <c r="O47" s="30"/>
      <c r="P47" s="22" t="s">
        <v>48</v>
      </c>
      <c r="Q47" s="24">
        <v>0.55669999999999997</v>
      </c>
      <c r="R47" s="23" t="s">
        <v>2</v>
      </c>
      <c r="S47" s="23" t="s">
        <v>2</v>
      </c>
      <c r="T47" s="23" t="s">
        <v>2</v>
      </c>
    </row>
    <row r="48" spans="1:26" ht="34.5" thickBot="1">
      <c r="B48" s="7" t="s">
        <v>77</v>
      </c>
      <c r="C48" s="8">
        <v>29760</v>
      </c>
      <c r="D48" s="8">
        <v>4368</v>
      </c>
      <c r="E48" s="8">
        <v>9752</v>
      </c>
      <c r="F48" s="8">
        <v>4332</v>
      </c>
      <c r="G48" s="8">
        <v>2796</v>
      </c>
      <c r="H48" s="8"/>
      <c r="I48" s="12"/>
      <c r="J48" s="12"/>
      <c r="K48" s="12"/>
      <c r="L48" s="12"/>
      <c r="M48" s="12"/>
      <c r="N48" s="12"/>
      <c r="O48" s="12"/>
      <c r="P48" s="18" t="s">
        <v>95</v>
      </c>
      <c r="Q48" s="19">
        <v>2024</v>
      </c>
      <c r="R48" s="19">
        <v>2023</v>
      </c>
      <c r="S48" s="19">
        <v>2022</v>
      </c>
      <c r="T48" s="19">
        <v>2021</v>
      </c>
      <c r="U48" s="19">
        <v>2020</v>
      </c>
      <c r="V48" s="42"/>
      <c r="W48" s="42"/>
      <c r="X48" s="42"/>
      <c r="Y48" s="42"/>
      <c r="Z48" s="42"/>
    </row>
    <row r="49" spans="2:26" ht="45.75" thickBot="1">
      <c r="B49" s="7" t="s">
        <v>78</v>
      </c>
      <c r="C49" s="8">
        <v>29760</v>
      </c>
      <c r="D49" s="8">
        <v>4368</v>
      </c>
      <c r="E49" s="8">
        <v>9752</v>
      </c>
      <c r="F49" s="8">
        <v>4332</v>
      </c>
      <c r="G49" s="8">
        <v>2796</v>
      </c>
      <c r="H49" s="8"/>
      <c r="I49" s="8"/>
      <c r="J49" s="8"/>
      <c r="K49" s="8"/>
      <c r="L49" s="8"/>
      <c r="M49" s="8"/>
      <c r="N49" s="8"/>
      <c r="O49" s="8"/>
      <c r="P49" s="20" t="s">
        <v>96</v>
      </c>
      <c r="Q49" s="21">
        <v>1478</v>
      </c>
      <c r="R49" s="21">
        <v>1426</v>
      </c>
      <c r="S49" s="28" t="s">
        <v>2</v>
      </c>
      <c r="T49" s="21">
        <v>1120</v>
      </c>
      <c r="U49" s="28">
        <v>91</v>
      </c>
      <c r="V49" s="9"/>
      <c r="W49" s="4"/>
      <c r="X49" s="4"/>
      <c r="Y49" s="4"/>
      <c r="Z49" s="4"/>
    </row>
    <row r="50" spans="2:26" ht="23.25" thickBot="1">
      <c r="B50" s="7" t="s">
        <v>6</v>
      </c>
      <c r="C50" s="12">
        <v>1.19</v>
      </c>
      <c r="D50" s="12">
        <v>0.17</v>
      </c>
      <c r="E50" s="12">
        <v>0.38</v>
      </c>
      <c r="F50" s="12">
        <v>0.17</v>
      </c>
      <c r="G50" s="12">
        <v>0.11</v>
      </c>
      <c r="H50" s="12"/>
      <c r="I50" s="8"/>
      <c r="J50" s="8"/>
      <c r="K50" s="8"/>
      <c r="L50" s="8"/>
      <c r="M50" s="8"/>
      <c r="N50" s="8"/>
      <c r="O50" s="8"/>
      <c r="P50" s="22" t="s">
        <v>97</v>
      </c>
      <c r="Q50" s="21">
        <v>1478</v>
      </c>
      <c r="R50" s="21">
        <v>1426</v>
      </c>
      <c r="S50" s="28">
        <v>144</v>
      </c>
      <c r="T50" s="21">
        <v>1120</v>
      </c>
      <c r="U50" s="28">
        <v>91</v>
      </c>
      <c r="V50" s="9"/>
      <c r="W50" s="4"/>
      <c r="X50" s="4"/>
      <c r="Y50" s="4"/>
      <c r="Z50" s="4"/>
    </row>
    <row r="51" spans="2:26" ht="23.25" thickBot="1">
      <c r="B51" s="91" t="s">
        <v>79</v>
      </c>
      <c r="C51" s="93">
        <v>5.8502000000000001</v>
      </c>
      <c r="D51" s="95">
        <v>-0.54720000000000002</v>
      </c>
      <c r="E51" s="93">
        <v>1.2314000000000001</v>
      </c>
      <c r="F51" s="93">
        <v>0.52429999999999999</v>
      </c>
      <c r="G51" s="89" t="s">
        <v>2</v>
      </c>
      <c r="H51" s="14"/>
      <c r="I51" s="12"/>
      <c r="J51" s="12"/>
      <c r="K51" s="12"/>
      <c r="L51" s="12"/>
      <c r="M51" s="12"/>
      <c r="N51" s="12"/>
      <c r="O51" s="12"/>
      <c r="P51" s="20" t="s">
        <v>98</v>
      </c>
      <c r="Q51" s="21">
        <v>2699</v>
      </c>
      <c r="R51" s="21">
        <v>1193</v>
      </c>
      <c r="S51" s="21">
        <v>1783</v>
      </c>
      <c r="T51" s="21">
        <v>1201</v>
      </c>
      <c r="U51" s="28">
        <v>687</v>
      </c>
      <c r="V51" s="9"/>
      <c r="W51" s="4"/>
      <c r="X51" s="4"/>
      <c r="Y51" s="4"/>
      <c r="Z51" s="4"/>
    </row>
    <row r="52" spans="2:26" ht="18.75" customHeight="1" thickBot="1">
      <c r="B52" s="92"/>
      <c r="C52" s="94"/>
      <c r="D52" s="96"/>
      <c r="E52" s="94"/>
      <c r="F52" s="94"/>
      <c r="G52" s="90"/>
      <c r="H52" s="12"/>
      <c r="I52" s="14"/>
      <c r="J52" s="14"/>
      <c r="K52" s="14"/>
      <c r="L52" s="14"/>
      <c r="M52" s="14"/>
      <c r="N52" s="14"/>
      <c r="O52" s="14"/>
      <c r="P52" s="71" t="s">
        <v>99</v>
      </c>
      <c r="Q52" s="73">
        <v>1.2624</v>
      </c>
      <c r="R52" s="75">
        <v>-0.33090000000000003</v>
      </c>
      <c r="S52" s="73">
        <v>0.48459999999999998</v>
      </c>
      <c r="T52" s="73">
        <v>0.74819999999999998</v>
      </c>
      <c r="U52" s="81" t="s">
        <v>2</v>
      </c>
      <c r="V52" s="15"/>
      <c r="W52" s="6"/>
      <c r="X52" s="6"/>
      <c r="Y52" s="6"/>
      <c r="Z52" s="6"/>
    </row>
    <row r="53" spans="2:26" ht="23.25" thickBot="1">
      <c r="B53" s="7" t="s">
        <v>80</v>
      </c>
      <c r="C53" s="8">
        <v>2469</v>
      </c>
      <c r="D53" s="8">
        <v>2487</v>
      </c>
      <c r="E53" s="8">
        <v>2496</v>
      </c>
      <c r="F53" s="8">
        <v>2468</v>
      </c>
      <c r="G53" s="8">
        <v>2436</v>
      </c>
      <c r="H53" s="8" t="s">
        <v>132</v>
      </c>
      <c r="I53" s="12" t="s">
        <v>132</v>
      </c>
      <c r="J53" s="12" t="s">
        <v>132</v>
      </c>
      <c r="K53" s="12" t="s">
        <v>132</v>
      </c>
      <c r="L53" s="12">
        <v>2469</v>
      </c>
      <c r="M53" s="12"/>
      <c r="N53" s="12"/>
      <c r="O53" s="12"/>
      <c r="P53" s="72"/>
      <c r="Q53" s="74"/>
      <c r="R53" s="76"/>
      <c r="S53" s="74"/>
      <c r="T53" s="74"/>
      <c r="U53" s="82"/>
      <c r="V53" s="16"/>
      <c r="W53" s="17"/>
      <c r="X53" s="17"/>
      <c r="Y53" s="17"/>
      <c r="Z53" s="17"/>
    </row>
    <row r="54" spans="2:26" ht="23.25" thickBot="1">
      <c r="B54" s="7" t="s">
        <v>7</v>
      </c>
      <c r="C54" s="12">
        <v>1.19</v>
      </c>
      <c r="D54" s="12">
        <v>0.17</v>
      </c>
      <c r="E54" s="12">
        <v>0.38</v>
      </c>
      <c r="F54" s="12">
        <v>0.17</v>
      </c>
      <c r="G54" s="12">
        <v>0.11</v>
      </c>
      <c r="H54" s="12"/>
      <c r="I54" s="8"/>
      <c r="J54" s="8"/>
      <c r="K54" s="8"/>
      <c r="L54" s="8"/>
      <c r="M54" s="8"/>
      <c r="N54" s="8"/>
      <c r="O54" s="8"/>
      <c r="P54" s="20" t="s">
        <v>100</v>
      </c>
      <c r="Q54" s="28">
        <v>296</v>
      </c>
      <c r="R54" s="28">
        <v>467</v>
      </c>
      <c r="S54" s="28" t="s">
        <v>2</v>
      </c>
      <c r="T54" s="28">
        <v>61</v>
      </c>
      <c r="U54" s="28">
        <v>61</v>
      </c>
      <c r="V54" s="9"/>
      <c r="W54" s="4"/>
      <c r="X54" s="4"/>
      <c r="Y54" s="4"/>
      <c r="Z54" s="4"/>
    </row>
    <row r="55" spans="2:26" ht="34.5" thickBot="1">
      <c r="B55" s="91" t="s">
        <v>81</v>
      </c>
      <c r="C55" s="93">
        <v>5.8487</v>
      </c>
      <c r="D55" s="95">
        <v>-0.54710000000000003</v>
      </c>
      <c r="E55" s="93">
        <v>1.2306999999999999</v>
      </c>
      <c r="F55" s="93">
        <v>0.52470000000000006</v>
      </c>
      <c r="G55" s="89" t="s">
        <v>2</v>
      </c>
      <c r="H55" s="14"/>
      <c r="I55" s="12"/>
      <c r="J55" s="12"/>
      <c r="K55" s="12"/>
      <c r="L55" s="12"/>
      <c r="M55" s="12"/>
      <c r="N55" s="12"/>
      <c r="O55" s="12"/>
      <c r="P55" s="20" t="s">
        <v>101</v>
      </c>
      <c r="Q55" s="21">
        <v>6158</v>
      </c>
      <c r="R55" s="21">
        <v>3477</v>
      </c>
      <c r="S55" s="21">
        <v>2408</v>
      </c>
      <c r="T55" s="21">
        <v>1543</v>
      </c>
      <c r="U55" s="28">
        <v>945</v>
      </c>
      <c r="V55" s="9"/>
      <c r="W55" s="4"/>
      <c r="X55" s="4"/>
      <c r="Y55" s="4"/>
      <c r="Z55" s="4"/>
    </row>
    <row r="56" spans="2:26" ht="23.25" thickBot="1">
      <c r="B56" s="92"/>
      <c r="C56" s="94"/>
      <c r="D56" s="96"/>
      <c r="E56" s="94"/>
      <c r="F56" s="94"/>
      <c r="G56" s="90"/>
      <c r="H56" s="12"/>
      <c r="I56" s="14"/>
      <c r="J56" s="14"/>
      <c r="K56" s="14"/>
      <c r="L56" s="14"/>
      <c r="M56" s="14"/>
      <c r="N56" s="14"/>
      <c r="O56" s="14"/>
      <c r="P56" s="22" t="s">
        <v>102</v>
      </c>
      <c r="Q56" s="28">
        <v>675</v>
      </c>
      <c r="R56" s="28">
        <v>530</v>
      </c>
      <c r="S56" s="28">
        <v>409</v>
      </c>
      <c r="T56" s="28">
        <v>323</v>
      </c>
      <c r="U56" s="28">
        <v>185</v>
      </c>
      <c r="V56" s="9"/>
      <c r="W56" s="4"/>
      <c r="X56" s="4"/>
      <c r="Y56" s="4"/>
      <c r="Z56" s="4"/>
    </row>
    <row r="57" spans="2:26" ht="45.75" thickBot="1">
      <c r="B57" s="7" t="s">
        <v>82</v>
      </c>
      <c r="C57" s="8">
        <v>2494</v>
      </c>
      <c r="D57" s="8">
        <v>2507</v>
      </c>
      <c r="E57" s="8">
        <v>2535</v>
      </c>
      <c r="F57" s="8">
        <v>2512</v>
      </c>
      <c r="G57" s="8">
        <v>2472</v>
      </c>
      <c r="H57" s="8"/>
      <c r="I57" s="12"/>
      <c r="J57" s="12"/>
      <c r="K57" s="12"/>
      <c r="L57" s="12"/>
      <c r="M57" s="12"/>
      <c r="N57" s="12"/>
      <c r="O57" s="12"/>
      <c r="P57" s="22" t="s">
        <v>103</v>
      </c>
      <c r="Q57" s="21">
        <v>5483</v>
      </c>
      <c r="R57" s="21">
        <v>2947</v>
      </c>
      <c r="S57" s="21">
        <v>1999</v>
      </c>
      <c r="T57" s="21">
        <v>1220</v>
      </c>
      <c r="U57" s="28">
        <v>760</v>
      </c>
      <c r="V57" s="9"/>
      <c r="W57" s="4"/>
      <c r="X57" s="4"/>
      <c r="Y57" s="4"/>
      <c r="Z57" s="4"/>
    </row>
    <row r="58" spans="2:26" ht="23.25" thickBot="1">
      <c r="B58" s="7" t="s">
        <v>8</v>
      </c>
      <c r="C58" s="8">
        <v>34480</v>
      </c>
      <c r="D58" s="8">
        <v>7121</v>
      </c>
      <c r="E58" s="8">
        <v>11215</v>
      </c>
      <c r="F58" s="8">
        <v>5714</v>
      </c>
      <c r="G58" s="8">
        <v>3272</v>
      </c>
      <c r="H58" s="8"/>
      <c r="I58" s="8"/>
      <c r="J58" s="8"/>
      <c r="K58" s="8"/>
      <c r="L58" s="8"/>
      <c r="M58" s="8"/>
      <c r="N58" s="8"/>
      <c r="O58" s="8"/>
      <c r="P58" s="20" t="s">
        <v>104</v>
      </c>
      <c r="Q58" s="21">
        <v>10631</v>
      </c>
      <c r="R58" s="21">
        <v>6563</v>
      </c>
      <c r="S58" s="21">
        <v>4335</v>
      </c>
      <c r="T58" s="21">
        <v>3925</v>
      </c>
      <c r="U58" s="21">
        <v>1784</v>
      </c>
      <c r="V58" s="9"/>
      <c r="W58" s="4"/>
      <c r="X58" s="4"/>
      <c r="Y58" s="4"/>
      <c r="Z58" s="4"/>
    </row>
    <row r="59" spans="2:26" ht="23.25" thickBot="1">
      <c r="B59" s="91" t="s">
        <v>83</v>
      </c>
      <c r="C59" s="93">
        <v>3.8420000000000001</v>
      </c>
      <c r="D59" s="95">
        <v>-0.36499999999999999</v>
      </c>
      <c r="E59" s="93">
        <v>0.9627</v>
      </c>
      <c r="F59" s="93">
        <v>0.74629999999999996</v>
      </c>
      <c r="G59" s="89" t="s">
        <v>2</v>
      </c>
      <c r="H59" s="14"/>
      <c r="I59" s="8"/>
      <c r="J59" s="8"/>
      <c r="K59" s="8"/>
      <c r="L59" s="8"/>
      <c r="M59" s="8"/>
      <c r="N59" s="8"/>
      <c r="O59" s="8"/>
      <c r="P59" s="22" t="s">
        <v>105</v>
      </c>
      <c r="Q59" s="26">
        <v>4.17</v>
      </c>
      <c r="R59" s="26">
        <v>3.52</v>
      </c>
      <c r="S59" s="26">
        <v>6.65</v>
      </c>
      <c r="T59" s="26">
        <v>4.09</v>
      </c>
      <c r="U59" s="26">
        <v>7.67</v>
      </c>
      <c r="V59" s="9"/>
      <c r="W59" s="4"/>
      <c r="X59" s="4"/>
      <c r="Y59" s="4"/>
      <c r="Z59" s="4"/>
    </row>
    <row r="60" spans="2:26" ht="23.25" thickBot="1">
      <c r="B60" s="92"/>
      <c r="C60" s="94"/>
      <c r="D60" s="96"/>
      <c r="E60" s="94"/>
      <c r="F60" s="94"/>
      <c r="G60" s="90"/>
      <c r="H60" s="12"/>
      <c r="I60" s="14"/>
      <c r="J60" s="14"/>
      <c r="K60" s="14"/>
      <c r="L60" s="14"/>
      <c r="M60" s="14"/>
      <c r="N60" s="14"/>
      <c r="O60" s="14"/>
      <c r="P60" s="22" t="s">
        <v>106</v>
      </c>
      <c r="Q60" s="26">
        <v>3.67</v>
      </c>
      <c r="R60" s="26">
        <v>2.73</v>
      </c>
      <c r="S60" s="26">
        <v>6.05</v>
      </c>
      <c r="T60" s="26">
        <v>3.63</v>
      </c>
      <c r="U60" s="26">
        <v>7.13</v>
      </c>
      <c r="V60" s="9"/>
      <c r="W60" s="4"/>
      <c r="X60" s="4"/>
      <c r="Y60" s="4"/>
      <c r="Z60" s="4"/>
    </row>
    <row r="61" spans="2:26" ht="23.25" thickBot="1">
      <c r="B61" s="10" t="s">
        <v>9</v>
      </c>
      <c r="C61" s="11">
        <v>0.56599999999999995</v>
      </c>
      <c r="D61" s="12" t="s">
        <v>2</v>
      </c>
      <c r="E61" s="12" t="s">
        <v>2</v>
      </c>
      <c r="F61" s="12" t="s">
        <v>2</v>
      </c>
      <c r="G61" s="12" t="s">
        <v>2</v>
      </c>
      <c r="H61" s="12"/>
      <c r="I61" s="12"/>
      <c r="J61" s="12"/>
      <c r="K61" s="12"/>
      <c r="L61" s="12"/>
      <c r="M61" s="12"/>
      <c r="N61" s="12"/>
      <c r="O61" s="12"/>
      <c r="P61" s="22" t="s">
        <v>107</v>
      </c>
      <c r="Q61" s="26">
        <v>2.44</v>
      </c>
      <c r="R61" s="26">
        <v>2.0299999999999998</v>
      </c>
      <c r="S61" s="26">
        <v>4.8899999999999997</v>
      </c>
      <c r="T61" s="26">
        <v>2.95</v>
      </c>
      <c r="U61" s="26">
        <v>6.11</v>
      </c>
      <c r="V61" s="9"/>
      <c r="W61" s="4"/>
      <c r="X61" s="4"/>
      <c r="Y61" s="4"/>
      <c r="Z61" s="4"/>
    </row>
    <row r="62" spans="2:26" ht="23.25" thickBot="1">
      <c r="B62" s="13" t="s">
        <v>10</v>
      </c>
      <c r="C62" s="8">
        <v>32972</v>
      </c>
      <c r="D62" s="8">
        <v>5577</v>
      </c>
      <c r="E62" s="8">
        <v>10041</v>
      </c>
      <c r="F62" s="8">
        <v>4616</v>
      </c>
      <c r="G62" s="8">
        <v>2891</v>
      </c>
      <c r="H62" s="8"/>
      <c r="I62" s="12"/>
      <c r="J62" s="12"/>
      <c r="K62" s="12"/>
      <c r="L62" s="12"/>
      <c r="M62" s="12"/>
      <c r="N62" s="12"/>
      <c r="O62" s="64">
        <v>10</v>
      </c>
      <c r="P62" s="20" t="s">
        <v>108</v>
      </c>
      <c r="Q62" s="21">
        <v>9578</v>
      </c>
      <c r="R62" s="21">
        <v>10605</v>
      </c>
      <c r="S62" s="21">
        <v>11687</v>
      </c>
      <c r="T62" s="21">
        <v>6598</v>
      </c>
      <c r="U62" s="21">
        <v>2552</v>
      </c>
      <c r="V62" s="9"/>
      <c r="W62" s="4"/>
      <c r="X62" s="4"/>
      <c r="Y62" s="4"/>
      <c r="Z62" s="4"/>
    </row>
    <row r="63" spans="2:26" ht="45.75" thickBot="1">
      <c r="I63" s="8"/>
      <c r="J63" s="8"/>
      <c r="K63" s="8"/>
      <c r="L63" s="8"/>
      <c r="M63" s="8"/>
      <c r="N63" s="8"/>
      <c r="O63" s="8"/>
      <c r="P63" s="22" t="s">
        <v>109</v>
      </c>
      <c r="Q63" s="21">
        <v>8459</v>
      </c>
      <c r="R63" s="21">
        <v>9703</v>
      </c>
      <c r="S63" s="21">
        <v>10946</v>
      </c>
      <c r="T63" s="21">
        <v>5964</v>
      </c>
      <c r="U63" s="21">
        <v>1991</v>
      </c>
      <c r="V63" s="9"/>
      <c r="W63" s="4"/>
      <c r="X63" s="4"/>
      <c r="Y63" s="4"/>
      <c r="Z63" s="4"/>
    </row>
    <row r="64" spans="2:26" ht="45.75" thickBot="1">
      <c r="B64" t="s">
        <v>151</v>
      </c>
      <c r="C64">
        <v>395</v>
      </c>
      <c r="D64">
        <v>398</v>
      </c>
      <c r="E64">
        <v>399</v>
      </c>
      <c r="H64">
        <f>AVERAGE(C64:E64)</f>
        <v>397.33333333333331</v>
      </c>
      <c r="P64" s="25" t="s">
        <v>110</v>
      </c>
      <c r="Q64" s="21">
        <v>8459</v>
      </c>
      <c r="R64" s="21">
        <v>9703</v>
      </c>
      <c r="S64" s="21">
        <v>10946</v>
      </c>
      <c r="T64" s="21">
        <v>5964</v>
      </c>
      <c r="U64" s="21">
        <v>1991</v>
      </c>
      <c r="V64" s="9"/>
      <c r="W64" s="4"/>
      <c r="X64" s="4"/>
      <c r="Y64" s="4"/>
      <c r="Z64" s="4"/>
    </row>
    <row r="65" spans="15:26" ht="34.5" thickBot="1">
      <c r="P65" s="20" t="s">
        <v>111</v>
      </c>
      <c r="Q65" s="28" t="s">
        <v>2</v>
      </c>
      <c r="R65" s="28" t="s">
        <v>2</v>
      </c>
      <c r="S65" s="28" t="s">
        <v>2</v>
      </c>
      <c r="T65" s="28">
        <v>33</v>
      </c>
      <c r="U65" s="28">
        <v>22</v>
      </c>
      <c r="V65" s="9"/>
      <c r="W65" s="4"/>
      <c r="X65" s="4"/>
      <c r="Y65" s="4"/>
      <c r="Z65" s="4"/>
    </row>
    <row r="66" spans="15:26">
      <c r="O66" s="101"/>
      <c r="P66" s="104" t="s">
        <v>112</v>
      </c>
      <c r="Q66" s="102">
        <v>-5619</v>
      </c>
      <c r="R66" s="102">
        <v>-3149</v>
      </c>
      <c r="S66" s="81">
        <v>-977</v>
      </c>
      <c r="T66" s="81">
        <v>-565</v>
      </c>
      <c r="U66" s="81">
        <v>-519</v>
      </c>
      <c r="V66" s="15"/>
      <c r="W66" s="6"/>
      <c r="X66" s="6"/>
      <c r="Y66" s="6"/>
      <c r="Z66" s="6"/>
    </row>
    <row r="67" spans="15:26" ht="15" thickBot="1">
      <c r="O67" s="101"/>
      <c r="P67" s="105"/>
      <c r="Q67" s="103"/>
      <c r="R67" s="103"/>
      <c r="S67" s="82"/>
      <c r="T67" s="82"/>
      <c r="U67" s="82"/>
      <c r="V67" s="16"/>
      <c r="W67" s="17"/>
      <c r="X67" s="17"/>
      <c r="Y67" s="17"/>
      <c r="Z67" s="17"/>
    </row>
    <row r="68" spans="15:26" ht="34.5" thickBot="1">
      <c r="P68" s="22" t="s">
        <v>113</v>
      </c>
      <c r="Q68" s="28">
        <v>462</v>
      </c>
      <c r="R68" s="28">
        <v>247</v>
      </c>
      <c r="S68" s="28">
        <v>245</v>
      </c>
      <c r="T68" s="28">
        <v>241</v>
      </c>
      <c r="U68" s="28">
        <v>29</v>
      </c>
      <c r="V68" s="9"/>
      <c r="W68" s="4"/>
      <c r="X68" s="4"/>
      <c r="Y68" s="4"/>
      <c r="Z68" s="4"/>
    </row>
    <row r="69" spans="15:26" ht="34.5" thickBot="1">
      <c r="P69" s="22" t="s">
        <v>114</v>
      </c>
      <c r="Q69" s="21">
        <v>6081</v>
      </c>
      <c r="R69" s="21">
        <v>3396</v>
      </c>
      <c r="S69" s="21">
        <v>1222</v>
      </c>
      <c r="T69" s="28">
        <v>806</v>
      </c>
      <c r="U69" s="28">
        <v>548</v>
      </c>
      <c r="V69" s="9"/>
      <c r="W69" s="4"/>
      <c r="X69" s="4"/>
      <c r="Y69" s="4"/>
      <c r="Z69" s="4"/>
    </row>
    <row r="70" spans="15:26" ht="23.25" thickBot="1">
      <c r="O70" s="65">
        <v>11</v>
      </c>
      <c r="P70" s="20" t="s">
        <v>115</v>
      </c>
      <c r="Q70" s="21">
        <v>2079</v>
      </c>
      <c r="R70" s="21">
        <v>1666</v>
      </c>
      <c r="S70" s="21">
        <v>1308</v>
      </c>
      <c r="T70" s="21">
        <v>1101</v>
      </c>
      <c r="U70" s="28">
        <v>724</v>
      </c>
      <c r="V70" s="9"/>
      <c r="W70" s="4"/>
      <c r="X70" s="4"/>
      <c r="Y70" s="4"/>
      <c r="Z70" s="4"/>
    </row>
    <row r="71" spans="15:26" ht="34.5" thickBot="1">
      <c r="O71" s="65">
        <v>11</v>
      </c>
      <c r="P71" s="20" t="s">
        <v>146</v>
      </c>
      <c r="Q71" s="21">
        <f>Q62+Q70</f>
        <v>11657</v>
      </c>
      <c r="R71" s="21">
        <f>R62+R70</f>
        <v>12271</v>
      </c>
      <c r="S71" s="21">
        <f>S62+S70</f>
        <v>12995</v>
      </c>
      <c r="T71" s="21">
        <f>T62+T70</f>
        <v>7699</v>
      </c>
      <c r="U71" s="21">
        <f>U62+U70</f>
        <v>3276</v>
      </c>
      <c r="V71" s="9">
        <f>Q71+(Q71*V72)</f>
        <v>14193.442098490543</v>
      </c>
      <c r="W71" s="4"/>
      <c r="X71" s="4"/>
      <c r="Y71" s="4"/>
      <c r="Z71" s="4"/>
    </row>
    <row r="72" spans="15:26" ht="45.75" thickBot="1">
      <c r="O72" s="65">
        <v>11</v>
      </c>
      <c r="P72" s="20" t="s">
        <v>149</v>
      </c>
      <c r="Q72" s="58">
        <f>(Q71-R71)/Q71</f>
        <v>-5.267221412027108E-2</v>
      </c>
      <c r="R72" s="58">
        <f>(R71-S71)/R71</f>
        <v>-5.900089642245946E-2</v>
      </c>
      <c r="S72" s="58">
        <f>(S71-T71)/S71</f>
        <v>0.40754136206233166</v>
      </c>
      <c r="T72" s="58">
        <f>(T71-U71)/T71</f>
        <v>0.57449019353162745</v>
      </c>
      <c r="U72" s="58" t="s">
        <v>132</v>
      </c>
      <c r="V72" s="59">
        <f>AVERAGE(Q72:T72)</f>
        <v>0.21758961126280713</v>
      </c>
      <c r="W72" s="4"/>
      <c r="X72" s="4"/>
      <c r="Y72" s="4"/>
      <c r="Z72" s="4"/>
    </row>
    <row r="73" spans="15:26" ht="34.5" thickBot="1">
      <c r="O73" s="65">
        <v>11</v>
      </c>
      <c r="P73" s="20" t="s">
        <v>147</v>
      </c>
      <c r="Q73" s="21">
        <f>C27</f>
        <v>257</v>
      </c>
      <c r="R73" s="21">
        <f>D27</f>
        <v>262</v>
      </c>
      <c r="S73" s="21">
        <f>E27</f>
        <v>236</v>
      </c>
      <c r="T73" s="21">
        <f>F27</f>
        <v>184</v>
      </c>
      <c r="U73" s="21">
        <f>G27</f>
        <v>52</v>
      </c>
      <c r="V73" s="9">
        <f>V71*V74</f>
        <v>287.64726849888734</v>
      </c>
      <c r="W73" s="4"/>
      <c r="X73" s="4"/>
      <c r="Y73" s="4"/>
      <c r="Z73" s="4"/>
    </row>
    <row r="74" spans="15:26" ht="57" thickBot="1">
      <c r="O74" s="65">
        <v>11</v>
      </c>
      <c r="P74" s="20" t="s">
        <v>148</v>
      </c>
      <c r="Q74" s="58">
        <f>Q73/Q71</f>
        <v>2.2046838809299134E-2</v>
      </c>
      <c r="R74" s="58">
        <f>R73/R71</f>
        <v>2.1351153125254665E-2</v>
      </c>
      <c r="S74" s="58">
        <f>S73/S71</f>
        <v>1.8160831088880339E-2</v>
      </c>
      <c r="T74" s="58">
        <f>T73/T71</f>
        <v>2.3899207689310299E-2</v>
      </c>
      <c r="U74" s="58">
        <f>U73/U71</f>
        <v>1.5873015873015872E-2</v>
      </c>
      <c r="V74" s="59">
        <f>AVERAGE(Q74:U74)</f>
        <v>2.0266209317152062E-2</v>
      </c>
      <c r="W74" s="4"/>
      <c r="X74" s="4"/>
      <c r="Y74" s="4"/>
      <c r="Z74" s="4"/>
    </row>
    <row r="75" spans="15:26" ht="57" thickBot="1">
      <c r="P75" s="22" t="s">
        <v>116</v>
      </c>
      <c r="Q75" s="21">
        <v>1506</v>
      </c>
      <c r="R75" s="21">
        <v>1448</v>
      </c>
      <c r="S75" s="21">
        <v>1106</v>
      </c>
      <c r="T75" s="28">
        <v>938</v>
      </c>
      <c r="U75" s="28">
        <v>664</v>
      </c>
      <c r="V75" s="9"/>
      <c r="W75" s="4"/>
      <c r="X75" s="4"/>
      <c r="Y75" s="4"/>
      <c r="Z75" s="4"/>
    </row>
    <row r="76" spans="15:26" ht="23.25" thickBot="1">
      <c r="P76" s="22" t="s">
        <v>117</v>
      </c>
      <c r="Q76" s="28">
        <v>573</v>
      </c>
      <c r="R76" s="28">
        <v>218</v>
      </c>
      <c r="S76" s="28">
        <v>202</v>
      </c>
      <c r="T76" s="28">
        <v>163</v>
      </c>
      <c r="U76" s="28">
        <v>60</v>
      </c>
      <c r="V76" s="9"/>
      <c r="W76" s="4"/>
      <c r="X76" s="4"/>
      <c r="Y76" s="4"/>
      <c r="Z76" s="4"/>
    </row>
    <row r="77" spans="15:26" ht="23.25" thickBot="1">
      <c r="O77" s="65">
        <v>6</v>
      </c>
      <c r="P77" s="20" t="s">
        <v>118</v>
      </c>
      <c r="Q77" s="21">
        <v>22750</v>
      </c>
      <c r="R77" s="21">
        <v>19081</v>
      </c>
      <c r="S77" s="21">
        <v>17575</v>
      </c>
      <c r="T77" s="21">
        <v>11898</v>
      </c>
      <c r="U77" s="21">
        <v>5111</v>
      </c>
      <c r="V77" s="9">
        <f>U43/V78</f>
        <v>98650.510299196889</v>
      </c>
      <c r="W77" s="4"/>
      <c r="X77" s="4"/>
      <c r="Y77" s="4"/>
      <c r="Z77" s="4"/>
    </row>
    <row r="78" spans="15:26" ht="45.75" thickBot="1">
      <c r="O78" s="51">
        <v>6</v>
      </c>
      <c r="P78" s="22" t="s">
        <v>119</v>
      </c>
      <c r="Q78" s="43">
        <f>Q43/Q77</f>
        <v>2.8891428571428572</v>
      </c>
      <c r="R78" s="43">
        <v>0.46329999999999999</v>
      </c>
      <c r="S78" s="43">
        <v>0.3977</v>
      </c>
      <c r="T78" s="43">
        <v>0.4133</v>
      </c>
      <c r="U78" s="43">
        <v>0.29520000000000002</v>
      </c>
      <c r="V78" s="44">
        <f>AVERAGE(Q78:U78)</f>
        <v>0.89172857142857143</v>
      </c>
      <c r="W78" s="4"/>
      <c r="X78" s="4"/>
      <c r="Y78" s="4"/>
      <c r="Z78" s="4"/>
    </row>
    <row r="79" spans="15:26" ht="23.25" thickBot="1">
      <c r="P79" s="20" t="s">
        <v>120</v>
      </c>
      <c r="Q79" s="21">
        <v>42978</v>
      </c>
      <c r="R79" s="21">
        <v>22101</v>
      </c>
      <c r="S79" s="21">
        <v>26612</v>
      </c>
      <c r="T79" s="21">
        <v>16893</v>
      </c>
      <c r="U79" s="21">
        <v>12204</v>
      </c>
      <c r="V79" s="9"/>
      <c r="W79" s="4"/>
      <c r="X79" s="4"/>
      <c r="Y79" s="4"/>
      <c r="Z79" s="4"/>
    </row>
    <row r="80" spans="15:26" ht="45.75" thickBot="1">
      <c r="P80" s="22" t="s">
        <v>121</v>
      </c>
      <c r="Q80" s="28">
        <v>2</v>
      </c>
      <c r="R80" s="28">
        <v>2</v>
      </c>
      <c r="S80" s="28">
        <v>3</v>
      </c>
      <c r="T80" s="28">
        <v>1</v>
      </c>
      <c r="U80" s="28">
        <v>1</v>
      </c>
      <c r="V80" s="9"/>
      <c r="W80" s="4"/>
      <c r="X80" s="4"/>
      <c r="Y80" s="4"/>
      <c r="Z80" s="4"/>
    </row>
    <row r="81" spans="15:26" ht="57" thickBot="1">
      <c r="O81" s="51">
        <v>7</v>
      </c>
      <c r="P81" s="22" t="s">
        <v>122</v>
      </c>
      <c r="Q81" s="21">
        <v>13132</v>
      </c>
      <c r="R81" s="21">
        <v>11971</v>
      </c>
      <c r="S81" s="21">
        <v>10385</v>
      </c>
      <c r="T81" s="21">
        <v>8721</v>
      </c>
      <c r="U81" s="21">
        <v>7045</v>
      </c>
      <c r="V81" s="9">
        <f>Q81*V82</f>
        <v>15359.212396180304</v>
      </c>
      <c r="W81" s="4"/>
      <c r="X81" s="4"/>
      <c r="Y81" s="4"/>
      <c r="Z81" s="4"/>
    </row>
    <row r="82" spans="15:26" ht="23.25" thickBot="1">
      <c r="P82" s="22" t="s">
        <v>138</v>
      </c>
      <c r="Q82" s="58">
        <f>Q81/R81</f>
        <v>1.096984378915713</v>
      </c>
      <c r="R82" s="58">
        <f>R81/S81</f>
        <v>1.1527202696196437</v>
      </c>
      <c r="S82" s="58">
        <f>S81/T81</f>
        <v>1.1908038069028781</v>
      </c>
      <c r="T82" s="58">
        <f>T81/U81</f>
        <v>1.2378992193044713</v>
      </c>
      <c r="U82" s="58" t="s">
        <v>139</v>
      </c>
      <c r="V82" s="59">
        <f>AVERAGE(Q82:T82)</f>
        <v>1.1696019186856765</v>
      </c>
      <c r="W82" s="4"/>
      <c r="X82" s="4"/>
      <c r="Y82" s="4"/>
      <c r="Z82" s="4"/>
    </row>
    <row r="83" spans="15:26" ht="18.75" customHeight="1" thickBot="1">
      <c r="O83" s="51">
        <v>7</v>
      </c>
      <c r="P83" s="22" t="s">
        <v>123</v>
      </c>
      <c r="Q83" s="21">
        <v>29817</v>
      </c>
      <c r="R83" s="21">
        <v>10171</v>
      </c>
      <c r="S83" s="21">
        <v>16235</v>
      </c>
      <c r="T83" s="21">
        <v>18908</v>
      </c>
      <c r="U83" s="21">
        <v>14971</v>
      </c>
      <c r="V83" s="60">
        <f>Q83+L45-H64</f>
        <v>76440.466666666674</v>
      </c>
      <c r="W83" s="4"/>
      <c r="X83" s="4"/>
      <c r="Y83" s="4"/>
      <c r="Z83" s="4"/>
    </row>
    <row r="84" spans="15:26">
      <c r="P84" s="71" t="s">
        <v>124</v>
      </c>
      <c r="Q84" s="81">
        <v>27</v>
      </c>
      <c r="R84" s="81">
        <v>-43</v>
      </c>
      <c r="S84" s="81">
        <v>-11</v>
      </c>
      <c r="T84" s="81">
        <v>19</v>
      </c>
      <c r="U84" s="81">
        <v>1</v>
      </c>
      <c r="V84" s="15"/>
      <c r="W84" s="6"/>
      <c r="X84" s="6"/>
      <c r="Y84" s="6"/>
      <c r="Z84" s="6"/>
    </row>
    <row r="85" spans="15:26" ht="15" thickBot="1">
      <c r="P85" s="72"/>
      <c r="Q85" s="82"/>
      <c r="R85" s="82"/>
      <c r="S85" s="82"/>
      <c r="T85" s="82"/>
      <c r="U85" s="82"/>
      <c r="V85" s="16"/>
      <c r="W85" s="17"/>
      <c r="X85" s="17"/>
      <c r="Y85" s="17"/>
      <c r="Z85" s="17"/>
    </row>
    <row r="86" spans="15:26">
      <c r="P86" s="71" t="s">
        <v>125</v>
      </c>
      <c r="Q86" s="81" t="s">
        <v>2</v>
      </c>
      <c r="R86" s="81" t="s">
        <v>2</v>
      </c>
      <c r="S86" s="81" t="s">
        <v>2</v>
      </c>
      <c r="T86" s="102">
        <v>-10756</v>
      </c>
      <c r="U86" s="102">
        <v>-9814</v>
      </c>
      <c r="V86" s="106">
        <v>0</v>
      </c>
      <c r="W86" s="6"/>
      <c r="X86" s="6"/>
      <c r="Y86" s="6"/>
      <c r="Z86" s="6"/>
    </row>
    <row r="87" spans="15:26" ht="15" thickBot="1">
      <c r="P87" s="72"/>
      <c r="Q87" s="82"/>
      <c r="R87" s="82"/>
      <c r="S87" s="82"/>
      <c r="T87" s="103"/>
      <c r="U87" s="103"/>
      <c r="V87" s="107"/>
      <c r="W87" s="17"/>
      <c r="X87" s="17"/>
      <c r="Y87" s="17"/>
      <c r="Z87" s="17"/>
    </row>
    <row r="88" spans="15:26" ht="45.75" thickBot="1">
      <c r="P88" s="22" t="s">
        <v>126</v>
      </c>
      <c r="Q88" s="27">
        <v>0.65390000000000004</v>
      </c>
      <c r="R88" s="27">
        <v>0.53669999999999995</v>
      </c>
      <c r="S88" s="27">
        <v>0.60229999999999995</v>
      </c>
      <c r="T88" s="27">
        <v>0.5867</v>
      </c>
      <c r="U88" s="27">
        <v>0.70479999999999998</v>
      </c>
      <c r="V88" s="9"/>
      <c r="W88" s="4"/>
      <c r="X88" s="4"/>
      <c r="Y88" s="4"/>
      <c r="Z88" s="4"/>
    </row>
    <row r="89" spans="15:26" ht="34.5" thickBot="1">
      <c r="O89" s="51">
        <v>7</v>
      </c>
      <c r="P89" s="20" t="s">
        <v>127</v>
      </c>
      <c r="Q89" s="21">
        <v>42978</v>
      </c>
      <c r="R89" s="21">
        <v>22101</v>
      </c>
      <c r="S89" s="21">
        <v>26612</v>
      </c>
      <c r="T89" s="21">
        <v>16893</v>
      </c>
      <c r="U89" s="21">
        <v>12204</v>
      </c>
      <c r="V89" s="9">
        <f>U43*U90</f>
        <v>62000.888531236735</v>
      </c>
      <c r="W89" s="4"/>
      <c r="X89" s="4"/>
      <c r="Y89" s="4"/>
      <c r="Z89" s="4"/>
    </row>
    <row r="90" spans="15:26" ht="57" thickBot="1">
      <c r="P90" s="22" t="s">
        <v>128</v>
      </c>
      <c r="Q90" s="27">
        <v>0.65390000000000004</v>
      </c>
      <c r="R90" s="27">
        <v>0.53669999999999995</v>
      </c>
      <c r="S90" s="27">
        <v>0.60229999999999995</v>
      </c>
      <c r="T90" s="27">
        <v>0.5867</v>
      </c>
      <c r="U90" s="27">
        <v>0.70479999999999998</v>
      </c>
      <c r="V90" s="2">
        <f>AVERAGE(Q90:U90)</f>
        <v>0.61687999999999998</v>
      </c>
      <c r="W90" s="4"/>
      <c r="X90" s="4"/>
      <c r="Y90" s="4"/>
      <c r="Z90" s="4"/>
    </row>
    <row r="91" spans="15:26" ht="15" thickBot="1">
      <c r="P91" s="20" t="s">
        <v>129</v>
      </c>
      <c r="Q91" s="21">
        <v>42978</v>
      </c>
      <c r="R91" s="21">
        <v>22101</v>
      </c>
      <c r="S91" s="21">
        <v>26612</v>
      </c>
      <c r="T91" s="21">
        <v>16893</v>
      </c>
      <c r="U91" s="21">
        <v>12204</v>
      </c>
      <c r="V91" s="9"/>
      <c r="W91" s="4"/>
      <c r="X91" s="4"/>
      <c r="Y91" s="4"/>
      <c r="Z91" s="4"/>
    </row>
    <row r="92" spans="15:26" ht="34.5" thickBot="1">
      <c r="P92" s="40" t="s">
        <v>130</v>
      </c>
      <c r="Q92" s="41">
        <v>65728</v>
      </c>
      <c r="R92" s="41">
        <v>41182</v>
      </c>
      <c r="S92" s="41">
        <v>44187</v>
      </c>
      <c r="T92" s="41">
        <v>28791</v>
      </c>
      <c r="U92" s="41">
        <v>17315</v>
      </c>
      <c r="V92" s="108"/>
      <c r="W92" s="109"/>
      <c r="X92" s="109"/>
      <c r="Y92" s="109"/>
      <c r="Z92" s="109"/>
    </row>
    <row r="93" spans="15:26" ht="22.5">
      <c r="O93" s="51">
        <v>8</v>
      </c>
      <c r="P93" s="61" t="s">
        <v>140</v>
      </c>
      <c r="V93" s="62">
        <f>-1*(U43-V77-V89)</f>
        <v>72681.920210631215</v>
      </c>
    </row>
    <row r="94" spans="15:26">
      <c r="O94" s="51">
        <v>9</v>
      </c>
      <c r="P94" s="61" t="s">
        <v>144</v>
      </c>
      <c r="Q94" s="63">
        <f>Q33</f>
        <v>3509</v>
      </c>
      <c r="R94" s="63">
        <f>R33</f>
        <v>2694</v>
      </c>
      <c r="S94" s="63">
        <f>S33</f>
        <v>1903</v>
      </c>
      <c r="T94" s="63">
        <f>T33</f>
        <v>1408</v>
      </c>
      <c r="U94" s="63"/>
      <c r="V94" s="62">
        <f>V95*U97</f>
        <v>3055.8742288222138</v>
      </c>
    </row>
    <row r="95" spans="15:26">
      <c r="O95" s="51">
        <v>9</v>
      </c>
      <c r="P95" t="s">
        <v>141</v>
      </c>
      <c r="Q95" s="63">
        <f>Q25+Q39</f>
        <v>6372</v>
      </c>
      <c r="R95" s="63">
        <f>R25+R39</f>
        <v>6521</v>
      </c>
      <c r="S95" s="63">
        <f>S25+S39</f>
        <v>5946</v>
      </c>
      <c r="T95" s="63">
        <f>T25+T39</f>
        <v>5593</v>
      </c>
      <c r="U95" s="63" t="s">
        <v>142</v>
      </c>
      <c r="V95" s="63">
        <f>Q95+(Q95*U96)</f>
        <v>6662.922193438495</v>
      </c>
    </row>
    <row r="96" spans="15:26" ht="45">
      <c r="O96" s="51"/>
      <c r="P96" s="61" t="s">
        <v>145</v>
      </c>
      <c r="Q96" s="2">
        <f>(Q95-R95)/R95</f>
        <v>-2.2849256249041557E-2</v>
      </c>
      <c r="R96" s="2">
        <f>(R95-S95)/S95</f>
        <v>9.6703666330306082E-2</v>
      </c>
      <c r="S96" s="2">
        <f>(S95-T95)/T95</f>
        <v>6.3114607545145723E-2</v>
      </c>
      <c r="T96" s="2" t="s">
        <v>132</v>
      </c>
      <c r="U96" s="2">
        <f>AVERAGE(Q96:S96)</f>
        <v>4.5656339208803416E-2</v>
      </c>
      <c r="V96" s="63"/>
    </row>
    <row r="97" spans="15:21">
      <c r="O97" s="51">
        <v>9</v>
      </c>
      <c r="P97" t="s">
        <v>143</v>
      </c>
      <c r="Q97" s="2">
        <f>Q33/Q95</f>
        <v>0.55069052102950411</v>
      </c>
      <c r="R97" s="2">
        <f>R33/R95</f>
        <v>0.41312682103971782</v>
      </c>
      <c r="S97" s="2">
        <f>S33/S95</f>
        <v>0.32004709048099561</v>
      </c>
      <c r="T97" s="2">
        <v>0.55069052102950411</v>
      </c>
      <c r="U97" s="2">
        <f>AVERAGE(Q97:T97)</f>
        <v>0.45863873839493041</v>
      </c>
    </row>
  </sheetData>
  <mergeCells count="118">
    <mergeCell ref="O66:O67"/>
    <mergeCell ref="U86:U87"/>
    <mergeCell ref="P86:P87"/>
    <mergeCell ref="Q86:Q87"/>
    <mergeCell ref="R86:R87"/>
    <mergeCell ref="S86:S87"/>
    <mergeCell ref="T86:T87"/>
    <mergeCell ref="U66:U67"/>
    <mergeCell ref="P84:P85"/>
    <mergeCell ref="Q84:Q85"/>
    <mergeCell ref="R84:R85"/>
    <mergeCell ref="S84:S85"/>
    <mergeCell ref="T84:T85"/>
    <mergeCell ref="U84:U85"/>
    <mergeCell ref="P66:P67"/>
    <mergeCell ref="Q66:Q67"/>
    <mergeCell ref="R66:R67"/>
    <mergeCell ref="S66:S67"/>
    <mergeCell ref="T66:T67"/>
    <mergeCell ref="V86:V87"/>
    <mergeCell ref="U52:U53"/>
    <mergeCell ref="G22:G23"/>
    <mergeCell ref="B13:B14"/>
    <mergeCell ref="C13:C14"/>
    <mergeCell ref="D13:D14"/>
    <mergeCell ref="E13:E14"/>
    <mergeCell ref="F13:F14"/>
    <mergeCell ref="G13:G14"/>
    <mergeCell ref="B22:B23"/>
    <mergeCell ref="C22:C23"/>
    <mergeCell ref="D22:D23"/>
    <mergeCell ref="E22:E23"/>
    <mergeCell ref="F22:F23"/>
    <mergeCell ref="G28:G29"/>
    <mergeCell ref="B24:B25"/>
    <mergeCell ref="C24:C25"/>
    <mergeCell ref="D24:D25"/>
    <mergeCell ref="E35:E36"/>
    <mergeCell ref="F35:F36"/>
    <mergeCell ref="B1:G1"/>
    <mergeCell ref="P1:T1"/>
    <mergeCell ref="P52:P53"/>
    <mergeCell ref="Q52:Q53"/>
    <mergeCell ref="R52:R53"/>
    <mergeCell ref="S52:S53"/>
    <mergeCell ref="T52:T53"/>
    <mergeCell ref="G40:G41"/>
    <mergeCell ref="B42:B43"/>
    <mergeCell ref="C42:C43"/>
    <mergeCell ref="D42:D43"/>
    <mergeCell ref="E42:E43"/>
    <mergeCell ref="F42:F43"/>
    <mergeCell ref="E24:E25"/>
    <mergeCell ref="F24:F25"/>
    <mergeCell ref="G24:G25"/>
    <mergeCell ref="B28:B29"/>
    <mergeCell ref="C28:C29"/>
    <mergeCell ref="D28:D29"/>
    <mergeCell ref="E28:E29"/>
    <mergeCell ref="F28:F29"/>
    <mergeCell ref="G35:G36"/>
    <mergeCell ref="B32:B33"/>
    <mergeCell ref="C32:C33"/>
    <mergeCell ref="D32:D33"/>
    <mergeCell ref="E32:E33"/>
    <mergeCell ref="F32:F33"/>
    <mergeCell ref="G32:G33"/>
    <mergeCell ref="B35:B36"/>
    <mergeCell ref="C35:C36"/>
    <mergeCell ref="D35:D36"/>
    <mergeCell ref="P5:P7"/>
    <mergeCell ref="Q5:Q7"/>
    <mergeCell ref="R5:R7"/>
    <mergeCell ref="S5:S7"/>
    <mergeCell ref="T5:T7"/>
    <mergeCell ref="G59:G60"/>
    <mergeCell ref="B55:B56"/>
    <mergeCell ref="C55:C56"/>
    <mergeCell ref="D55:D56"/>
    <mergeCell ref="E55:E56"/>
    <mergeCell ref="F55:F56"/>
    <mergeCell ref="G55:G56"/>
    <mergeCell ref="B59:B60"/>
    <mergeCell ref="C59:C60"/>
    <mergeCell ref="D59:D60"/>
    <mergeCell ref="E59:E60"/>
    <mergeCell ref="F59:F60"/>
    <mergeCell ref="G51:G52"/>
    <mergeCell ref="B51:B52"/>
    <mergeCell ref="C51:C52"/>
    <mergeCell ref="D51:D52"/>
    <mergeCell ref="E51:E52"/>
    <mergeCell ref="F51:F52"/>
    <mergeCell ref="G42:G43"/>
    <mergeCell ref="L35:L36"/>
    <mergeCell ref="A35:A36"/>
    <mergeCell ref="A37:A38"/>
    <mergeCell ref="H13:H14"/>
    <mergeCell ref="P44:P45"/>
    <mergeCell ref="Q44:Q45"/>
    <mergeCell ref="R44:R45"/>
    <mergeCell ref="S44:S45"/>
    <mergeCell ref="T44:T45"/>
    <mergeCell ref="P14:P15"/>
    <mergeCell ref="Q14:Q15"/>
    <mergeCell ref="R14:R15"/>
    <mergeCell ref="S14:S15"/>
    <mergeCell ref="T14:T15"/>
    <mergeCell ref="P12:P13"/>
    <mergeCell ref="Q12:Q13"/>
    <mergeCell ref="R12:R13"/>
    <mergeCell ref="S12:S13"/>
    <mergeCell ref="T12:T13"/>
    <mergeCell ref="B40:B41"/>
    <mergeCell ref="C40:C41"/>
    <mergeCell ref="D40:D41"/>
    <mergeCell ref="E40:E41"/>
    <mergeCell ref="F40:F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324C-12B7-4581-9C39-FF11A24B86EC}">
  <dimension ref="A1:B6"/>
  <sheetViews>
    <sheetView tabSelected="1" workbookViewId="0">
      <selection activeCell="C24" sqref="C24"/>
    </sheetView>
  </sheetViews>
  <sheetFormatPr defaultRowHeight="14.25"/>
  <cols>
    <col min="1" max="1" width="11.5" bestFit="1" customWidth="1"/>
    <col min="2" max="2" width="11" bestFit="1" customWidth="1"/>
  </cols>
  <sheetData>
    <row r="1" spans="1:2">
      <c r="A1" t="s">
        <v>133</v>
      </c>
      <c r="B1" s="56">
        <f>'Income Statement Historical'!L3</f>
        <v>104589.82870298164</v>
      </c>
    </row>
    <row r="2" spans="1:2">
      <c r="A2" t="s">
        <v>134</v>
      </c>
      <c r="B2" s="56">
        <f>-('Income Statement Historical'!L6)</f>
        <v>-21706.243288389225</v>
      </c>
    </row>
    <row r="3" spans="1:2">
      <c r="A3" t="s">
        <v>135</v>
      </c>
      <c r="B3" s="56">
        <f>B1+B2</f>
        <v>82883.58541459241</v>
      </c>
    </row>
    <row r="4" spans="1:2">
      <c r="A4" t="s">
        <v>136</v>
      </c>
      <c r="B4" s="56">
        <f>-('Income Statement Historical'!L17)</f>
        <v>-13586.328692072786</v>
      </c>
    </row>
    <row r="5" spans="1:2">
      <c r="A5" t="s">
        <v>4</v>
      </c>
      <c r="B5" s="56">
        <f>B3+B4</f>
        <v>69297.256722519625</v>
      </c>
    </row>
    <row r="6" spans="1:2">
      <c r="A6" t="s">
        <v>137</v>
      </c>
      <c r="B6" s="54">
        <f>'Income Statement Historical'!L45</f>
        <v>47020.800000000003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6398-C90F-4235-A88F-E2F7AC28C822}">
  <dimension ref="A1"/>
  <sheetViews>
    <sheetView workbookViewId="0">
      <selection activeCell="E40" sqref="E40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Historical</vt:lpstr>
      <vt:lpstr>Waterfall Chart</vt:lpstr>
      <vt:lpstr>Proforma IS and 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2024-10-10T12:21:46Z</dcterms:created>
  <dcterms:modified xsi:type="dcterms:W3CDTF">2024-10-21T12:22:41Z</dcterms:modified>
</cp:coreProperties>
</file>