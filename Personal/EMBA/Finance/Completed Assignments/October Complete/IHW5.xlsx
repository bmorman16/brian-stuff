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z173f\Documents\Personal\EMBA\Finance\"/>
    </mc:Choice>
  </mc:AlternateContent>
  <xr:revisionPtr revIDLastSave="0" documentId="13_ncr:1_{75E36D00-77A8-4339-A7FD-CA1A2807B49E}" xr6:coauthVersionLast="47" xr6:coauthVersionMax="47" xr10:uidLastSave="{00000000-0000-0000-0000-000000000000}"/>
  <bookViews>
    <workbookView xWindow="-120" yWindow="-120" windowWidth="29040" windowHeight="15840" xr2:uid="{3329601D-0380-4FAB-BE8C-066406446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P3" i="1"/>
  <c r="O3" i="1"/>
  <c r="Q4" i="1"/>
  <c r="P4" i="1"/>
  <c r="O4" i="1"/>
</calcChain>
</file>

<file path=xl/sharedStrings.xml><?xml version="1.0" encoding="utf-8"?>
<sst xmlns="http://schemas.openxmlformats.org/spreadsheetml/2006/main" count="46" uniqueCount="46">
  <si>
    <t>Cash flows from operating activities:</t>
  </si>
  <si>
    <t>Adjustments to reconcile net income to net cash provided by operating</t>
  </si>
  <si>
    <t>activities:</t>
  </si>
  <si>
    <t>Changes in operating assets and liabilities, net of acquisitions:</t>
  </si>
  <si>
    <t>Cash flows from investing activities:</t>
  </si>
  <si>
    <t xml:space="preserve">Net income </t>
  </si>
  <si>
    <t xml:space="preserve">Stock-based compensation expense </t>
  </si>
  <si>
    <t xml:space="preserve">Depreciation and amortization </t>
  </si>
  <si>
    <t xml:space="preserve">Deferred income taxes </t>
  </si>
  <si>
    <t xml:space="preserve">(Gains) losses on investments in non-affiliated entities, net </t>
  </si>
  <si>
    <t xml:space="preserve">Acquisition termination cost </t>
  </si>
  <si>
    <t xml:space="preserve">Other </t>
  </si>
  <si>
    <t xml:space="preserve">Accounts receivable </t>
  </si>
  <si>
    <t xml:space="preserve">Inventories </t>
  </si>
  <si>
    <t xml:space="preserve">Prepaid expenses and other assets </t>
  </si>
  <si>
    <t xml:space="preserve">Accounts payable </t>
  </si>
  <si>
    <t xml:space="preserve">Accrued and other current liabilities </t>
  </si>
  <si>
    <t xml:space="preserve">Other long-term liabilities </t>
  </si>
  <si>
    <t xml:space="preserve">Net cash provided by operating activities </t>
  </si>
  <si>
    <t>Proceeds from maturities of marketable securities</t>
  </si>
  <si>
    <t xml:space="preserve">Proceeds from sales of marketable securities </t>
  </si>
  <si>
    <t xml:space="preserve">Purchases of marketable securities </t>
  </si>
  <si>
    <t>$ Million</t>
  </si>
  <si>
    <t>Cash flows from financing activities:</t>
  </si>
  <si>
    <t>Principal payments on property and equipment and intangible</t>
  </si>
  <si>
    <t>Supplemental disclosures of cash flow information:</t>
  </si>
  <si>
    <t xml:space="preserve">Purchases related to property and equipment and intangible assets </t>
  </si>
  <si>
    <t>Investments in non-affiliated entities and other, ne</t>
  </si>
  <si>
    <t xml:space="preserve">Net cash provided by (used in) investing activities </t>
  </si>
  <si>
    <t>Acquisitions, net of cash acquired</t>
  </si>
  <si>
    <t>Proceeds related to employee stock plans</t>
  </si>
  <si>
    <t>Payments related to repurchases of common stock</t>
  </si>
  <si>
    <t>Payments related to tax on restricted stock units</t>
  </si>
  <si>
    <t>Repayment of debt</t>
  </si>
  <si>
    <t>Dividends paid</t>
  </si>
  <si>
    <t>assets</t>
  </si>
  <si>
    <t>Net cash provided by (used in) financing activities</t>
  </si>
  <si>
    <t xml:space="preserve">Cash and cash equivalents at beginning of period </t>
  </si>
  <si>
    <t xml:space="preserve">Cash and cash equivalents at end of period </t>
  </si>
  <si>
    <t>Change in cash and cash equivalents</t>
  </si>
  <si>
    <t>Issuance of debt, net of issuance costs</t>
  </si>
  <si>
    <t>Other</t>
  </si>
  <si>
    <t>Cash paid for income taxes, net</t>
  </si>
  <si>
    <t>Cash paid for interest</t>
  </si>
  <si>
    <t>Cap Ex</t>
  </si>
  <si>
    <t>D&amp;A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</si>
</sst>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6" fontId="0" fillId="0" borderId="1" xfId="0" applyNumberFormat="1" applyBorder="1"/>
    <xf numFmtId="0" fontId="0" fillId="2" borderId="1" xfId="0" applyFill="1" applyBorder="1"/>
    <xf numFmtId="3" fontId="0" fillId="2" borderId="1" xfId="0" applyNumberFormat="1" applyFill="1" applyBorder="1"/>
    <xf numFmtId="0" fontId="0" fillId="3" borderId="1" xfId="0" applyFill="1" applyBorder="1"/>
    <xf numFmtId="3" fontId="0" fillId="3" borderId="1" xfId="0" applyNumberFormat="1" applyFill="1" applyBorder="1"/>
    <xf numFmtId="0" fontId="0" fillId="4" borderId="1" xfId="0" applyFill="1" applyBorder="1"/>
    <xf numFmtId="3" fontId="0" fillId="4" borderId="1" xfId="0" applyNumberFormat="1" applyFill="1" applyBorder="1"/>
    <xf numFmtId="14" fontId="0" fillId="0" borderId="1" xfId="0" applyNumberFormat="1" applyBorder="1"/>
    <xf numFmtId="3" fontId="1" fillId="2" borderId="1" xfId="0" applyNumberFormat="1" applyFont="1" applyFill="1" applyBorder="1"/>
    <xf numFmtId="0" fontId="1" fillId="4" borderId="1" xfId="0" applyFont="1" applyFill="1" applyBorder="1"/>
    <xf numFmtId="3" fontId="1" fillId="4" borderId="1" xfId="0" applyNumberFormat="1" applyFont="1" applyFill="1" applyBorder="1"/>
    <xf numFmtId="3" fontId="1" fillId="3" borderId="1" xfId="0" applyNumberFormat="1" applyFont="1" applyFill="1" applyBorder="1"/>
    <xf numFmtId="0" fontId="1" fillId="3" borderId="1" xfId="0" applyFont="1" applyFill="1" applyBorder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NVIDIA Net Income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4068503937007871"/>
                  <c:y val="9.371500437445319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numRef>
              <c:f>Sheet1!$B$1:$D$1</c:f>
              <c:numCache>
                <c:formatCode>m/d/yyyy</c:formatCode>
                <c:ptCount val="3"/>
                <c:pt idx="0">
                  <c:v>45319</c:v>
                </c:pt>
                <c:pt idx="1">
                  <c:v>44955</c:v>
                </c:pt>
                <c:pt idx="2">
                  <c:v>44591</c:v>
                </c:pt>
              </c:numCache>
            </c:numRef>
          </c:cat>
          <c:val>
            <c:numRef>
              <c:f>Sheet1!$B$3:$D$3</c:f>
              <c:numCache>
                <c:formatCode>"$"#,##0_);[Red]\("$"#,##0\)</c:formatCode>
                <c:ptCount val="3"/>
                <c:pt idx="0">
                  <c:v>29760</c:v>
                </c:pt>
                <c:pt idx="1">
                  <c:v>4368</c:v>
                </c:pt>
                <c:pt idx="2">
                  <c:v>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C8-40B6-B340-8AD2E4ADF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184512"/>
        <c:axId val="996914512"/>
      </c:lineChart>
      <c:dateAx>
        <c:axId val="118218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914512"/>
        <c:crosses val="autoZero"/>
        <c:auto val="1"/>
        <c:lblOffset val="100"/>
        <c:baseTimeUnit val="months"/>
      </c:dateAx>
      <c:valAx>
        <c:axId val="99691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8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</a:t>
            </a:r>
            <a:r>
              <a:rPr lang="en-US" baseline="0"/>
              <a:t> CFO vs. Net Income NVIDIA '22 - '24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Net cash provided by operating activities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4033685292988259E-2"/>
                  <c:y val="0.4485156022163896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Sheet1!$B$19:$D$19</c:f>
              <c:numCache>
                <c:formatCode>#,##0</c:formatCode>
                <c:ptCount val="3"/>
                <c:pt idx="0">
                  <c:v>28090</c:v>
                </c:pt>
                <c:pt idx="1">
                  <c:v>5641</c:v>
                </c:pt>
                <c:pt idx="2">
                  <c:v>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9-462E-BB92-ECC06C30F344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Net income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8110261648564983"/>
                  <c:y val="0.512129265091863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Sheet1!$B$3:$D$3</c:f>
              <c:numCache>
                <c:formatCode>"$"#,##0_);[Red]\("$"#,##0\)</c:formatCode>
                <c:ptCount val="3"/>
                <c:pt idx="0">
                  <c:v>29760</c:v>
                </c:pt>
                <c:pt idx="1">
                  <c:v>4368</c:v>
                </c:pt>
                <c:pt idx="2">
                  <c:v>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9-462E-BB92-ECC06C30F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9055328"/>
        <c:axId val="1181082416"/>
      </c:lineChart>
      <c:catAx>
        <c:axId val="7890553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layout>
            <c:manualLayout>
              <c:xMode val="edge"/>
              <c:yMode val="edge"/>
              <c:x val="0.50746406974038805"/>
              <c:y val="0.633888159813356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  <a:alpha val="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082416"/>
        <c:crosses val="autoZero"/>
        <c:auto val="1"/>
        <c:lblAlgn val="ctr"/>
        <c:lblOffset val="100"/>
        <c:noMultiLvlLbl val="0"/>
      </c:catAx>
      <c:valAx>
        <c:axId val="1181082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05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2873699012895006E-3"/>
          <c:y val="0.6851829979585885"/>
          <c:w val="0.57785017497812774"/>
          <c:h val="0.305557742782152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CFO vs. CFI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Sheet1!$A$19</c:f>
              <c:strCache>
                <c:ptCount val="1"/>
                <c:pt idx="0">
                  <c:v>Net cash provided by operating activities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Sheet1!$B$19:$D$19</c:f>
              <c:numCache>
                <c:formatCode>#,##0</c:formatCode>
                <c:ptCount val="3"/>
                <c:pt idx="0">
                  <c:v>28090</c:v>
                </c:pt>
                <c:pt idx="1">
                  <c:v>5641</c:v>
                </c:pt>
                <c:pt idx="2">
                  <c:v>9108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EB-431A-8957-F7A83984D33A}"/>
            </c:ext>
          </c:extLst>
        </c:ser>
        <c:ser>
          <c:idx val="1"/>
          <c:order val="1"/>
          <c:tx>
            <c:strRef>
              <c:f>Sheet1!$A$28</c:f>
              <c:strCache>
                <c:ptCount val="1"/>
                <c:pt idx="0">
                  <c:v>Net cash provided by (used in) investing activities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Sheet1!$B$28:$D$28</c:f>
              <c:numCache>
                <c:formatCode>#,##0</c:formatCode>
                <c:ptCount val="3"/>
                <c:pt idx="0" formatCode="General">
                  <c:v>-10566</c:v>
                </c:pt>
                <c:pt idx="1">
                  <c:v>7375</c:v>
                </c:pt>
                <c:pt idx="2">
                  <c:v>-9830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EB-431A-8957-F7A83984D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184048"/>
        <c:axId val="777199472"/>
      </c:lineChart>
      <c:catAx>
        <c:axId val="1182184048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777199472"/>
        <c:crosses val="autoZero"/>
        <c:auto val="1"/>
        <c:lblAlgn val="ctr"/>
        <c:lblOffset val="100"/>
        <c:noMultiLvlLbl val="0"/>
      </c:catAx>
      <c:valAx>
        <c:axId val="7771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84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Sheet1!$A$39</c:f>
              <c:strCache>
                <c:ptCount val="1"/>
                <c:pt idx="0">
                  <c:v>Net cash provided by (used in) financing activities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3486548556430445"/>
                  <c:y val="0.215346310877806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Sheet1!$B$39:$D$39</c:f>
              <c:numCache>
                <c:formatCode>#,##0</c:formatCode>
                <c:ptCount val="3"/>
                <c:pt idx="0">
                  <c:v>-13633</c:v>
                </c:pt>
                <c:pt idx="1">
                  <c:v>-11617</c:v>
                </c:pt>
                <c:pt idx="2" formatCode="General">
                  <c:v>1865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BD-4A30-A3CE-E0E5D7E6E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21273600"/>
        <c:axId val="1333806768"/>
      </c:lineChart>
      <c:catAx>
        <c:axId val="142127360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333806768"/>
        <c:crosses val="autoZero"/>
        <c:auto val="1"/>
        <c:lblAlgn val="ctr"/>
        <c:lblOffset val="100"/>
        <c:noMultiLvlLbl val="0"/>
      </c:catAx>
      <c:valAx>
        <c:axId val="13338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127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Cash Flow</a:t>
            </a:r>
            <a:r>
              <a:rPr lang="en-US" baseline="0"/>
              <a:t> from </a:t>
            </a:r>
            <a:r>
              <a:rPr lang="en-US"/>
              <a:t>Dividends paid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Sheet1!$A$34</c:f>
              <c:strCache>
                <c:ptCount val="1"/>
                <c:pt idx="0">
                  <c:v>Dividends paid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0235170603674541"/>
                  <c:y val="-0.2619655876348789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val>
            <c:numRef>
              <c:f>Sheet1!$B$34:$D$34</c:f>
              <c:numCache>
                <c:formatCode>#,##0</c:formatCode>
                <c:ptCount val="3"/>
                <c:pt idx="0" formatCode="General">
                  <c:v>-395</c:v>
                </c:pt>
                <c:pt idx="1">
                  <c:v>-398</c:v>
                </c:pt>
                <c:pt idx="2">
                  <c:v>-399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5-440C-A1A1-5AB9631EA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2196112"/>
        <c:axId val="1180222496"/>
      </c:lineChart>
      <c:catAx>
        <c:axId val="118219611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1180222496"/>
        <c:crosses val="autoZero"/>
        <c:auto val="1"/>
        <c:lblAlgn val="ctr"/>
        <c:lblOffset val="100"/>
        <c:noMultiLvlLbl val="0"/>
      </c:catAx>
      <c:valAx>
        <c:axId val="1180222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 Millions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196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</a:t>
            </a:r>
            <a:r>
              <a:rPr lang="en-US" baseline="0"/>
              <a:t>Ex vs D&amp;A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Sheet1!$N$3</c:f>
              <c:strCache>
                <c:ptCount val="1"/>
                <c:pt idx="0">
                  <c:v>Cap 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Sheet1!$O$3:$Q$3</c:f>
              <c:numCache>
                <c:formatCode>General</c:formatCode>
                <c:ptCount val="3"/>
                <c:pt idx="0">
                  <c:v>1143</c:v>
                </c:pt>
                <c:pt idx="1">
                  <c:v>1891</c:v>
                </c:pt>
                <c:pt idx="2">
                  <c:v>1059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9-4430-91E0-9885163694CD}"/>
            </c:ext>
          </c:extLst>
        </c:ser>
        <c:ser>
          <c:idx val="1"/>
          <c:order val="1"/>
          <c:tx>
            <c:strRef>
              <c:f>Sheet1!$N$4</c:f>
              <c:strCache>
                <c:ptCount val="1"/>
                <c:pt idx="0">
                  <c:v>D&amp;A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Sheet1!$O$4:$Q$4</c:f>
              <c:numCache>
                <c:formatCode>#,##0</c:formatCode>
                <c:ptCount val="3"/>
                <c:pt idx="0">
                  <c:v>1508</c:v>
                </c:pt>
                <c:pt idx="1">
                  <c:v>1544</c:v>
                </c:pt>
                <c:pt idx="2">
                  <c:v>1174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B9-4430-91E0-9885163694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0205632"/>
        <c:axId val="396789248"/>
      </c:lineChart>
      <c:catAx>
        <c:axId val="650205632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crossAx val="396789248"/>
        <c:crosses val="autoZero"/>
        <c:auto val="1"/>
        <c:lblAlgn val="ctr"/>
        <c:lblOffset val="100"/>
        <c:noMultiLvlLbl val="0"/>
      </c:catAx>
      <c:valAx>
        <c:axId val="396789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$</a:t>
                </a:r>
                <a:r>
                  <a:rPr lang="en-US" baseline="0"/>
                  <a:t> Million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205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0</xdr:row>
      <xdr:rowOff>166687</xdr:rowOff>
    </xdr:from>
    <xdr:to>
      <xdr:col>12</xdr:col>
      <xdr:colOff>314325</xdr:colOff>
      <xdr:row>15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0FF9E6-D9FC-27C5-D444-A45E721B09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22308</xdr:colOff>
      <xdr:row>15</xdr:row>
      <xdr:rowOff>190249</xdr:rowOff>
    </xdr:from>
    <xdr:to>
      <xdr:col>12</xdr:col>
      <xdr:colOff>327108</xdr:colOff>
      <xdr:row>30</xdr:row>
      <xdr:rowOff>75949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0EAA3C8-7D20-36A3-B2A3-3DB9746CC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571500</xdr:colOff>
      <xdr:row>23</xdr:row>
      <xdr:rowOff>28575</xdr:rowOff>
    </xdr:from>
    <xdr:to>
      <xdr:col>11</xdr:col>
      <xdr:colOff>600075</xdr:colOff>
      <xdr:row>24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45E5FA2-F4DE-44A6-1D2A-E2240E990840}"/>
            </a:ext>
          </a:extLst>
        </xdr:cNvPr>
        <xdr:cNvSpPr txBox="1"/>
      </xdr:nvSpPr>
      <xdr:spPr>
        <a:xfrm>
          <a:off x="8096250" y="4410075"/>
          <a:ext cx="368617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                  2024</a:t>
          </a:r>
          <a:r>
            <a:rPr lang="en-US" sz="1100" baseline="0"/>
            <a:t>                           2023                              2022</a:t>
          </a:r>
          <a:endParaRPr lang="en-US" sz="1100"/>
        </a:p>
      </xdr:txBody>
    </xdr:sp>
    <xdr:clientData/>
  </xdr:twoCellAnchor>
  <xdr:twoCellAnchor>
    <xdr:from>
      <xdr:col>5</xdr:col>
      <xdr:colOff>23812</xdr:colOff>
      <xdr:row>31</xdr:row>
      <xdr:rowOff>4762</xdr:rowOff>
    </xdr:from>
    <xdr:to>
      <xdr:col>12</xdr:col>
      <xdr:colOff>328612</xdr:colOff>
      <xdr:row>45</xdr:row>
      <xdr:rowOff>80962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971CB3-B40E-2F1E-5E3C-40D38323C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528637</xdr:colOff>
      <xdr:row>46</xdr:row>
      <xdr:rowOff>138112</xdr:rowOff>
    </xdr:from>
    <xdr:to>
      <xdr:col>12</xdr:col>
      <xdr:colOff>223837</xdr:colOff>
      <xdr:row>61</xdr:row>
      <xdr:rowOff>23812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1D06896-3F53-3182-CF37-F30DFC97DB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2347912</xdr:colOff>
      <xdr:row>47</xdr:row>
      <xdr:rowOff>90487</xdr:rowOff>
    </xdr:from>
    <xdr:to>
      <xdr:col>4</xdr:col>
      <xdr:colOff>4762</xdr:colOff>
      <xdr:row>61</xdr:row>
      <xdr:rowOff>166687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69E5115-2584-CCF0-2C7B-EF0420F955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0</xdr:col>
      <xdr:colOff>3438525</xdr:colOff>
      <xdr:row>52</xdr:row>
      <xdr:rowOff>28575</xdr:rowOff>
    </xdr:from>
    <xdr:ext cx="470642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7E3B3AD4-380D-F7DE-0DD9-32063D0D9186}"/>
            </a:ext>
          </a:extLst>
        </xdr:cNvPr>
        <xdr:cNvSpPr txBox="1"/>
      </xdr:nvSpPr>
      <xdr:spPr>
        <a:xfrm>
          <a:off x="3438525" y="9934575"/>
          <a:ext cx="4706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2024</a:t>
          </a:r>
        </a:p>
      </xdr:txBody>
    </xdr:sp>
    <xdr:clientData/>
  </xdr:oneCellAnchor>
  <xdr:oneCellAnchor>
    <xdr:from>
      <xdr:col>1</xdr:col>
      <xdr:colOff>295275</xdr:colOff>
      <xdr:row>58</xdr:row>
      <xdr:rowOff>38100</xdr:rowOff>
    </xdr:from>
    <xdr:ext cx="66675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23E0BD30-ACFC-4940-90D2-0458C07E699A}"/>
            </a:ext>
          </a:extLst>
        </xdr:cNvPr>
        <xdr:cNvSpPr txBox="1"/>
      </xdr:nvSpPr>
      <xdr:spPr>
        <a:xfrm>
          <a:off x="4657725" y="11087100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2023</a:t>
          </a:r>
        </a:p>
      </xdr:txBody>
    </xdr:sp>
    <xdr:clientData/>
  </xdr:oneCellAnchor>
  <xdr:oneCellAnchor>
    <xdr:from>
      <xdr:col>3</xdr:col>
      <xdr:colOff>95250</xdr:colOff>
      <xdr:row>56</xdr:row>
      <xdr:rowOff>133350</xdr:rowOff>
    </xdr:from>
    <xdr:ext cx="66675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ABC46C74-0445-4367-8C43-7B412D5FF805}"/>
            </a:ext>
          </a:extLst>
        </xdr:cNvPr>
        <xdr:cNvSpPr txBox="1"/>
      </xdr:nvSpPr>
      <xdr:spPr>
        <a:xfrm>
          <a:off x="5953125" y="10801350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2022</a:t>
          </a:r>
        </a:p>
      </xdr:txBody>
    </xdr:sp>
    <xdr:clientData/>
  </xdr:oneCellAnchor>
  <xdr:oneCellAnchor>
    <xdr:from>
      <xdr:col>6</xdr:col>
      <xdr:colOff>533400</xdr:colOff>
      <xdr:row>55</xdr:row>
      <xdr:rowOff>95250</xdr:rowOff>
    </xdr:from>
    <xdr:ext cx="666750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907BE985-6504-48AB-AD5B-39F58DE1F006}"/>
            </a:ext>
          </a:extLst>
        </xdr:cNvPr>
        <xdr:cNvSpPr txBox="1"/>
      </xdr:nvSpPr>
      <xdr:spPr>
        <a:xfrm>
          <a:off x="8667750" y="10572750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2024</a:t>
          </a:r>
        </a:p>
      </xdr:txBody>
    </xdr:sp>
    <xdr:clientData/>
  </xdr:oneCellAnchor>
  <xdr:oneCellAnchor>
    <xdr:from>
      <xdr:col>8</xdr:col>
      <xdr:colOff>485775</xdr:colOff>
      <xdr:row>56</xdr:row>
      <xdr:rowOff>95250</xdr:rowOff>
    </xdr:from>
    <xdr:ext cx="666750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F28DDC6-679B-4E90-B826-45EDFD3C5BFB}"/>
            </a:ext>
          </a:extLst>
        </xdr:cNvPr>
        <xdr:cNvSpPr txBox="1"/>
      </xdr:nvSpPr>
      <xdr:spPr>
        <a:xfrm>
          <a:off x="9839325" y="10763250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2023</a:t>
          </a:r>
        </a:p>
      </xdr:txBody>
    </xdr:sp>
    <xdr:clientData/>
  </xdr:oneCellAnchor>
  <xdr:oneCellAnchor>
    <xdr:from>
      <xdr:col>10</xdr:col>
      <xdr:colOff>466725</xdr:colOff>
      <xdr:row>48</xdr:row>
      <xdr:rowOff>161925</xdr:rowOff>
    </xdr:from>
    <xdr:ext cx="666750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88896AF-BE7B-430A-8F22-F56A907C764C}"/>
            </a:ext>
          </a:extLst>
        </xdr:cNvPr>
        <xdr:cNvSpPr txBox="1"/>
      </xdr:nvSpPr>
      <xdr:spPr>
        <a:xfrm>
          <a:off x="11039475" y="9305925"/>
          <a:ext cx="66675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2022</a:t>
          </a:r>
        </a:p>
      </xdr:txBody>
    </xdr:sp>
    <xdr:clientData/>
  </xdr:oneCellAnchor>
  <xdr:twoCellAnchor>
    <xdr:from>
      <xdr:col>13</xdr:col>
      <xdr:colOff>152400</xdr:colOff>
      <xdr:row>6</xdr:row>
      <xdr:rowOff>95250</xdr:rowOff>
    </xdr:from>
    <xdr:to>
      <xdr:col>20</xdr:col>
      <xdr:colOff>457200</xdr:colOff>
      <xdr:row>20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76245CA-2ED4-83BA-6A78-1F264E88C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0.27187</cdr:x>
      <cdr:y>0.42882</cdr:y>
    </cdr:from>
    <cdr:to>
      <cdr:x>0.37812</cdr:x>
      <cdr:y>0.55556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F57641F8-E0F6-143E-5104-C6BF65A92CA0}"/>
            </a:ext>
          </a:extLst>
        </cdr:cNvPr>
        <cdr:cNvSpPr txBox="1"/>
      </cdr:nvSpPr>
      <cdr:spPr>
        <a:xfrm xmlns:a="http://schemas.openxmlformats.org/drawingml/2006/main">
          <a:off x="1243012" y="1176338"/>
          <a:ext cx="485775" cy="3476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/>
            <a:t>2024</a:t>
          </a:r>
        </a:p>
      </cdr:txBody>
    </cdr:sp>
  </cdr:relSizeAnchor>
  <cdr:relSizeAnchor xmlns:cdr="http://schemas.openxmlformats.org/drawingml/2006/chartDrawing">
    <cdr:from>
      <cdr:x>0.52569</cdr:x>
      <cdr:y>0.33796</cdr:y>
    </cdr:from>
    <cdr:to>
      <cdr:x>0.63194</cdr:x>
      <cdr:y>0.4647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288A5EBE-2604-9E36-B028-8C2538935F3B}"/>
            </a:ext>
          </a:extLst>
        </cdr:cNvPr>
        <cdr:cNvSpPr txBox="1"/>
      </cdr:nvSpPr>
      <cdr:spPr>
        <a:xfrm xmlns:a="http://schemas.openxmlformats.org/drawingml/2006/main">
          <a:off x="2403475" y="927100"/>
          <a:ext cx="485775" cy="3476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2023</a:t>
          </a:r>
        </a:p>
      </cdr:txBody>
    </cdr:sp>
  </cdr:relSizeAnchor>
  <cdr:relSizeAnchor xmlns:cdr="http://schemas.openxmlformats.org/drawingml/2006/chartDrawing">
    <cdr:from>
      <cdr:x>0.79444</cdr:x>
      <cdr:y>0.49421</cdr:y>
    </cdr:from>
    <cdr:to>
      <cdr:x>0.90069</cdr:x>
      <cdr:y>0.62095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288A5EBE-2604-9E36-B028-8C2538935F3B}"/>
            </a:ext>
          </a:extLst>
        </cdr:cNvPr>
        <cdr:cNvSpPr txBox="1"/>
      </cdr:nvSpPr>
      <cdr:spPr>
        <a:xfrm xmlns:a="http://schemas.openxmlformats.org/drawingml/2006/main">
          <a:off x="3632200" y="1355725"/>
          <a:ext cx="485775" cy="3476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2022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0.24375</cdr:x>
      <cdr:y>0.47222</cdr:y>
    </cdr:from>
    <cdr:to>
      <cdr:x>0.39167</cdr:x>
      <cdr:y>0.55903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5204E88-8994-26D2-468E-9CBF972EA03C}"/>
            </a:ext>
          </a:extLst>
        </cdr:cNvPr>
        <cdr:cNvSpPr txBox="1"/>
      </cdr:nvSpPr>
      <cdr:spPr>
        <a:xfrm xmlns:a="http://schemas.openxmlformats.org/drawingml/2006/main">
          <a:off x="1114425" y="1295400"/>
          <a:ext cx="67627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2022</a:t>
          </a:r>
        </a:p>
      </cdr:txBody>
    </cdr:sp>
  </cdr:relSizeAnchor>
  <cdr:relSizeAnchor xmlns:cdr="http://schemas.openxmlformats.org/drawingml/2006/chartDrawing">
    <cdr:from>
      <cdr:x>0.51319</cdr:x>
      <cdr:y>0.34838</cdr:y>
    </cdr:from>
    <cdr:to>
      <cdr:x>0.66111</cdr:x>
      <cdr:y>0.43519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77498278-3382-A07B-F17C-1A9EEA5F51FD}"/>
            </a:ext>
          </a:extLst>
        </cdr:cNvPr>
        <cdr:cNvSpPr txBox="1"/>
      </cdr:nvSpPr>
      <cdr:spPr>
        <a:xfrm xmlns:a="http://schemas.openxmlformats.org/drawingml/2006/main">
          <a:off x="2346325" y="955675"/>
          <a:ext cx="67627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2023</a:t>
          </a:r>
        </a:p>
      </cdr:txBody>
    </cdr:sp>
  </cdr:relSizeAnchor>
  <cdr:relSizeAnchor xmlns:cdr="http://schemas.openxmlformats.org/drawingml/2006/chartDrawing">
    <cdr:from>
      <cdr:x>0.77986</cdr:x>
      <cdr:y>0.49074</cdr:y>
    </cdr:from>
    <cdr:to>
      <cdr:x>0.92778</cdr:x>
      <cdr:y>0.57755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6104CF8B-0DD1-8BAA-2F56-79A2C74E32AF}"/>
            </a:ext>
          </a:extLst>
        </cdr:cNvPr>
        <cdr:cNvSpPr txBox="1"/>
      </cdr:nvSpPr>
      <cdr:spPr>
        <a:xfrm xmlns:a="http://schemas.openxmlformats.org/drawingml/2006/main">
          <a:off x="3565525" y="1346200"/>
          <a:ext cx="676275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2024</a:t>
          </a:r>
        </a:p>
      </cdr:txBody>
    </cdr:sp>
  </cdr:relSizeAnchor>
</c:userShape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1545F-5983-45F0-87D7-97DBD259E083}">
  <dimension ref="A1:Q45"/>
  <sheetViews>
    <sheetView tabSelected="1" zoomScaleNormal="100" workbookViewId="0">
      <selection activeCell="R28" sqref="R28"/>
    </sheetView>
  </sheetViews>
  <sheetFormatPr defaultRowHeight="15" x14ac:dyDescent="0.25"/>
  <cols>
    <col min="1" max="1" width="65.42578125" bestFit="1" customWidth="1"/>
    <col min="2" max="2" width="9.7109375" bestFit="1" customWidth="1"/>
    <col min="3" max="3" width="12.7109375" bestFit="1" customWidth="1"/>
    <col min="4" max="4" width="15.85546875" bestFit="1" customWidth="1"/>
  </cols>
  <sheetData>
    <row r="1" spans="1:17" x14ac:dyDescent="0.25">
      <c r="A1" s="1" t="s">
        <v>22</v>
      </c>
      <c r="B1" s="9">
        <v>45319</v>
      </c>
      <c r="C1" s="9">
        <v>44955</v>
      </c>
      <c r="D1" s="9">
        <v>44591</v>
      </c>
    </row>
    <row r="2" spans="1:17" x14ac:dyDescent="0.25">
      <c r="A2" s="1" t="s">
        <v>0</v>
      </c>
      <c r="B2" s="1"/>
      <c r="C2" s="1"/>
      <c r="D2" s="1"/>
    </row>
    <row r="3" spans="1:17" x14ac:dyDescent="0.25">
      <c r="A3" s="1" t="s">
        <v>5</v>
      </c>
      <c r="B3" s="2">
        <v>29760</v>
      </c>
      <c r="C3" s="2">
        <v>4368</v>
      </c>
      <c r="D3" s="2">
        <v>9752</v>
      </c>
      <c r="N3" t="s">
        <v>44</v>
      </c>
      <c r="O3">
        <f>-1*(B$24+B$36)</f>
        <v>1143</v>
      </c>
      <c r="P3">
        <f>-1*(C$24+C$36)</f>
        <v>1891</v>
      </c>
      <c r="Q3">
        <f>-1*(D$24+D$36)</f>
        <v>1059</v>
      </c>
    </row>
    <row r="4" spans="1:17" x14ac:dyDescent="0.25">
      <c r="A4" s="3" t="s">
        <v>1</v>
      </c>
      <c r="B4" s="3"/>
      <c r="C4" s="3"/>
      <c r="D4" s="3"/>
      <c r="N4" t="s">
        <v>45</v>
      </c>
      <c r="O4" s="15">
        <f>B7</f>
        <v>1508</v>
      </c>
      <c r="P4" s="15">
        <f t="shared" ref="P4:Q4" si="0">C7</f>
        <v>1544</v>
      </c>
      <c r="Q4" s="15">
        <f t="shared" si="0"/>
        <v>1174</v>
      </c>
    </row>
    <row r="5" spans="1:17" x14ac:dyDescent="0.25">
      <c r="A5" s="3" t="s">
        <v>2</v>
      </c>
      <c r="B5" s="3"/>
      <c r="C5" s="3"/>
      <c r="D5" s="3"/>
    </row>
    <row r="6" spans="1:17" x14ac:dyDescent="0.25">
      <c r="A6" s="3" t="s">
        <v>6</v>
      </c>
      <c r="B6" s="4">
        <v>3549</v>
      </c>
      <c r="C6" s="4">
        <v>2709</v>
      </c>
      <c r="D6" s="4">
        <v>2004</v>
      </c>
    </row>
    <row r="7" spans="1:17" x14ac:dyDescent="0.25">
      <c r="A7" s="3" t="s">
        <v>7</v>
      </c>
      <c r="B7" s="4">
        <v>1508</v>
      </c>
      <c r="C7" s="4">
        <v>1544</v>
      </c>
      <c r="D7" s="4">
        <v>1174</v>
      </c>
    </row>
    <row r="8" spans="1:17" x14ac:dyDescent="0.25">
      <c r="A8" s="3" t="s">
        <v>8</v>
      </c>
      <c r="B8" s="4">
        <v>-2489</v>
      </c>
      <c r="C8" s="4">
        <v>-2164</v>
      </c>
      <c r="D8" s="3">
        <v>-406</v>
      </c>
    </row>
    <row r="9" spans="1:17" x14ac:dyDescent="0.25">
      <c r="A9" s="3" t="s">
        <v>9</v>
      </c>
      <c r="B9" s="3">
        <v>-238</v>
      </c>
      <c r="C9" s="3">
        <v>45</v>
      </c>
      <c r="D9" s="3">
        <v>-100</v>
      </c>
    </row>
    <row r="10" spans="1:17" x14ac:dyDescent="0.25">
      <c r="A10" s="3" t="s">
        <v>10</v>
      </c>
      <c r="B10" s="3"/>
      <c r="C10" s="4">
        <v>1353</v>
      </c>
      <c r="D10" s="3"/>
    </row>
    <row r="11" spans="1:17" x14ac:dyDescent="0.25">
      <c r="A11" s="3" t="s">
        <v>11</v>
      </c>
      <c r="B11" s="3">
        <v>-278</v>
      </c>
      <c r="C11" s="3">
        <v>-7</v>
      </c>
      <c r="D11" s="3">
        <v>47</v>
      </c>
    </row>
    <row r="12" spans="1:17" x14ac:dyDescent="0.25">
      <c r="A12" s="3" t="s">
        <v>3</v>
      </c>
      <c r="B12" s="3"/>
      <c r="C12" s="3"/>
      <c r="D12" s="3"/>
    </row>
    <row r="13" spans="1:17" x14ac:dyDescent="0.25">
      <c r="A13" s="3" t="s">
        <v>12</v>
      </c>
      <c r="B13" s="4">
        <v>-6172</v>
      </c>
      <c r="C13" s="3">
        <v>822</v>
      </c>
      <c r="D13" s="4">
        <v>-2215</v>
      </c>
    </row>
    <row r="14" spans="1:17" x14ac:dyDescent="0.25">
      <c r="A14" s="3" t="s">
        <v>13</v>
      </c>
      <c r="B14" s="3">
        <v>-98</v>
      </c>
      <c r="C14" s="4">
        <v>-2554</v>
      </c>
      <c r="D14" s="3">
        <v>-774</v>
      </c>
    </row>
    <row r="15" spans="1:17" x14ac:dyDescent="0.25">
      <c r="A15" s="3" t="s">
        <v>14</v>
      </c>
      <c r="B15" s="4">
        <v>-1522</v>
      </c>
      <c r="C15" s="4">
        <v>-1517</v>
      </c>
      <c r="D15" s="4">
        <v>-1715</v>
      </c>
    </row>
    <row r="16" spans="1:17" x14ac:dyDescent="0.25">
      <c r="A16" s="3" t="s">
        <v>15</v>
      </c>
      <c r="B16" s="4">
        <v>1531</v>
      </c>
      <c r="C16" s="3">
        <v>-551</v>
      </c>
      <c r="D16" s="3">
        <v>568</v>
      </c>
    </row>
    <row r="17" spans="1:4" x14ac:dyDescent="0.25">
      <c r="A17" s="3" t="s">
        <v>16</v>
      </c>
      <c r="B17" s="4">
        <v>2025</v>
      </c>
      <c r="C17" s="4">
        <v>1341</v>
      </c>
      <c r="D17" s="3">
        <v>581</v>
      </c>
    </row>
    <row r="18" spans="1:4" x14ac:dyDescent="0.25">
      <c r="A18" s="3" t="s">
        <v>17</v>
      </c>
      <c r="B18" s="3">
        <v>514</v>
      </c>
      <c r="C18" s="3">
        <v>252</v>
      </c>
      <c r="D18" s="3">
        <v>192</v>
      </c>
    </row>
    <row r="19" spans="1:4" x14ac:dyDescent="0.25">
      <c r="A19" s="3" t="s">
        <v>18</v>
      </c>
      <c r="B19" s="10">
        <v>28090</v>
      </c>
      <c r="C19" s="10">
        <v>5641</v>
      </c>
      <c r="D19" s="10">
        <v>9108</v>
      </c>
    </row>
    <row r="20" spans="1:4" x14ac:dyDescent="0.25">
      <c r="A20" s="7" t="s">
        <v>4</v>
      </c>
      <c r="B20" s="7"/>
      <c r="C20" s="7"/>
      <c r="D20" s="7"/>
    </row>
    <row r="21" spans="1:4" x14ac:dyDescent="0.25">
      <c r="A21" s="7" t="s">
        <v>19</v>
      </c>
      <c r="B21" s="8">
        <v>9732</v>
      </c>
      <c r="C21" s="8">
        <v>19425</v>
      </c>
      <c r="D21" s="8">
        <v>15197</v>
      </c>
    </row>
    <row r="22" spans="1:4" x14ac:dyDescent="0.25">
      <c r="A22" s="7" t="s">
        <v>20</v>
      </c>
      <c r="B22" s="7">
        <v>50</v>
      </c>
      <c r="C22" s="8">
        <v>1806</v>
      </c>
      <c r="D22" s="8">
        <v>1023</v>
      </c>
    </row>
    <row r="23" spans="1:4" x14ac:dyDescent="0.25">
      <c r="A23" s="7" t="s">
        <v>21</v>
      </c>
      <c r="B23" s="8">
        <v>-18211</v>
      </c>
      <c r="C23" s="8">
        <v>-11897</v>
      </c>
      <c r="D23" s="8">
        <v>-24787</v>
      </c>
    </row>
    <row r="24" spans="1:4" x14ac:dyDescent="0.25">
      <c r="A24" s="7" t="s">
        <v>26</v>
      </c>
      <c r="B24" s="7">
        <v>-1069</v>
      </c>
      <c r="C24" s="8">
        <v>-1833</v>
      </c>
      <c r="D24" s="8">
        <v>-976</v>
      </c>
    </row>
    <row r="25" spans="1:4" x14ac:dyDescent="0.25">
      <c r="A25" s="7"/>
      <c r="B25" s="7"/>
      <c r="C25" s="7"/>
      <c r="D25" s="7"/>
    </row>
    <row r="26" spans="1:4" x14ac:dyDescent="0.25">
      <c r="A26" s="7" t="s">
        <v>29</v>
      </c>
      <c r="B26" s="7">
        <v>-83</v>
      </c>
      <c r="C26" s="8">
        <v>-49</v>
      </c>
      <c r="D26" s="8">
        <v>-263</v>
      </c>
    </row>
    <row r="27" spans="1:4" x14ac:dyDescent="0.25">
      <c r="A27" s="7" t="s">
        <v>27</v>
      </c>
      <c r="B27" s="7">
        <v>-985</v>
      </c>
      <c r="C27" s="8">
        <v>-77</v>
      </c>
      <c r="D27" s="8">
        <v>-24</v>
      </c>
    </row>
    <row r="28" spans="1:4" x14ac:dyDescent="0.25">
      <c r="A28" s="7" t="s">
        <v>28</v>
      </c>
      <c r="B28" s="11">
        <v>-10566</v>
      </c>
      <c r="C28" s="12">
        <v>7375</v>
      </c>
      <c r="D28" s="12">
        <v>-9830</v>
      </c>
    </row>
    <row r="29" spans="1:4" x14ac:dyDescent="0.25">
      <c r="A29" s="5" t="s">
        <v>23</v>
      </c>
      <c r="B29" s="5"/>
      <c r="C29" s="5"/>
      <c r="D29" s="5"/>
    </row>
    <row r="30" spans="1:4" x14ac:dyDescent="0.25">
      <c r="A30" s="5" t="s">
        <v>30</v>
      </c>
      <c r="B30" s="5">
        <v>403</v>
      </c>
      <c r="C30" s="6">
        <v>355</v>
      </c>
      <c r="D30" s="6">
        <v>281</v>
      </c>
    </row>
    <row r="31" spans="1:4" x14ac:dyDescent="0.25">
      <c r="A31" s="5" t="s">
        <v>31</v>
      </c>
      <c r="B31" s="5">
        <v>-9533</v>
      </c>
      <c r="C31" s="6">
        <v>-10039</v>
      </c>
      <c r="D31" s="6">
        <v>0</v>
      </c>
    </row>
    <row r="32" spans="1:4" x14ac:dyDescent="0.25">
      <c r="A32" s="5" t="s">
        <v>32</v>
      </c>
      <c r="B32" s="5">
        <v>-2783</v>
      </c>
      <c r="C32" s="6">
        <v>-1475</v>
      </c>
      <c r="D32" s="6">
        <v>-1904</v>
      </c>
    </row>
    <row r="33" spans="1:4" x14ac:dyDescent="0.25">
      <c r="A33" s="5" t="s">
        <v>33</v>
      </c>
      <c r="B33" s="5">
        <v>-1250</v>
      </c>
      <c r="C33" s="6">
        <v>0</v>
      </c>
      <c r="D33" s="6">
        <v>-1000</v>
      </c>
    </row>
    <row r="34" spans="1:4" x14ac:dyDescent="0.25">
      <c r="A34" s="5" t="s">
        <v>34</v>
      </c>
      <c r="B34" s="5">
        <v>-395</v>
      </c>
      <c r="C34" s="6">
        <v>-398</v>
      </c>
      <c r="D34" s="6">
        <v>-399</v>
      </c>
    </row>
    <row r="35" spans="1:4" x14ac:dyDescent="0.25">
      <c r="A35" s="5" t="s">
        <v>24</v>
      </c>
      <c r="B35" s="5"/>
      <c r="C35" s="5"/>
      <c r="D35" s="5"/>
    </row>
    <row r="36" spans="1:4" x14ac:dyDescent="0.25">
      <c r="A36" s="5" t="s">
        <v>35</v>
      </c>
      <c r="B36" s="5">
        <v>-74</v>
      </c>
      <c r="C36" s="6">
        <v>-58</v>
      </c>
      <c r="D36" s="6">
        <v>-83</v>
      </c>
    </row>
    <row r="37" spans="1:4" x14ac:dyDescent="0.25">
      <c r="A37" s="5" t="s">
        <v>40</v>
      </c>
      <c r="B37" s="5">
        <v>0</v>
      </c>
      <c r="C37" s="6">
        <v>0</v>
      </c>
      <c r="D37" s="6">
        <v>4977</v>
      </c>
    </row>
    <row r="38" spans="1:4" x14ac:dyDescent="0.25">
      <c r="A38" s="5" t="s">
        <v>41</v>
      </c>
      <c r="B38" s="5">
        <v>-1</v>
      </c>
      <c r="C38" s="6">
        <v>-2</v>
      </c>
      <c r="D38" s="6">
        <v>-7</v>
      </c>
    </row>
    <row r="39" spans="1:4" x14ac:dyDescent="0.25">
      <c r="A39" s="5" t="s">
        <v>36</v>
      </c>
      <c r="B39" s="13">
        <v>-13633</v>
      </c>
      <c r="C39" s="13">
        <v>-11617</v>
      </c>
      <c r="D39" s="14">
        <v>1865</v>
      </c>
    </row>
    <row r="40" spans="1:4" x14ac:dyDescent="0.25">
      <c r="A40" s="5" t="s">
        <v>39</v>
      </c>
      <c r="B40" s="5">
        <v>3891</v>
      </c>
      <c r="C40" s="6">
        <v>1399</v>
      </c>
      <c r="D40" s="6">
        <v>1143</v>
      </c>
    </row>
    <row r="41" spans="1:4" x14ac:dyDescent="0.25">
      <c r="A41" s="5" t="s">
        <v>37</v>
      </c>
      <c r="B41" s="5">
        <v>3389</v>
      </c>
      <c r="C41" s="6">
        <v>3389</v>
      </c>
      <c r="D41" s="6">
        <v>1990</v>
      </c>
    </row>
    <row r="42" spans="1:4" x14ac:dyDescent="0.25">
      <c r="A42" s="5" t="s">
        <v>38</v>
      </c>
      <c r="B42" s="5">
        <v>7280</v>
      </c>
      <c r="C42" s="6">
        <v>3389</v>
      </c>
      <c r="D42" s="6">
        <v>1990</v>
      </c>
    </row>
    <row r="43" spans="1:4" x14ac:dyDescent="0.25">
      <c r="A43" s="5" t="s">
        <v>25</v>
      </c>
      <c r="B43" s="5"/>
      <c r="C43" s="5"/>
      <c r="D43" s="5"/>
    </row>
    <row r="44" spans="1:4" x14ac:dyDescent="0.25">
      <c r="A44" s="5" t="s">
        <v>42</v>
      </c>
      <c r="B44" s="5">
        <v>6549</v>
      </c>
      <c r="C44" s="6">
        <v>1404</v>
      </c>
      <c r="D44" s="6">
        <v>396</v>
      </c>
    </row>
    <row r="45" spans="1:4" x14ac:dyDescent="0.25">
      <c r="A45" s="5" t="s">
        <v>43</v>
      </c>
      <c r="B45" s="5">
        <v>252</v>
      </c>
      <c r="C45" s="6">
        <v>254</v>
      </c>
      <c r="D45" s="6">
        <v>246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Morman (US), Brian J</dc:creator>
  <cp:lastModifiedBy>Morman (US), Brian J</cp:lastModifiedBy>
  <cp:lastPrinted>2024-10-01T11:34:55Z</cp:lastPrinted>
  <dcterms:created xsi:type="dcterms:W3CDTF">2024-10-01T11:34:49Z</dcterms:created>
  <dcterms:modified xsi:type="dcterms:W3CDTF">2024-10-02T12:28:01Z</dcterms:modified>
</cp:coreProperties>
</file>