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ocuments\Personal\EMBA\Finance\"/>
    </mc:Choice>
  </mc:AlternateContent>
  <xr:revisionPtr revIDLastSave="0" documentId="13_ncr:1_{576DB95A-95AB-4CD7-BA80-D65D1BDA0FF2}" xr6:coauthVersionLast="47" xr6:coauthVersionMax="47" xr10:uidLastSave="{00000000-0000-0000-0000-000000000000}"/>
  <bookViews>
    <workbookView xWindow="0" yWindow="0" windowWidth="12690" windowHeight="15600" xr2:uid="{BB64FBD4-CB90-476E-9282-53961D8E1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F15" i="1"/>
  <c r="E15" i="1"/>
  <c r="G15" i="1" s="1"/>
  <c r="F14" i="1"/>
  <c r="E14" i="1"/>
  <c r="C18" i="1"/>
  <c r="B18" i="1"/>
  <c r="F13" i="1"/>
  <c r="E13" i="1"/>
  <c r="F10" i="1"/>
  <c r="E10" i="1"/>
  <c r="G10" i="1" s="1"/>
  <c r="G14" i="1"/>
  <c r="F12" i="1"/>
  <c r="E12" i="1"/>
  <c r="G12" i="1" s="1"/>
  <c r="F11" i="1"/>
  <c r="E11" i="1"/>
  <c r="G11" i="1" s="1"/>
  <c r="F9" i="1"/>
  <c r="E9" i="1"/>
  <c r="F8" i="1"/>
  <c r="E8" i="1"/>
  <c r="F7" i="1"/>
  <c r="E7" i="1"/>
  <c r="G7" i="1" s="1"/>
  <c r="F6" i="1"/>
  <c r="G6" i="1" s="1"/>
  <c r="E6" i="1"/>
  <c r="F5" i="1"/>
  <c r="E5" i="1"/>
  <c r="G5" i="1" s="1"/>
  <c r="F4" i="1"/>
  <c r="E4" i="1"/>
  <c r="G4" i="1" s="1"/>
  <c r="G3" i="1"/>
  <c r="E2" i="1"/>
  <c r="G2" i="1" s="1"/>
  <c r="G13" i="1" l="1"/>
  <c r="G9" i="1"/>
  <c r="G8" i="1"/>
</calcChain>
</file>

<file path=xl/sharedStrings.xml><?xml version="1.0" encoding="utf-8"?>
<sst xmlns="http://schemas.openxmlformats.org/spreadsheetml/2006/main" count="36" uniqueCount="36">
  <si>
    <t>op income</t>
  </si>
  <si>
    <t>Revenue</t>
  </si>
  <si>
    <t>Op inc %</t>
  </si>
  <si>
    <t>Given</t>
  </si>
  <si>
    <t>Calculated</t>
  </si>
  <si>
    <t>GP %</t>
  </si>
  <si>
    <t>Cost of Revenue</t>
  </si>
  <si>
    <t>Delta</t>
  </si>
  <si>
    <t>Prov 4 income tax</t>
  </si>
  <si>
    <t>Income before tax</t>
  </si>
  <si>
    <t>Income Tax Rate</t>
  </si>
  <si>
    <t>NOPAT</t>
  </si>
  <si>
    <t>NOPAT%</t>
  </si>
  <si>
    <t xml:space="preserve">Net Income % </t>
  </si>
  <si>
    <t xml:space="preserve">Net Income </t>
  </si>
  <si>
    <t>Operating Income</t>
  </si>
  <si>
    <t>Interest coverage ratio</t>
  </si>
  <si>
    <t>Interest expense</t>
  </si>
  <si>
    <t>Current Assets</t>
  </si>
  <si>
    <t>Current Liabilities</t>
  </si>
  <si>
    <t>Current Ratio</t>
  </si>
  <si>
    <t>Shareholder Equity</t>
  </si>
  <si>
    <t>Financial Leverage Ratio</t>
  </si>
  <si>
    <t xml:space="preserve">Total Asset Turnover </t>
  </si>
  <si>
    <t>Total Assets</t>
  </si>
  <si>
    <t>Return on Assets</t>
  </si>
  <si>
    <t>Return on Equity</t>
  </si>
  <si>
    <t>Days Inventory Held</t>
  </si>
  <si>
    <t>Days A/R Outstanding</t>
  </si>
  <si>
    <t>Days A/P Outstanding</t>
  </si>
  <si>
    <t>Days in Financing</t>
  </si>
  <si>
    <t>Accounts Receivable</t>
  </si>
  <si>
    <t>Purchases</t>
  </si>
  <si>
    <t>Accounts Payable</t>
  </si>
  <si>
    <t>Ending Inventory</t>
  </si>
  <si>
    <t>Beginning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</si>
</sst>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A135-671E-4BC8-B04C-285BD3D034AE}">
  <dimension ref="A1:G27"/>
  <sheetViews>
    <sheetView tabSelected="1" workbookViewId="0">
      <selection activeCell="E17" sqref="E17"/>
    </sheetView>
  </sheetViews>
  <sheetFormatPr defaultRowHeight="14.25"/>
  <cols>
    <col min="1" max="1" width="16.75" bestFit="1" customWidth="1"/>
    <col min="4" max="4" width="15.375" bestFit="1" customWidth="1"/>
    <col min="5" max="5" width="11.875" bestFit="1" customWidth="1"/>
    <col min="7" max="7" width="10" bestFit="1" customWidth="1"/>
  </cols>
  <sheetData>
    <row r="1" spans="1:7">
      <c r="A1" t="s">
        <v>3</v>
      </c>
      <c r="B1">
        <v>2024</v>
      </c>
      <c r="C1">
        <v>2023</v>
      </c>
      <c r="D1" t="s">
        <v>4</v>
      </c>
      <c r="E1">
        <v>2024</v>
      </c>
      <c r="F1">
        <v>2023</v>
      </c>
      <c r="G1" t="s">
        <v>7</v>
      </c>
    </row>
    <row r="2" spans="1:7">
      <c r="A2" t="s">
        <v>0</v>
      </c>
      <c r="B2">
        <v>32972</v>
      </c>
      <c r="C2">
        <v>4224</v>
      </c>
      <c r="D2" t="s">
        <v>5</v>
      </c>
      <c r="E2" s="2">
        <f>0.7272</f>
        <v>0.72719999999999996</v>
      </c>
      <c r="F2" s="2">
        <v>0.56930000000000003</v>
      </c>
      <c r="G2" s="2">
        <f>E2-F2</f>
        <v>0.15789999999999993</v>
      </c>
    </row>
    <row r="3" spans="1:7">
      <c r="A3" t="s">
        <v>1</v>
      </c>
      <c r="B3">
        <v>60922</v>
      </c>
      <c r="C3">
        <v>26974</v>
      </c>
      <c r="D3" t="s">
        <v>2</v>
      </c>
      <c r="E3" s="2">
        <v>0.54121663766783756</v>
      </c>
      <c r="F3" s="2">
        <v>0.1565952398606065</v>
      </c>
      <c r="G3" s="2">
        <f>E3-F3</f>
        <v>0.38462139780723104</v>
      </c>
    </row>
    <row r="4" spans="1:7">
      <c r="A4" t="s">
        <v>6</v>
      </c>
      <c r="B4">
        <v>16621</v>
      </c>
      <c r="C4">
        <v>11618</v>
      </c>
      <c r="D4" t="s">
        <v>10</v>
      </c>
      <c r="E4" s="2">
        <f>B5/B6</f>
        <v>0.1199952687917677</v>
      </c>
      <c r="F4" s="2">
        <f>C5/C6</f>
        <v>-4.4726142071274816E-2</v>
      </c>
      <c r="G4" s="2">
        <f>E4-F4</f>
        <v>0.16472141086304251</v>
      </c>
    </row>
    <row r="5" spans="1:7">
      <c r="A5" t="s">
        <v>8</v>
      </c>
      <c r="B5" s="1">
        <v>4058</v>
      </c>
      <c r="C5">
        <v>-187</v>
      </c>
      <c r="D5" t="s">
        <v>12</v>
      </c>
      <c r="E5" s="2">
        <f>B7/B3</f>
        <v>0.4884934834706674</v>
      </c>
      <c r="F5" s="2">
        <f>C7/C3</f>
        <v>0.16193371394676356</v>
      </c>
      <c r="G5" s="2">
        <f>E5-F5</f>
        <v>0.32655976952390386</v>
      </c>
    </row>
    <row r="6" spans="1:7">
      <c r="A6" t="s">
        <v>9</v>
      </c>
      <c r="B6" s="1">
        <v>33818</v>
      </c>
      <c r="C6" s="1">
        <v>4181</v>
      </c>
      <c r="D6" t="s">
        <v>13</v>
      </c>
      <c r="E6" s="2">
        <f>B8/B3</f>
        <v>0.4884934834706674</v>
      </c>
      <c r="F6" s="2">
        <f>C8/C3</f>
        <v>0.16193371394676356</v>
      </c>
      <c r="G6" s="2">
        <f>E6-F6</f>
        <v>0.32655976952390386</v>
      </c>
    </row>
    <row r="7" spans="1:7">
      <c r="A7" t="s">
        <v>11</v>
      </c>
      <c r="B7" s="1">
        <v>29760</v>
      </c>
      <c r="C7" s="1">
        <v>4368</v>
      </c>
      <c r="D7" t="s">
        <v>16</v>
      </c>
      <c r="E7" s="2">
        <f>B9/B10</f>
        <v>128.29571984435799</v>
      </c>
      <c r="F7" s="2">
        <f>C9/C10</f>
        <v>16.122137404580151</v>
      </c>
      <c r="G7" s="2">
        <f>E7-F7</f>
        <v>112.17358243977785</v>
      </c>
    </row>
    <row r="8" spans="1:7">
      <c r="A8" t="s">
        <v>14</v>
      </c>
      <c r="B8" s="1">
        <v>29760</v>
      </c>
      <c r="C8">
        <v>4368</v>
      </c>
      <c r="D8" t="s">
        <v>20</v>
      </c>
      <c r="E8" s="2">
        <f>B11/B12</f>
        <v>1.9492307692307693</v>
      </c>
      <c r="F8" s="2">
        <f>C11/C12</f>
        <v>1.2092133535978198</v>
      </c>
      <c r="G8" s="2">
        <f>E8-F8</f>
        <v>0.74001741563294954</v>
      </c>
    </row>
    <row r="9" spans="1:7">
      <c r="A9" t="s">
        <v>15</v>
      </c>
      <c r="B9" s="1">
        <v>32972</v>
      </c>
      <c r="C9">
        <v>4224</v>
      </c>
      <c r="D9" t="s">
        <v>22</v>
      </c>
      <c r="E9" s="2">
        <f>B14/B13</f>
        <v>1.5758760295965377</v>
      </c>
      <c r="F9" s="2">
        <f>C14/C13</f>
        <v>1.8633545993393965</v>
      </c>
      <c r="G9" s="2">
        <f>E9-F9</f>
        <v>-0.28747856974285879</v>
      </c>
    </row>
    <row r="10" spans="1:7">
      <c r="A10" t="s">
        <v>17</v>
      </c>
      <c r="B10" s="1">
        <v>257</v>
      </c>
      <c r="C10">
        <v>262</v>
      </c>
      <c r="D10" t="s">
        <v>23</v>
      </c>
      <c r="E10" s="2">
        <f>B3/B14</f>
        <v>0.89950980392156865</v>
      </c>
      <c r="F10" s="2">
        <f>C3/C14</f>
        <v>0.65499490068476518</v>
      </c>
      <c r="G10" s="2">
        <f>E10-F10</f>
        <v>0.24451490323680347</v>
      </c>
    </row>
    <row r="11" spans="1:7">
      <c r="A11" t="s">
        <v>18</v>
      </c>
      <c r="B11" s="1">
        <v>44345</v>
      </c>
      <c r="C11">
        <v>23073</v>
      </c>
      <c r="D11" t="s">
        <v>25</v>
      </c>
      <c r="E11" s="2">
        <f>B7/B14</f>
        <v>0.43940467753366408</v>
      </c>
      <c r="F11" s="2">
        <f>C7/C14</f>
        <v>0.10606575688407557</v>
      </c>
      <c r="G11" s="2">
        <f>E11-F11</f>
        <v>0.33333892064958848</v>
      </c>
    </row>
    <row r="12" spans="1:7">
      <c r="A12" t="s">
        <v>19</v>
      </c>
      <c r="B12" s="1">
        <v>22750</v>
      </c>
      <c r="C12">
        <v>19081</v>
      </c>
      <c r="D12" t="s">
        <v>26</v>
      </c>
      <c r="E12" s="2">
        <f>B8/B13</f>
        <v>0.69244729861789756</v>
      </c>
      <c r="F12" s="2">
        <f>C8/C13</f>
        <v>0.19763811592235644</v>
      </c>
      <c r="G12" s="2">
        <f>E12-F12</f>
        <v>0.49480918269554108</v>
      </c>
    </row>
    <row r="13" spans="1:7">
      <c r="A13" t="s">
        <v>21</v>
      </c>
      <c r="B13" s="1">
        <v>42978</v>
      </c>
      <c r="C13">
        <v>22101</v>
      </c>
      <c r="D13" t="s">
        <v>27</v>
      </c>
      <c r="E13" s="3">
        <f>365/(B4/B15)</f>
        <v>115.99362252572048</v>
      </c>
      <c r="F13" s="3">
        <f>365/(C4/C15)</f>
        <v>67.828800137717337</v>
      </c>
      <c r="G13" s="3">
        <f t="shared" ref="G13:G16" si="0">E13-F13</f>
        <v>48.164822388003145</v>
      </c>
    </row>
    <row r="14" spans="1:7">
      <c r="A14" t="s">
        <v>24</v>
      </c>
      <c r="B14" s="1">
        <v>67728</v>
      </c>
      <c r="C14">
        <v>41182</v>
      </c>
      <c r="D14" t="s">
        <v>28</v>
      </c>
      <c r="E14" s="3">
        <f>365/(B3/B17)</f>
        <v>59.906683956534579</v>
      </c>
      <c r="F14" s="3">
        <f>365/(C3/C17)</f>
        <v>51.785237636242307</v>
      </c>
      <c r="G14" s="3">
        <f t="shared" si="0"/>
        <v>8.1214463202922715</v>
      </c>
    </row>
    <row r="15" spans="1:7">
      <c r="A15" t="s">
        <v>34</v>
      </c>
      <c r="B15" s="1">
        <v>5282</v>
      </c>
      <c r="C15">
        <v>2159</v>
      </c>
      <c r="D15" t="s">
        <v>29</v>
      </c>
      <c r="E15" s="3">
        <f>365/(B18/B19)</f>
        <v>1.8978706747747234E-2</v>
      </c>
      <c r="F15" s="3">
        <f>365/(C18/C19)</f>
        <v>0.11255316256176989</v>
      </c>
      <c r="G15" s="3">
        <f t="shared" si="0"/>
        <v>-9.3574455814022656E-2</v>
      </c>
    </row>
    <row r="16" spans="1:7">
      <c r="A16" t="s">
        <v>35</v>
      </c>
      <c r="B16" s="1">
        <v>2159</v>
      </c>
      <c r="C16">
        <v>1826</v>
      </c>
      <c r="D16" t="s">
        <v>30</v>
      </c>
      <c r="E16" s="3">
        <f>E13+E14-E15</f>
        <v>175.88132777550732</v>
      </c>
      <c r="F16" s="3">
        <f>F13+F14-F15</f>
        <v>119.50148461139787</v>
      </c>
      <c r="G16" s="3">
        <f t="shared" si="0"/>
        <v>56.379843164109445</v>
      </c>
    </row>
    <row r="17" spans="1:7">
      <c r="A17" t="s">
        <v>31</v>
      </c>
      <c r="B17" s="1">
        <v>9999</v>
      </c>
      <c r="C17">
        <v>3827</v>
      </c>
      <c r="E17" s="3"/>
      <c r="F17" s="3"/>
      <c r="G17" s="3"/>
    </row>
    <row r="18" spans="1:7">
      <c r="A18" t="s">
        <v>32</v>
      </c>
      <c r="B18">
        <f>B4*(B15-B16)</f>
        <v>51907383</v>
      </c>
      <c r="C18">
        <f>C4*(C15-C16)</f>
        <v>3868794</v>
      </c>
      <c r="E18" s="2"/>
      <c r="F18" s="2"/>
    </row>
    <row r="19" spans="1:7">
      <c r="A19" t="s">
        <v>33</v>
      </c>
      <c r="B19" s="1">
        <v>2699</v>
      </c>
      <c r="C19">
        <v>1193</v>
      </c>
      <c r="E19" s="2"/>
      <c r="F19" s="2"/>
    </row>
    <row r="20" spans="1:7">
      <c r="E20" s="2"/>
      <c r="F20" s="2"/>
    </row>
    <row r="21" spans="1:7">
      <c r="E21" s="2"/>
      <c r="F21" s="2"/>
    </row>
    <row r="22" spans="1:7">
      <c r="E22" s="2"/>
      <c r="F22" s="2"/>
    </row>
    <row r="23" spans="1:7">
      <c r="E23" s="2"/>
      <c r="F23" s="2"/>
    </row>
    <row r="24" spans="1:7">
      <c r="E24" s="2"/>
      <c r="F24" s="2"/>
    </row>
    <row r="25" spans="1:7">
      <c r="E25" s="2"/>
      <c r="F25" s="2"/>
    </row>
    <row r="26" spans="1:7">
      <c r="E26" s="2"/>
      <c r="F26" s="2"/>
    </row>
    <row r="27" spans="1:7">
      <c r="E27" s="2"/>
      <c r="F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2024-10-04T20:20:52Z</dcterms:created>
  <dcterms:modified xsi:type="dcterms:W3CDTF">2024-10-07T15:38:23Z</dcterms:modified>
</cp:coreProperties>
</file>