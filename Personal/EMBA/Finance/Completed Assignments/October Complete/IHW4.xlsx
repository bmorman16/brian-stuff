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EMBA\Finance\"/>
    </mc:Choice>
  </mc:AlternateContent>
  <xr:revisionPtr revIDLastSave="0" documentId="13_ncr:1_{A914F5A8-2282-4B31-84C7-922CFAEE276E}" xr6:coauthVersionLast="47" xr6:coauthVersionMax="47" xr10:uidLastSave="{00000000-0000-0000-0000-000000000000}"/>
  <bookViews>
    <workbookView xWindow="-120" yWindow="-120" windowWidth="29040" windowHeight="15840" xr2:uid="{56E46F3E-FE05-4893-93F1-00FCA299D27C}"/>
  </bookViews>
  <sheets>
    <sheet name="Ledger" sheetId="1" r:id="rId1"/>
    <sheet name="Balance Sheet" sheetId="2" r:id="rId2"/>
  </sheets>
  <definedNames>
    <definedName name="_xlnm._FilterDatabase" localSheetId="0" hidden="1">Ledger!$A$1:$F$50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2" l="1"/>
  <c r="E32" i="2"/>
  <c r="E36" i="2" s="1"/>
  <c r="E49" i="2" l="1"/>
  <c r="E20" i="2"/>
  <c r="E14" i="2"/>
  <c r="E18" i="2" s="1"/>
  <c r="E4" i="2"/>
  <c r="E3" i="2"/>
  <c r="E13" i="1"/>
  <c r="F7" i="1"/>
  <c r="F8" i="1" s="1"/>
  <c r="E21" i="2" s="1"/>
  <c r="E23" i="2" l="1"/>
  <c r="E24" i="2" s="1"/>
  <c r="E7" i="2"/>
  <c r="E11" i="2" s="1"/>
</calcChain>
</file>

<file path=xl/sharedStrings.xml><?xml version="1.0" encoding="utf-8"?>
<sst xmlns="http://schemas.openxmlformats.org/spreadsheetml/2006/main" count="193" uniqueCount="106">
  <si>
    <t>Date</t>
  </si>
  <si>
    <t>Accounts</t>
  </si>
  <si>
    <t>LF</t>
  </si>
  <si>
    <t>Debit</t>
  </si>
  <si>
    <t>Credit</t>
  </si>
  <si>
    <t>Cash (+A)</t>
  </si>
  <si>
    <t>Assets</t>
  </si>
  <si>
    <t>Ledger</t>
  </si>
  <si>
    <t>Folio ID</t>
  </si>
  <si>
    <t>Cash</t>
  </si>
  <si>
    <t>A1</t>
  </si>
  <si>
    <t>Accounts Receivable</t>
  </si>
  <si>
    <t>A2</t>
  </si>
  <si>
    <t>Inventory</t>
  </si>
  <si>
    <t>A3</t>
  </si>
  <si>
    <t>Prepaid Rent</t>
  </si>
  <si>
    <t>A4</t>
  </si>
  <si>
    <t>PP&amp;E</t>
  </si>
  <si>
    <t>A5</t>
  </si>
  <si>
    <t>Accumulated Depreciation</t>
  </si>
  <si>
    <t>A6</t>
  </si>
  <si>
    <t>Liabilities</t>
  </si>
  <si>
    <t>Accounts Payable</t>
  </si>
  <si>
    <t>L1</t>
  </si>
  <si>
    <t>Interest Payable</t>
  </si>
  <si>
    <t>L2</t>
  </si>
  <si>
    <t>Dividend Payable</t>
  </si>
  <si>
    <t>L3</t>
  </si>
  <si>
    <t>Notes payable</t>
  </si>
  <si>
    <t>L4</t>
  </si>
  <si>
    <t>Equity Accounts</t>
  </si>
  <si>
    <t>C/S at Par</t>
  </si>
  <si>
    <t>SE1</t>
  </si>
  <si>
    <t>APIC</t>
  </si>
  <si>
    <t>SE2</t>
  </si>
  <si>
    <t>Dividends</t>
  </si>
  <si>
    <t>SE3</t>
  </si>
  <si>
    <t>Revenue</t>
  </si>
  <si>
    <t>Sales Revenue</t>
  </si>
  <si>
    <t>SR</t>
  </si>
  <si>
    <t>Expense account</t>
  </si>
  <si>
    <t>Cost of goods sold (COGS)</t>
  </si>
  <si>
    <t>E1</t>
  </si>
  <si>
    <t>Rental Expense</t>
  </si>
  <si>
    <t>E2</t>
  </si>
  <si>
    <t>Depreciation expense</t>
  </si>
  <si>
    <t>E3</t>
  </si>
  <si>
    <t>Advertising Expense</t>
  </si>
  <si>
    <t>E4</t>
  </si>
  <si>
    <t>Interest expense</t>
  </si>
  <si>
    <t>E5</t>
  </si>
  <si>
    <t>Common Stock - Par (+SE)</t>
  </si>
  <si>
    <t>Stock Par Value</t>
  </si>
  <si>
    <t xml:space="preserve">Shares Authorized </t>
  </si>
  <si>
    <t>Additional Paid-in Capital (+SE)</t>
  </si>
  <si>
    <t>PP&amp;E (+A)</t>
  </si>
  <si>
    <t>Notes Payable (+L)</t>
  </si>
  <si>
    <t>Question</t>
  </si>
  <si>
    <t>Prepaid Rent (+A)</t>
  </si>
  <si>
    <t>Inventory (A+)</t>
  </si>
  <si>
    <t>Accounts Payable (+L)</t>
  </si>
  <si>
    <t xml:space="preserve">Current Assets </t>
  </si>
  <si>
    <t>Cash and Cash Equivalent</t>
  </si>
  <si>
    <t>Total Current Assets</t>
  </si>
  <si>
    <t>Current Liabilities</t>
  </si>
  <si>
    <t>Total Assets</t>
  </si>
  <si>
    <t>Notes Payable</t>
  </si>
  <si>
    <t>Shareholders' Equity</t>
  </si>
  <si>
    <t>Retained Earnings</t>
  </si>
  <si>
    <t>Total Stockholders Equity</t>
  </si>
  <si>
    <t>Total Liabilities and Stockholders equity</t>
  </si>
  <si>
    <t>Total Current Liabilities</t>
  </si>
  <si>
    <t>Additional Paid in Capital</t>
  </si>
  <si>
    <t>Non-Current Assets</t>
  </si>
  <si>
    <t>Accumulated Depretiation</t>
  </si>
  <si>
    <t>Pre Paid Rent</t>
  </si>
  <si>
    <t>Divident Payable</t>
  </si>
  <si>
    <t>Common Stock at Par</t>
  </si>
  <si>
    <t>6a</t>
  </si>
  <si>
    <t>Cash (A+)</t>
  </si>
  <si>
    <t>Revenue (SR+)</t>
  </si>
  <si>
    <t>6b</t>
  </si>
  <si>
    <t>Cost of Goods Sold (+E1)</t>
  </si>
  <si>
    <t>Inventory (-A3)</t>
  </si>
  <si>
    <t>Cash (-A1)</t>
  </si>
  <si>
    <t>Advertising Expense (+E4)</t>
  </si>
  <si>
    <t>Inventory (+A)</t>
  </si>
  <si>
    <t>Accounts receivable (+A)</t>
  </si>
  <si>
    <t>Revenue (+R)</t>
  </si>
  <si>
    <t>9a</t>
  </si>
  <si>
    <t>9b</t>
  </si>
  <si>
    <t>Cost of goods Sold (+E)</t>
  </si>
  <si>
    <t>Inventory (-A)</t>
  </si>
  <si>
    <t>10a</t>
  </si>
  <si>
    <t>Interest Expense (+E)</t>
  </si>
  <si>
    <t>Interest Payable (+L)</t>
  </si>
  <si>
    <t>10b</t>
  </si>
  <si>
    <t>Rental Expense (+E)</t>
  </si>
  <si>
    <t>Prepaid Rent (-A)</t>
  </si>
  <si>
    <t>10c</t>
  </si>
  <si>
    <t>Depretiation Expense (+E)</t>
  </si>
  <si>
    <t>Accumulated Depretiation (-A)</t>
  </si>
  <si>
    <t>Dividend Payable (+L)</t>
  </si>
  <si>
    <t>Dividends (-SE)</t>
  </si>
  <si>
    <t>Cash (-A)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</si>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</sst>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/>
    <xf numFmtId="0" fontId="4" fillId="0" borderId="4" xfId="0" applyFont="1" applyBorder="1" applyAlignment="1">
      <alignment horizontal="center" vertical="center" wrapText="1"/>
    </xf>
    <xf numFmtId="0" fontId="0" fillId="0" borderId="0" xfId="0" applyBorder="1"/>
    <xf numFmtId="0" fontId="0" fillId="0" borderId="8" xfId="0" applyBorder="1"/>
    <xf numFmtId="0" fontId="0" fillId="0" borderId="7" xfId="0" applyBorder="1"/>
    <xf numFmtId="14" fontId="0" fillId="0" borderId="7" xfId="0" applyNumberFormat="1" applyBorder="1"/>
    <xf numFmtId="0" fontId="0" fillId="0" borderId="7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68" fontId="0" fillId="0" borderId="0" xfId="0" applyNumberFormat="1"/>
    <xf numFmtId="168" fontId="0" fillId="0" borderId="8" xfId="0" applyNumberFormat="1" applyBorder="1"/>
    <xf numFmtId="168" fontId="0" fillId="0" borderId="9" xfId="0" applyNumberFormat="1" applyBorder="1"/>
    <xf numFmtId="0" fontId="1" fillId="0" borderId="0" xfId="0" applyFont="1" applyBorder="1" applyAlignment="1"/>
    <xf numFmtId="14" fontId="1" fillId="0" borderId="0" xfId="0" applyNumberFormat="1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8" fontId="1" fillId="0" borderId="0" xfId="0" applyNumberFormat="1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33C9-2B30-466A-A42D-A2E3C83858FC}">
  <dimension ref="A1:S99"/>
  <sheetViews>
    <sheetView tabSelected="1" workbookViewId="0">
      <selection activeCell="G55" sqref="G55"/>
    </sheetView>
  </sheetViews>
  <sheetFormatPr defaultRowHeight="15" x14ac:dyDescent="0.25"/>
  <cols>
    <col min="2" max="2" width="9.7109375" bestFit="1" customWidth="1"/>
    <col min="3" max="3" width="29" bestFit="1" customWidth="1"/>
    <col min="12" max="12" width="21.7109375" bestFit="1" customWidth="1"/>
    <col min="15" max="15" width="22.140625" bestFit="1" customWidth="1"/>
    <col min="18" max="18" width="15.7109375" bestFit="1" customWidth="1"/>
  </cols>
  <sheetData>
    <row r="1" spans="1:19" ht="15.75" thickBot="1" x14ac:dyDescent="0.3">
      <c r="A1" s="12" t="s">
        <v>57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L1" s="4" t="s">
        <v>6</v>
      </c>
      <c r="M1" s="1" t="s">
        <v>7</v>
      </c>
      <c r="O1" s="4" t="s">
        <v>30</v>
      </c>
      <c r="P1" s="1" t="s">
        <v>7</v>
      </c>
      <c r="R1" s="6" t="s">
        <v>52</v>
      </c>
      <c r="S1" s="9">
        <v>0.25</v>
      </c>
    </row>
    <row r="2" spans="1:19" ht="15.75" thickBot="1" x14ac:dyDescent="0.3">
      <c r="A2" s="14">
        <v>1</v>
      </c>
      <c r="B2" s="13">
        <v>40330</v>
      </c>
      <c r="C2" s="12" t="s">
        <v>5</v>
      </c>
      <c r="D2" s="12" t="s">
        <v>10</v>
      </c>
      <c r="E2" s="12">
        <v>20000</v>
      </c>
      <c r="F2" s="12">
        <v>0</v>
      </c>
      <c r="L2" s="5"/>
      <c r="M2" s="2" t="s">
        <v>8</v>
      </c>
      <c r="O2" s="5"/>
      <c r="P2" s="2" t="s">
        <v>8</v>
      </c>
      <c r="R2" s="3" t="s">
        <v>53</v>
      </c>
      <c r="S2" s="2">
        <v>25000</v>
      </c>
    </row>
    <row r="3" spans="1:19" ht="15.75" thickBot="1" x14ac:dyDescent="0.3">
      <c r="A3" s="14"/>
      <c r="B3" s="12"/>
      <c r="C3" s="12" t="s">
        <v>51</v>
      </c>
      <c r="D3" s="12" t="s">
        <v>32</v>
      </c>
      <c r="E3" s="12">
        <v>0</v>
      </c>
      <c r="F3" s="12">
        <v>2500</v>
      </c>
      <c r="L3" s="3" t="s">
        <v>9</v>
      </c>
      <c r="M3" s="2" t="s">
        <v>10</v>
      </c>
      <c r="O3" s="3" t="s">
        <v>31</v>
      </c>
      <c r="P3" s="2" t="s">
        <v>32</v>
      </c>
    </row>
    <row r="4" spans="1:19" ht="15.75" thickBot="1" x14ac:dyDescent="0.3">
      <c r="A4" s="14"/>
      <c r="B4" s="12"/>
      <c r="C4" s="12" t="s">
        <v>54</v>
      </c>
      <c r="D4" s="12" t="s">
        <v>34</v>
      </c>
      <c r="E4" s="12">
        <v>0</v>
      </c>
      <c r="F4" s="12">
        <v>17500</v>
      </c>
      <c r="L4" s="3" t="s">
        <v>11</v>
      </c>
      <c r="M4" s="2" t="s">
        <v>12</v>
      </c>
      <c r="O4" s="3" t="s">
        <v>33</v>
      </c>
      <c r="P4" s="2" t="s">
        <v>34</v>
      </c>
    </row>
    <row r="5" spans="1:19" ht="15.75" thickBot="1" x14ac:dyDescent="0.3">
      <c r="A5" s="14"/>
      <c r="B5" s="12"/>
      <c r="C5" s="12"/>
      <c r="D5" s="12" t="s">
        <v>105</v>
      </c>
      <c r="E5" s="12"/>
      <c r="F5" s="12"/>
      <c r="L5" s="3" t="s">
        <v>13</v>
      </c>
      <c r="M5" s="2" t="s">
        <v>14</v>
      </c>
      <c r="O5" s="3" t="s">
        <v>35</v>
      </c>
      <c r="P5" s="2" t="s">
        <v>36</v>
      </c>
    </row>
    <row r="6" spans="1:19" ht="15.75" thickBot="1" x14ac:dyDescent="0.3">
      <c r="A6" s="14">
        <v>2</v>
      </c>
      <c r="B6" s="13">
        <v>40330</v>
      </c>
      <c r="C6" s="12" t="s">
        <v>55</v>
      </c>
      <c r="D6" s="12" t="s">
        <v>18</v>
      </c>
      <c r="E6" s="12">
        <v>10000</v>
      </c>
      <c r="F6" s="12">
        <v>0</v>
      </c>
      <c r="L6" s="3" t="s">
        <v>15</v>
      </c>
      <c r="M6" s="2" t="s">
        <v>16</v>
      </c>
    </row>
    <row r="7" spans="1:19" ht="15.75" thickBot="1" x14ac:dyDescent="0.3">
      <c r="A7" s="14"/>
      <c r="B7" s="12"/>
      <c r="C7" s="12" t="s">
        <v>51</v>
      </c>
      <c r="D7" s="12" t="s">
        <v>32</v>
      </c>
      <c r="E7" s="12">
        <v>0</v>
      </c>
      <c r="F7" s="12">
        <f>5000*0.25</f>
        <v>1250</v>
      </c>
      <c r="L7" s="3" t="s">
        <v>17</v>
      </c>
      <c r="M7" s="2" t="s">
        <v>18</v>
      </c>
      <c r="O7" s="6" t="s">
        <v>37</v>
      </c>
      <c r="P7" s="9"/>
    </row>
    <row r="8" spans="1:19" ht="15.75" thickBot="1" x14ac:dyDescent="0.3">
      <c r="A8" s="14"/>
      <c r="B8" s="12"/>
      <c r="C8" s="12" t="s">
        <v>54</v>
      </c>
      <c r="D8" s="12" t="s">
        <v>34</v>
      </c>
      <c r="E8" s="12">
        <v>0</v>
      </c>
      <c r="F8" s="12">
        <f>10000-F7</f>
        <v>8750</v>
      </c>
      <c r="L8" s="3" t="s">
        <v>19</v>
      </c>
      <c r="M8" s="2" t="s">
        <v>20</v>
      </c>
      <c r="O8" s="3" t="s">
        <v>38</v>
      </c>
      <c r="P8" s="2" t="s">
        <v>39</v>
      </c>
    </row>
    <row r="9" spans="1:19" ht="15.75" thickBot="1" x14ac:dyDescent="0.3">
      <c r="A9" s="14"/>
      <c r="B9" s="12"/>
      <c r="C9" s="12"/>
      <c r="D9" s="12" t="s">
        <v>105</v>
      </c>
      <c r="E9" s="12"/>
      <c r="F9" s="12"/>
    </row>
    <row r="10" spans="1:19" ht="15.75" thickBot="1" x14ac:dyDescent="0.3">
      <c r="A10" s="14">
        <v>3</v>
      </c>
      <c r="B10" s="13">
        <v>40330</v>
      </c>
      <c r="C10" s="12" t="s">
        <v>5</v>
      </c>
      <c r="D10" s="12" t="s">
        <v>10</v>
      </c>
      <c r="E10" s="12">
        <v>12000</v>
      </c>
      <c r="F10" s="12">
        <v>0</v>
      </c>
      <c r="L10" s="6" t="s">
        <v>21</v>
      </c>
      <c r="M10" s="7"/>
      <c r="O10" s="6" t="s">
        <v>40</v>
      </c>
      <c r="P10" s="9"/>
    </row>
    <row r="11" spans="1:19" ht="15.75" thickBot="1" x14ac:dyDescent="0.3">
      <c r="A11" s="14"/>
      <c r="B11" s="12"/>
      <c r="C11" s="12" t="s">
        <v>56</v>
      </c>
      <c r="D11" s="12" t="s">
        <v>29</v>
      </c>
      <c r="E11" s="12">
        <v>0</v>
      </c>
      <c r="F11" s="12">
        <v>12000</v>
      </c>
      <c r="L11" s="3" t="s">
        <v>22</v>
      </c>
      <c r="M11" s="2" t="s">
        <v>23</v>
      </c>
      <c r="O11" s="3" t="s">
        <v>41</v>
      </c>
      <c r="P11" s="2" t="s">
        <v>42</v>
      </c>
    </row>
    <row r="12" spans="1:19" ht="15.75" thickBot="1" x14ac:dyDescent="0.3">
      <c r="A12" s="14"/>
      <c r="B12" s="12"/>
      <c r="C12" s="12"/>
      <c r="D12" s="12" t="s">
        <v>105</v>
      </c>
      <c r="E12" s="12"/>
      <c r="F12" s="12"/>
      <c r="L12" s="3" t="s">
        <v>24</v>
      </c>
      <c r="M12" s="2" t="s">
        <v>25</v>
      </c>
      <c r="O12" s="3" t="s">
        <v>43</v>
      </c>
      <c r="P12" s="2" t="s">
        <v>44</v>
      </c>
    </row>
    <row r="13" spans="1:19" ht="15.75" thickBot="1" x14ac:dyDescent="0.3">
      <c r="A13" s="14">
        <v>4</v>
      </c>
      <c r="B13" s="13">
        <v>40330</v>
      </c>
      <c r="C13" s="12" t="s">
        <v>58</v>
      </c>
      <c r="D13" s="12" t="s">
        <v>16</v>
      </c>
      <c r="E13" s="12">
        <f>500*12</f>
        <v>6000</v>
      </c>
      <c r="F13" s="12">
        <v>0</v>
      </c>
      <c r="L13" s="3" t="s">
        <v>26</v>
      </c>
      <c r="M13" s="2" t="s">
        <v>27</v>
      </c>
      <c r="O13" s="3" t="s">
        <v>45</v>
      </c>
      <c r="P13" s="2" t="s">
        <v>46</v>
      </c>
    </row>
    <row r="14" spans="1:19" ht="15.75" thickBot="1" x14ac:dyDescent="0.3">
      <c r="A14" s="14"/>
      <c r="B14" s="12"/>
      <c r="C14" s="12" t="s">
        <v>104</v>
      </c>
      <c r="D14" s="12" t="s">
        <v>10</v>
      </c>
      <c r="E14" s="12">
        <v>0</v>
      </c>
      <c r="F14" s="12">
        <v>6000</v>
      </c>
      <c r="L14" s="3" t="s">
        <v>28</v>
      </c>
      <c r="M14" s="2" t="s">
        <v>29</v>
      </c>
      <c r="O14" s="3" t="s">
        <v>47</v>
      </c>
      <c r="P14" s="2" t="s">
        <v>48</v>
      </c>
    </row>
    <row r="15" spans="1:19" ht="15.75" thickBot="1" x14ac:dyDescent="0.3">
      <c r="A15" s="14"/>
      <c r="B15" s="12"/>
      <c r="C15" s="12"/>
      <c r="D15" s="12" t="s">
        <v>105</v>
      </c>
      <c r="E15" s="12"/>
      <c r="F15" s="12"/>
      <c r="O15" s="3" t="s">
        <v>49</v>
      </c>
      <c r="P15" s="2" t="s">
        <v>50</v>
      </c>
    </row>
    <row r="16" spans="1:19" x14ac:dyDescent="0.25">
      <c r="A16" s="14">
        <v>5</v>
      </c>
      <c r="B16" s="13">
        <v>40330</v>
      </c>
      <c r="C16" s="12" t="s">
        <v>59</v>
      </c>
      <c r="D16" s="12" t="s">
        <v>14</v>
      </c>
      <c r="E16" s="12">
        <v>2000</v>
      </c>
      <c r="F16" s="12"/>
    </row>
    <row r="17" spans="1:6" x14ac:dyDescent="0.25">
      <c r="A17" s="14"/>
      <c r="B17" s="12"/>
      <c r="C17" s="12" t="s">
        <v>60</v>
      </c>
      <c r="D17" s="12" t="s">
        <v>10</v>
      </c>
      <c r="E17" s="12"/>
      <c r="F17" s="12">
        <v>2000</v>
      </c>
    </row>
    <row r="18" spans="1:6" x14ac:dyDescent="0.25">
      <c r="A18" s="14"/>
      <c r="B18" s="12"/>
      <c r="C18" s="12"/>
      <c r="D18" s="12" t="s">
        <v>105</v>
      </c>
      <c r="E18" s="12"/>
      <c r="F18" s="12"/>
    </row>
    <row r="19" spans="1:6" x14ac:dyDescent="0.25">
      <c r="A19" s="14" t="s">
        <v>78</v>
      </c>
      <c r="B19" s="13">
        <v>40332</v>
      </c>
      <c r="C19" s="12" t="s">
        <v>79</v>
      </c>
      <c r="D19" s="12" t="s">
        <v>10</v>
      </c>
      <c r="E19" s="12">
        <v>1000</v>
      </c>
      <c r="F19" s="12"/>
    </row>
    <row r="20" spans="1:6" x14ac:dyDescent="0.25">
      <c r="A20" s="14"/>
      <c r="B20" s="12"/>
      <c r="C20" s="12" t="s">
        <v>80</v>
      </c>
      <c r="D20" s="12" t="s">
        <v>39</v>
      </c>
      <c r="E20" s="12"/>
      <c r="F20" s="12">
        <v>1000</v>
      </c>
    </row>
    <row r="21" spans="1:6" x14ac:dyDescent="0.25">
      <c r="A21" s="14"/>
      <c r="B21" s="12"/>
      <c r="C21" s="12"/>
      <c r="D21" s="12" t="s">
        <v>105</v>
      </c>
      <c r="E21" s="12"/>
      <c r="F21" s="12"/>
    </row>
    <row r="22" spans="1:6" x14ac:dyDescent="0.25">
      <c r="A22" s="14" t="s">
        <v>81</v>
      </c>
      <c r="B22" s="13">
        <v>40332</v>
      </c>
      <c r="C22" s="12" t="s">
        <v>82</v>
      </c>
      <c r="D22" s="12" t="s">
        <v>42</v>
      </c>
      <c r="E22" s="12">
        <v>100</v>
      </c>
      <c r="F22" s="12"/>
    </row>
    <row r="23" spans="1:6" x14ac:dyDescent="0.25">
      <c r="A23" s="14"/>
      <c r="B23" s="12"/>
      <c r="C23" s="12" t="s">
        <v>83</v>
      </c>
      <c r="D23" s="12" t="s">
        <v>14</v>
      </c>
      <c r="E23" s="12"/>
      <c r="F23" s="12">
        <v>100</v>
      </c>
    </row>
    <row r="24" spans="1:6" x14ac:dyDescent="0.25">
      <c r="A24" s="14"/>
      <c r="B24" s="12"/>
      <c r="C24" s="12"/>
      <c r="D24" s="12" t="s">
        <v>105</v>
      </c>
      <c r="E24" s="12"/>
      <c r="F24" s="12"/>
    </row>
    <row r="25" spans="1:6" x14ac:dyDescent="0.25">
      <c r="A25" s="14">
        <v>7</v>
      </c>
      <c r="B25" s="13">
        <v>40332</v>
      </c>
      <c r="C25" s="12" t="s">
        <v>85</v>
      </c>
      <c r="D25" s="12" t="s">
        <v>48</v>
      </c>
      <c r="E25" s="12">
        <v>300</v>
      </c>
      <c r="F25" s="12"/>
    </row>
    <row r="26" spans="1:6" x14ac:dyDescent="0.25">
      <c r="A26" s="14"/>
      <c r="B26" s="12"/>
      <c r="C26" s="12" t="s">
        <v>84</v>
      </c>
      <c r="D26" s="12" t="s">
        <v>10</v>
      </c>
      <c r="E26" s="12"/>
      <c r="F26" s="12">
        <v>75</v>
      </c>
    </row>
    <row r="27" spans="1:6" x14ac:dyDescent="0.25">
      <c r="A27" s="14"/>
      <c r="B27" s="12"/>
      <c r="C27" s="12" t="s">
        <v>60</v>
      </c>
      <c r="D27" s="12" t="s">
        <v>23</v>
      </c>
      <c r="E27" s="12"/>
      <c r="F27" s="12">
        <v>225</v>
      </c>
    </row>
    <row r="28" spans="1:6" x14ac:dyDescent="0.25">
      <c r="A28" s="12"/>
      <c r="B28" s="12"/>
      <c r="C28" s="12"/>
      <c r="D28" s="12" t="s">
        <v>105</v>
      </c>
      <c r="E28" s="12"/>
      <c r="F28" s="12"/>
    </row>
    <row r="29" spans="1:6" x14ac:dyDescent="0.25">
      <c r="A29" s="12">
        <v>8</v>
      </c>
      <c r="B29" s="13">
        <v>40338</v>
      </c>
      <c r="C29" s="12" t="s">
        <v>86</v>
      </c>
      <c r="D29" s="12" t="s">
        <v>14</v>
      </c>
      <c r="E29" s="12">
        <v>90</v>
      </c>
      <c r="F29" s="12"/>
    </row>
    <row r="30" spans="1:6" x14ac:dyDescent="0.25">
      <c r="A30" s="12"/>
      <c r="B30" s="12"/>
      <c r="C30" s="12" t="s">
        <v>60</v>
      </c>
      <c r="D30" s="12" t="s">
        <v>23</v>
      </c>
      <c r="E30" s="12"/>
      <c r="F30" s="12">
        <v>90</v>
      </c>
    </row>
    <row r="31" spans="1:6" x14ac:dyDescent="0.25">
      <c r="A31" s="12"/>
      <c r="B31" s="12"/>
      <c r="C31" s="12"/>
      <c r="D31" s="12" t="s">
        <v>105</v>
      </c>
      <c r="E31" s="12"/>
      <c r="F31" s="12"/>
    </row>
    <row r="32" spans="1:6" x14ac:dyDescent="0.25">
      <c r="A32" s="12" t="s">
        <v>89</v>
      </c>
      <c r="B32" s="13">
        <v>40339</v>
      </c>
      <c r="C32" s="12" t="s">
        <v>5</v>
      </c>
      <c r="D32" s="12" t="s">
        <v>10</v>
      </c>
      <c r="E32" s="12">
        <v>250</v>
      </c>
      <c r="F32" s="12"/>
    </row>
    <row r="33" spans="1:6" x14ac:dyDescent="0.25">
      <c r="A33" s="12"/>
      <c r="B33" s="12"/>
      <c r="C33" s="12" t="s">
        <v>87</v>
      </c>
      <c r="D33" s="12" t="s">
        <v>12</v>
      </c>
      <c r="E33" s="12">
        <v>250</v>
      </c>
      <c r="F33" s="12"/>
    </row>
    <row r="34" spans="1:6" x14ac:dyDescent="0.25">
      <c r="A34" s="12"/>
      <c r="B34" s="12"/>
      <c r="C34" s="12" t="s">
        <v>88</v>
      </c>
      <c r="D34" s="12" t="s">
        <v>39</v>
      </c>
      <c r="E34" s="12"/>
      <c r="F34" s="12">
        <v>500</v>
      </c>
    </row>
    <row r="35" spans="1:6" x14ac:dyDescent="0.25">
      <c r="A35" s="12"/>
      <c r="B35" s="12"/>
      <c r="C35" s="12"/>
      <c r="D35" s="12" t="s">
        <v>105</v>
      </c>
      <c r="E35" s="12"/>
      <c r="F35" s="12"/>
    </row>
    <row r="36" spans="1:6" x14ac:dyDescent="0.25">
      <c r="A36" s="12" t="s">
        <v>90</v>
      </c>
      <c r="B36" s="13">
        <v>40339</v>
      </c>
      <c r="C36" s="12" t="s">
        <v>91</v>
      </c>
      <c r="D36" s="12" t="s">
        <v>42</v>
      </c>
      <c r="E36" s="12">
        <v>90</v>
      </c>
      <c r="F36" s="12"/>
    </row>
    <row r="37" spans="1:6" x14ac:dyDescent="0.25">
      <c r="A37" s="12"/>
      <c r="B37" s="12"/>
      <c r="C37" s="12" t="s">
        <v>92</v>
      </c>
      <c r="D37" s="12" t="s">
        <v>14</v>
      </c>
      <c r="E37" s="12"/>
      <c r="F37" s="12">
        <v>90</v>
      </c>
    </row>
    <row r="38" spans="1:6" x14ac:dyDescent="0.25">
      <c r="A38" s="12"/>
      <c r="B38" s="12"/>
      <c r="C38" s="12"/>
      <c r="D38" s="12" t="s">
        <v>105</v>
      </c>
      <c r="E38" s="12"/>
      <c r="F38" s="12"/>
    </row>
    <row r="39" spans="1:6" x14ac:dyDescent="0.25">
      <c r="A39" s="12" t="s">
        <v>93</v>
      </c>
      <c r="B39" s="13">
        <v>40359</v>
      </c>
      <c r="C39" s="12" t="s">
        <v>94</v>
      </c>
      <c r="D39" s="12" t="s">
        <v>50</v>
      </c>
      <c r="E39" s="12">
        <v>100</v>
      </c>
      <c r="F39" s="12"/>
    </row>
    <row r="40" spans="1:6" ht="14.25" customHeight="1" x14ac:dyDescent="0.25">
      <c r="A40" s="12"/>
      <c r="B40" s="12"/>
      <c r="C40" s="12" t="s">
        <v>95</v>
      </c>
      <c r="D40" s="12" t="s">
        <v>25</v>
      </c>
      <c r="E40" s="12"/>
      <c r="F40" s="12">
        <v>100</v>
      </c>
    </row>
    <row r="41" spans="1:6" x14ac:dyDescent="0.25">
      <c r="A41" s="12"/>
      <c r="B41" s="12"/>
      <c r="C41" s="12"/>
      <c r="D41" s="12" t="s">
        <v>105</v>
      </c>
      <c r="E41" s="12"/>
      <c r="F41" s="12"/>
    </row>
    <row r="42" spans="1:6" x14ac:dyDescent="0.25">
      <c r="A42" s="12" t="s">
        <v>96</v>
      </c>
      <c r="B42" s="13">
        <v>40359</v>
      </c>
      <c r="C42" s="12" t="s">
        <v>97</v>
      </c>
      <c r="D42" s="12" t="s">
        <v>44</v>
      </c>
      <c r="E42" s="12">
        <v>500</v>
      </c>
      <c r="F42" s="12"/>
    </row>
    <row r="43" spans="1:6" x14ac:dyDescent="0.25">
      <c r="A43" s="12"/>
      <c r="B43" s="12"/>
      <c r="C43" s="12" t="s">
        <v>98</v>
      </c>
      <c r="D43" s="12" t="s">
        <v>16</v>
      </c>
      <c r="E43" s="12"/>
      <c r="F43" s="12">
        <v>500</v>
      </c>
    </row>
    <row r="44" spans="1:6" x14ac:dyDescent="0.25">
      <c r="A44" s="12"/>
      <c r="B44" s="12"/>
      <c r="C44" s="12"/>
      <c r="D44" s="12" t="s">
        <v>105</v>
      </c>
      <c r="E44" s="12"/>
      <c r="F44" s="12"/>
    </row>
    <row r="45" spans="1:6" x14ac:dyDescent="0.25">
      <c r="A45" s="12" t="s">
        <v>99</v>
      </c>
      <c r="B45" s="13">
        <v>40359</v>
      </c>
      <c r="C45" s="12" t="s">
        <v>100</v>
      </c>
      <c r="D45" s="12" t="s">
        <v>46</v>
      </c>
      <c r="E45" s="12">
        <v>56</v>
      </c>
      <c r="F45" s="12"/>
    </row>
    <row r="46" spans="1:6" x14ac:dyDescent="0.25">
      <c r="A46" s="12"/>
      <c r="B46" s="12"/>
      <c r="C46" s="12" t="s">
        <v>101</v>
      </c>
      <c r="D46" s="12" t="s">
        <v>20</v>
      </c>
      <c r="E46" s="12"/>
      <c r="F46" s="12">
        <v>56</v>
      </c>
    </row>
    <row r="47" spans="1:6" x14ac:dyDescent="0.25">
      <c r="A47" s="12"/>
      <c r="B47" s="12"/>
      <c r="C47" s="12"/>
      <c r="D47" s="12" t="s">
        <v>105</v>
      </c>
      <c r="E47" s="12"/>
      <c r="F47" s="12"/>
    </row>
    <row r="48" spans="1:6" x14ac:dyDescent="0.25">
      <c r="A48" s="12">
        <v>11</v>
      </c>
      <c r="B48" s="13">
        <v>40374</v>
      </c>
      <c r="C48" s="12" t="s">
        <v>102</v>
      </c>
      <c r="D48" s="12" t="s">
        <v>27</v>
      </c>
      <c r="E48" s="12"/>
      <c r="F48" s="12">
        <v>150</v>
      </c>
    </row>
    <row r="49" spans="1:6" x14ac:dyDescent="0.25">
      <c r="A49" s="12"/>
      <c r="B49" s="12"/>
      <c r="C49" s="12" t="s">
        <v>103</v>
      </c>
      <c r="D49" s="12" t="s">
        <v>36</v>
      </c>
      <c r="E49" s="12">
        <v>150</v>
      </c>
      <c r="F49" s="12"/>
    </row>
    <row r="50" spans="1:6" x14ac:dyDescent="0.25">
      <c r="A50" s="12"/>
      <c r="B50" s="12"/>
      <c r="C50" s="12"/>
      <c r="D50" s="12" t="s">
        <v>105</v>
      </c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  <row r="61" spans="1:6" x14ac:dyDescent="0.25">
      <c r="A61" s="12"/>
      <c r="B61" s="12"/>
      <c r="C61" s="12"/>
      <c r="D61" s="12"/>
      <c r="E61" s="12"/>
      <c r="F61" s="12"/>
    </row>
    <row r="62" spans="1:6" x14ac:dyDescent="0.25">
      <c r="A62" s="12"/>
      <c r="B62" s="12"/>
      <c r="C62" s="12"/>
      <c r="D62" s="12"/>
      <c r="E62" s="12"/>
      <c r="F62" s="12"/>
    </row>
    <row r="63" spans="1:6" x14ac:dyDescent="0.25">
      <c r="A63" s="12"/>
      <c r="B63" s="12"/>
      <c r="C63" s="12"/>
      <c r="D63" s="12"/>
      <c r="E63" s="12"/>
      <c r="F63" s="12"/>
    </row>
    <row r="64" spans="1:6" x14ac:dyDescent="0.25">
      <c r="A64" s="12"/>
      <c r="B64" s="12"/>
      <c r="C64" s="12"/>
      <c r="D64" s="12"/>
      <c r="E64" s="12"/>
      <c r="F64" s="12"/>
    </row>
    <row r="65" spans="1:6" x14ac:dyDescent="0.25">
      <c r="A65" s="12"/>
      <c r="B65" s="12"/>
      <c r="C65" s="12"/>
      <c r="D65" s="12"/>
      <c r="E65" s="12"/>
      <c r="F65" s="12"/>
    </row>
    <row r="66" spans="1:6" x14ac:dyDescent="0.25">
      <c r="A66" s="12"/>
      <c r="B66" s="12"/>
      <c r="C66" s="12"/>
      <c r="D66" s="12"/>
      <c r="E66" s="12"/>
      <c r="F66" s="12"/>
    </row>
    <row r="67" spans="1:6" x14ac:dyDescent="0.25">
      <c r="A67" s="12"/>
      <c r="B67" s="12"/>
      <c r="C67" s="12"/>
      <c r="D67" s="12"/>
      <c r="E67" s="12"/>
      <c r="F67" s="12"/>
    </row>
    <row r="68" spans="1:6" x14ac:dyDescent="0.25">
      <c r="A68" s="12"/>
      <c r="B68" s="12"/>
      <c r="C68" s="12"/>
      <c r="D68" s="12"/>
      <c r="E68" s="12"/>
      <c r="F68" s="12"/>
    </row>
    <row r="69" spans="1:6" x14ac:dyDescent="0.25">
      <c r="A69" s="12"/>
      <c r="B69" s="12"/>
      <c r="C69" s="12"/>
      <c r="D69" s="12"/>
      <c r="E69" s="12"/>
      <c r="F69" s="12"/>
    </row>
    <row r="70" spans="1:6" x14ac:dyDescent="0.25">
      <c r="A70" s="12"/>
      <c r="B70" s="12"/>
      <c r="C70" s="12"/>
      <c r="D70" s="12"/>
      <c r="E70" s="12"/>
      <c r="F70" s="12"/>
    </row>
    <row r="71" spans="1:6" x14ac:dyDescent="0.25">
      <c r="A71" s="12"/>
      <c r="B71" s="12"/>
      <c r="C71" s="12"/>
      <c r="D71" s="12"/>
      <c r="E71" s="12"/>
      <c r="F71" s="12"/>
    </row>
    <row r="72" spans="1:6" x14ac:dyDescent="0.25">
      <c r="A72" s="12"/>
      <c r="B72" s="12"/>
      <c r="C72" s="12"/>
      <c r="D72" s="12"/>
      <c r="E72" s="12"/>
      <c r="F72" s="12"/>
    </row>
    <row r="73" spans="1:6" x14ac:dyDescent="0.25">
      <c r="A73" s="12"/>
      <c r="B73" s="12"/>
      <c r="C73" s="12"/>
      <c r="D73" s="12"/>
      <c r="E73" s="12"/>
      <c r="F73" s="12"/>
    </row>
    <row r="74" spans="1:6" x14ac:dyDescent="0.25">
      <c r="A74" s="12"/>
      <c r="B74" s="12"/>
      <c r="C74" s="12"/>
      <c r="D74" s="12"/>
      <c r="E74" s="12"/>
      <c r="F74" s="12"/>
    </row>
    <row r="75" spans="1:6" x14ac:dyDescent="0.25">
      <c r="A75" s="12"/>
      <c r="B75" s="12"/>
      <c r="C75" s="12"/>
      <c r="D75" s="12"/>
      <c r="E75" s="12"/>
      <c r="F75" s="12"/>
    </row>
    <row r="76" spans="1:6" x14ac:dyDescent="0.25">
      <c r="A76" s="12"/>
      <c r="B76" s="12"/>
      <c r="C76" s="12"/>
      <c r="D76" s="12"/>
      <c r="E76" s="12"/>
      <c r="F76" s="12"/>
    </row>
    <row r="77" spans="1:6" x14ac:dyDescent="0.25">
      <c r="A77" s="12"/>
      <c r="B77" s="12"/>
      <c r="C77" s="12"/>
      <c r="D77" s="12"/>
      <c r="E77" s="12"/>
      <c r="F77" s="12"/>
    </row>
    <row r="78" spans="1:6" x14ac:dyDescent="0.25">
      <c r="A78" s="12"/>
      <c r="B78" s="12"/>
      <c r="C78" s="12"/>
      <c r="D78" s="12"/>
      <c r="E78" s="12"/>
      <c r="F78" s="12"/>
    </row>
    <row r="79" spans="1:6" x14ac:dyDescent="0.25">
      <c r="A79" s="12"/>
      <c r="B79" s="12"/>
      <c r="C79" s="12"/>
      <c r="D79" s="12"/>
      <c r="E79" s="12"/>
      <c r="F79" s="12"/>
    </row>
    <row r="80" spans="1:6" x14ac:dyDescent="0.25">
      <c r="A80" s="12"/>
      <c r="B80" s="12"/>
      <c r="C80" s="12"/>
      <c r="D80" s="12"/>
      <c r="E80" s="12"/>
      <c r="F80" s="12"/>
    </row>
    <row r="81" spans="1:6" x14ac:dyDescent="0.25">
      <c r="A81" s="12"/>
      <c r="B81" s="12"/>
      <c r="C81" s="12"/>
      <c r="D81" s="12"/>
      <c r="E81" s="12"/>
      <c r="F81" s="12"/>
    </row>
    <row r="82" spans="1:6" x14ac:dyDescent="0.25">
      <c r="A82" s="12"/>
      <c r="B82" s="12"/>
      <c r="C82" s="12"/>
      <c r="D82" s="12"/>
      <c r="E82" s="12"/>
      <c r="F82" s="12"/>
    </row>
    <row r="83" spans="1:6" x14ac:dyDescent="0.25">
      <c r="A83" s="12"/>
      <c r="B83" s="12"/>
      <c r="C83" s="12"/>
      <c r="D83" s="12"/>
      <c r="E83" s="12"/>
      <c r="F83" s="12"/>
    </row>
    <row r="84" spans="1:6" x14ac:dyDescent="0.25">
      <c r="A84" s="12"/>
      <c r="B84" s="12"/>
      <c r="C84" s="12"/>
      <c r="D84" s="12"/>
      <c r="E84" s="12"/>
      <c r="F84" s="12"/>
    </row>
    <row r="85" spans="1:6" x14ac:dyDescent="0.25">
      <c r="A85" s="12"/>
      <c r="B85" s="12"/>
      <c r="C85" s="12"/>
      <c r="D85" s="12"/>
      <c r="E85" s="12"/>
      <c r="F85" s="12"/>
    </row>
    <row r="86" spans="1:6" x14ac:dyDescent="0.25">
      <c r="A86" s="12"/>
      <c r="B86" s="12"/>
      <c r="C86" s="12"/>
      <c r="D86" s="12"/>
      <c r="E86" s="12"/>
      <c r="F86" s="12"/>
    </row>
    <row r="87" spans="1:6" x14ac:dyDescent="0.25">
      <c r="A87" s="12"/>
      <c r="B87" s="12"/>
      <c r="C87" s="12"/>
      <c r="D87" s="12"/>
      <c r="E87" s="12"/>
      <c r="F87" s="12"/>
    </row>
    <row r="88" spans="1:6" x14ac:dyDescent="0.25">
      <c r="A88" s="12"/>
      <c r="B88" s="12"/>
      <c r="C88" s="12"/>
      <c r="D88" s="12"/>
      <c r="E88" s="12"/>
      <c r="F88" s="12"/>
    </row>
    <row r="89" spans="1:6" x14ac:dyDescent="0.25">
      <c r="A89" s="12"/>
      <c r="B89" s="12"/>
      <c r="C89" s="12"/>
      <c r="D89" s="12"/>
      <c r="E89" s="12"/>
      <c r="F89" s="12"/>
    </row>
    <row r="90" spans="1:6" x14ac:dyDescent="0.25">
      <c r="A90" s="12"/>
      <c r="B90" s="12"/>
      <c r="C90" s="12"/>
      <c r="D90" s="12"/>
      <c r="E90" s="12"/>
      <c r="F90" s="12"/>
    </row>
    <row r="91" spans="1:6" x14ac:dyDescent="0.25">
      <c r="A91" s="12"/>
      <c r="B91" s="12"/>
      <c r="C91" s="12"/>
      <c r="D91" s="12"/>
      <c r="E91" s="12"/>
      <c r="F91" s="12"/>
    </row>
    <row r="92" spans="1:6" x14ac:dyDescent="0.25">
      <c r="A92" s="12"/>
      <c r="B92" s="12"/>
      <c r="C92" s="12"/>
      <c r="D92" s="12"/>
      <c r="E92" s="12"/>
      <c r="F92" s="12"/>
    </row>
    <row r="93" spans="1:6" x14ac:dyDescent="0.25">
      <c r="A93" s="12"/>
      <c r="B93" s="12"/>
      <c r="C93" s="12"/>
      <c r="D93" s="12"/>
      <c r="E93" s="12"/>
      <c r="F93" s="12"/>
    </row>
    <row r="94" spans="1:6" x14ac:dyDescent="0.25">
      <c r="A94" s="12"/>
      <c r="B94" s="12"/>
      <c r="C94" s="12"/>
      <c r="D94" s="12"/>
      <c r="E94" s="12"/>
      <c r="F94" s="12"/>
    </row>
    <row r="95" spans="1:6" x14ac:dyDescent="0.25">
      <c r="A95" s="12"/>
      <c r="B95" s="12"/>
      <c r="C95" s="12"/>
      <c r="D95" s="12"/>
      <c r="E95" s="12"/>
      <c r="F95" s="12"/>
    </row>
    <row r="96" spans="1:6" x14ac:dyDescent="0.25">
      <c r="A96" s="12"/>
      <c r="B96" s="12"/>
      <c r="C96" s="12"/>
      <c r="D96" s="12"/>
      <c r="E96" s="12"/>
      <c r="F96" s="12"/>
    </row>
    <row r="97" spans="1:6" x14ac:dyDescent="0.25">
      <c r="A97" s="12"/>
      <c r="B97" s="12"/>
      <c r="C97" s="12"/>
      <c r="D97" s="12"/>
      <c r="E97" s="12"/>
      <c r="F97" s="12"/>
    </row>
    <row r="98" spans="1:6" x14ac:dyDescent="0.25">
      <c r="A98" s="12"/>
      <c r="B98" s="12"/>
      <c r="C98" s="12"/>
      <c r="D98" s="12"/>
      <c r="E98" s="12"/>
      <c r="F98" s="12"/>
    </row>
    <row r="99" spans="1:6" x14ac:dyDescent="0.25">
      <c r="A99" s="12"/>
      <c r="B99" s="12"/>
      <c r="C99" s="12"/>
      <c r="D99" s="12"/>
      <c r="E99" s="12"/>
      <c r="F99" s="12"/>
    </row>
  </sheetData>
  <autoFilter ref="A1:F50" xr:uid="{304733C9-2B30-466A-A42D-A2E3C83858FC}"/>
  <mergeCells count="2">
    <mergeCell ref="L1:L2"/>
    <mergeCell ref="O1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35D2-E5F7-4AB6-BCA5-D9FA43DD0C10}">
  <dimension ref="A1:E49"/>
  <sheetViews>
    <sheetView topLeftCell="A15" workbookViewId="0">
      <selection activeCell="E34" sqref="E34:E35"/>
    </sheetView>
  </sheetViews>
  <sheetFormatPr defaultRowHeight="15" x14ac:dyDescent="0.25"/>
  <cols>
    <col min="1" max="1" width="16.85546875" bestFit="1" customWidth="1"/>
    <col min="2" max="2" width="23.7109375" bestFit="1" customWidth="1"/>
    <col min="3" max="3" width="37" bestFit="1" customWidth="1"/>
    <col min="5" max="5" width="10.140625" bestFit="1" customWidth="1"/>
  </cols>
  <sheetData>
    <row r="1" spans="1:5" x14ac:dyDescent="0.25">
      <c r="A1" s="16" t="s">
        <v>6</v>
      </c>
      <c r="B1" s="15"/>
      <c r="C1" s="15"/>
      <c r="D1" s="15"/>
      <c r="E1" s="15"/>
    </row>
    <row r="2" spans="1:5" x14ac:dyDescent="0.25">
      <c r="A2" s="23" t="s">
        <v>61</v>
      </c>
      <c r="B2" s="23"/>
      <c r="C2" s="17"/>
      <c r="D2" s="17"/>
      <c r="E2" s="24">
        <v>40330</v>
      </c>
    </row>
    <row r="3" spans="1:5" x14ac:dyDescent="0.25">
      <c r="A3" s="10"/>
      <c r="B3" s="10" t="s">
        <v>62</v>
      </c>
      <c r="E3" s="20">
        <f>20000 + 12000 - 6000</f>
        <v>26000</v>
      </c>
    </row>
    <row r="4" spans="1:5" x14ac:dyDescent="0.25">
      <c r="A4" s="10"/>
      <c r="B4" s="10" t="s">
        <v>13</v>
      </c>
      <c r="E4" s="20">
        <f>40*50</f>
        <v>2000</v>
      </c>
    </row>
    <row r="5" spans="1:5" x14ac:dyDescent="0.25">
      <c r="A5" s="10"/>
      <c r="B5" s="10" t="s">
        <v>11</v>
      </c>
      <c r="E5" s="20">
        <v>0</v>
      </c>
    </row>
    <row r="6" spans="1:5" x14ac:dyDescent="0.25">
      <c r="A6" s="10"/>
      <c r="B6" s="28" t="s">
        <v>75</v>
      </c>
      <c r="E6" s="20">
        <v>6000</v>
      </c>
    </row>
    <row r="7" spans="1:5" x14ac:dyDescent="0.25">
      <c r="A7" s="10"/>
      <c r="B7" s="10"/>
      <c r="C7" s="19" t="s">
        <v>63</v>
      </c>
      <c r="D7" s="19"/>
      <c r="E7" s="21">
        <f>SUM(E3:E6)</f>
        <v>34000</v>
      </c>
    </row>
    <row r="8" spans="1:5" s="8" customFormat="1" x14ac:dyDescent="0.25">
      <c r="A8" s="25" t="s">
        <v>73</v>
      </c>
      <c r="B8" s="25"/>
      <c r="C8" s="26"/>
      <c r="D8" s="26"/>
      <c r="E8" s="27"/>
    </row>
    <row r="9" spans="1:5" x14ac:dyDescent="0.25">
      <c r="A9" s="10"/>
      <c r="B9" s="10" t="s">
        <v>17</v>
      </c>
      <c r="E9" s="20">
        <v>10000</v>
      </c>
    </row>
    <row r="10" spans="1:5" x14ac:dyDescent="0.25">
      <c r="A10" s="10"/>
      <c r="B10" s="10" t="s">
        <v>74</v>
      </c>
      <c r="C10" s="11"/>
      <c r="D10" s="11"/>
      <c r="E10" s="21">
        <v>0</v>
      </c>
    </row>
    <row r="11" spans="1:5" ht="15.75" thickBot="1" x14ac:dyDescent="0.3">
      <c r="A11" s="10"/>
      <c r="B11" s="10"/>
      <c r="C11" s="18" t="s">
        <v>65</v>
      </c>
      <c r="D11" s="18"/>
      <c r="E11" s="22">
        <f>SUM(E7:E10)</f>
        <v>44000</v>
      </c>
    </row>
    <row r="12" spans="1:5" ht="15.75" thickTop="1" x14ac:dyDescent="0.25">
      <c r="A12" s="16" t="s">
        <v>21</v>
      </c>
      <c r="B12" s="15"/>
      <c r="C12" s="15"/>
      <c r="D12" s="15"/>
      <c r="E12" s="15"/>
    </row>
    <row r="13" spans="1:5" x14ac:dyDescent="0.25">
      <c r="A13" s="17" t="s">
        <v>64</v>
      </c>
      <c r="B13" s="17"/>
      <c r="C13" s="17"/>
      <c r="D13" s="17"/>
    </row>
    <row r="14" spans="1:5" x14ac:dyDescent="0.25">
      <c r="B14" t="s">
        <v>22</v>
      </c>
      <c r="E14">
        <f>40*50</f>
        <v>2000</v>
      </c>
    </row>
    <row r="15" spans="1:5" x14ac:dyDescent="0.25">
      <c r="B15" t="s">
        <v>24</v>
      </c>
      <c r="E15">
        <v>0</v>
      </c>
    </row>
    <row r="16" spans="1:5" x14ac:dyDescent="0.25">
      <c r="B16" t="s">
        <v>66</v>
      </c>
      <c r="E16">
        <v>12000</v>
      </c>
    </row>
    <row r="17" spans="1:5" x14ac:dyDescent="0.25">
      <c r="B17" t="s">
        <v>76</v>
      </c>
      <c r="E17">
        <v>0</v>
      </c>
    </row>
    <row r="18" spans="1:5" x14ac:dyDescent="0.25">
      <c r="C18" s="19" t="s">
        <v>71</v>
      </c>
      <c r="D18" s="19"/>
      <c r="E18" s="11">
        <f>SUM(E14:E16)</f>
        <v>14000</v>
      </c>
    </row>
    <row r="19" spans="1:5" x14ac:dyDescent="0.25">
      <c r="A19" s="8" t="s">
        <v>67</v>
      </c>
    </row>
    <row r="20" spans="1:5" x14ac:dyDescent="0.25">
      <c r="B20" t="s">
        <v>77</v>
      </c>
      <c r="E20">
        <f>Ledger!F3+Ledger!F7</f>
        <v>3750</v>
      </c>
    </row>
    <row r="21" spans="1:5" x14ac:dyDescent="0.25">
      <c r="B21" t="s">
        <v>72</v>
      </c>
      <c r="E21">
        <f>Ledger!F4+Ledger!F8</f>
        <v>26250</v>
      </c>
    </row>
    <row r="22" spans="1:5" x14ac:dyDescent="0.25">
      <c r="B22" t="s">
        <v>68</v>
      </c>
      <c r="E22">
        <v>0</v>
      </c>
    </row>
    <row r="23" spans="1:5" x14ac:dyDescent="0.25">
      <c r="C23" t="s">
        <v>69</v>
      </c>
      <c r="E23" s="20">
        <f>E21+E20</f>
        <v>30000</v>
      </c>
    </row>
    <row r="24" spans="1:5" x14ac:dyDescent="0.25">
      <c r="C24" t="s">
        <v>70</v>
      </c>
      <c r="E24" s="20">
        <f>E23+E18</f>
        <v>44000</v>
      </c>
    </row>
    <row r="26" spans="1:5" x14ac:dyDescent="0.25">
      <c r="A26" s="16" t="s">
        <v>6</v>
      </c>
      <c r="B26" s="15"/>
      <c r="C26" s="15"/>
      <c r="D26" s="15"/>
      <c r="E26" s="15"/>
    </row>
    <row r="27" spans="1:5" x14ac:dyDescent="0.25">
      <c r="A27" s="23" t="s">
        <v>61</v>
      </c>
      <c r="B27" s="23"/>
      <c r="C27" s="17"/>
      <c r="D27" s="17"/>
      <c r="E27" s="24">
        <v>40359</v>
      </c>
    </row>
    <row r="28" spans="1:5" x14ac:dyDescent="0.25">
      <c r="A28" s="10"/>
      <c r="B28" s="10" t="s">
        <v>62</v>
      </c>
      <c r="E28" s="20">
        <v>27175</v>
      </c>
    </row>
    <row r="29" spans="1:5" x14ac:dyDescent="0.25">
      <c r="A29" s="10"/>
      <c r="B29" s="10" t="s">
        <v>13</v>
      </c>
      <c r="E29" s="20">
        <v>1900</v>
      </c>
    </row>
    <row r="30" spans="1:5" x14ac:dyDescent="0.25">
      <c r="A30" s="10"/>
      <c r="B30" s="10" t="s">
        <v>11</v>
      </c>
      <c r="E30" s="20">
        <v>250</v>
      </c>
    </row>
    <row r="31" spans="1:5" x14ac:dyDescent="0.25">
      <c r="A31" s="10"/>
      <c r="B31" s="28" t="s">
        <v>75</v>
      </c>
      <c r="E31" s="20">
        <v>5500</v>
      </c>
    </row>
    <row r="32" spans="1:5" x14ac:dyDescent="0.25">
      <c r="A32" s="10"/>
      <c r="B32" s="10"/>
      <c r="C32" s="19" t="s">
        <v>63</v>
      </c>
      <c r="D32" s="19"/>
      <c r="E32" s="21">
        <f>SUM(E28:E31)</f>
        <v>34825</v>
      </c>
    </row>
    <row r="33" spans="1:5" x14ac:dyDescent="0.25">
      <c r="A33" s="25" t="s">
        <v>73</v>
      </c>
      <c r="B33" s="25"/>
      <c r="C33" s="26"/>
      <c r="D33" s="26"/>
      <c r="E33" s="27"/>
    </row>
    <row r="34" spans="1:5" x14ac:dyDescent="0.25">
      <c r="A34" s="10"/>
      <c r="B34" s="10" t="s">
        <v>17</v>
      </c>
      <c r="E34" s="20">
        <v>10000</v>
      </c>
    </row>
    <row r="35" spans="1:5" x14ac:dyDescent="0.25">
      <c r="A35" s="10"/>
      <c r="B35" s="10" t="s">
        <v>74</v>
      </c>
      <c r="C35" s="11"/>
      <c r="D35" s="11"/>
      <c r="E35" s="21">
        <v>-56</v>
      </c>
    </row>
    <row r="36" spans="1:5" ht="15.75" thickBot="1" x14ac:dyDescent="0.3">
      <c r="A36" s="10"/>
      <c r="B36" s="10"/>
      <c r="C36" s="18" t="s">
        <v>65</v>
      </c>
      <c r="D36" s="18"/>
      <c r="E36" s="22">
        <f>SUM(E32:E35)</f>
        <v>44769</v>
      </c>
    </row>
    <row r="37" spans="1:5" ht="15.75" thickTop="1" x14ac:dyDescent="0.25">
      <c r="A37" s="16" t="s">
        <v>21</v>
      </c>
      <c r="B37" s="15"/>
      <c r="C37" s="15"/>
      <c r="D37" s="15"/>
      <c r="E37" s="15"/>
    </row>
    <row r="38" spans="1:5" x14ac:dyDescent="0.25">
      <c r="A38" s="17" t="s">
        <v>64</v>
      </c>
      <c r="B38" s="17"/>
      <c r="C38" s="17"/>
      <c r="D38" s="17"/>
    </row>
    <row r="39" spans="1:5" x14ac:dyDescent="0.25">
      <c r="B39" t="s">
        <v>22</v>
      </c>
      <c r="E39">
        <v>2315</v>
      </c>
    </row>
    <row r="40" spans="1:5" x14ac:dyDescent="0.25">
      <c r="B40" t="s">
        <v>24</v>
      </c>
      <c r="E40">
        <v>100</v>
      </c>
    </row>
    <row r="41" spans="1:5" x14ac:dyDescent="0.25">
      <c r="B41" t="s">
        <v>66</v>
      </c>
      <c r="E41">
        <v>1200</v>
      </c>
    </row>
    <row r="42" spans="1:5" x14ac:dyDescent="0.25">
      <c r="B42" t="s">
        <v>76</v>
      </c>
      <c r="E42">
        <v>150</v>
      </c>
    </row>
    <row r="43" spans="1:5" x14ac:dyDescent="0.25">
      <c r="C43" s="19" t="s">
        <v>71</v>
      </c>
      <c r="D43" s="19"/>
      <c r="E43" s="11">
        <v>14565</v>
      </c>
    </row>
    <row r="44" spans="1:5" x14ac:dyDescent="0.25">
      <c r="A44" s="8" t="s">
        <v>67</v>
      </c>
    </row>
    <row r="45" spans="1:5" x14ac:dyDescent="0.25">
      <c r="B45" t="s">
        <v>77</v>
      </c>
      <c r="E45">
        <v>3750</v>
      </c>
    </row>
    <row r="46" spans="1:5" x14ac:dyDescent="0.25">
      <c r="B46" t="s">
        <v>72</v>
      </c>
      <c r="E46">
        <v>26250</v>
      </c>
    </row>
    <row r="47" spans="1:5" x14ac:dyDescent="0.25">
      <c r="B47" t="s">
        <v>68</v>
      </c>
      <c r="E47">
        <v>204</v>
      </c>
    </row>
    <row r="48" spans="1:5" x14ac:dyDescent="0.25">
      <c r="C48" t="s">
        <v>69</v>
      </c>
      <c r="E48" s="20">
        <f>E46+E45+E47</f>
        <v>30204</v>
      </c>
    </row>
    <row r="49" spans="3:5" x14ac:dyDescent="0.25">
      <c r="C49" t="s">
        <v>70</v>
      </c>
      <c r="E49" s="20">
        <f>E48+E43</f>
        <v>44769</v>
      </c>
    </row>
  </sheetData>
  <mergeCells count="10">
    <mergeCell ref="A26:E26"/>
    <mergeCell ref="C32:D32"/>
    <mergeCell ref="C36:D36"/>
    <mergeCell ref="A37:E37"/>
    <mergeCell ref="C43:D43"/>
    <mergeCell ref="C18:D18"/>
    <mergeCell ref="A1:E1"/>
    <mergeCell ref="A12:E12"/>
    <mergeCell ref="C11:D11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2024-09-30T11:38:10Z</dcterms:created>
  <dcterms:modified xsi:type="dcterms:W3CDTF">2024-09-30T18:38:53Z</dcterms:modified>
</cp:coreProperties>
</file>