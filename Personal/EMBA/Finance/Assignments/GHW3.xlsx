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Users\gz173f\Documents\Personal\EMBA\Finance\"/>
    </mc:Choice>
  </mc:AlternateContent>
  <xr:revisionPtr revIDLastSave="0" documentId="13_ncr:1_{C4313428-78EE-486E-BA1B-4D4F95014625}" xr6:coauthVersionLast="47" xr6:coauthVersionMax="47" xr10:uidLastSave="{00000000-0000-0000-0000-000000000000}"/>
  <bookViews>
    <workbookView xWindow="-120" yWindow="-120" windowWidth="29040" windowHeight="15840" xr2:uid="{00000000-000D-0000-FFFF-FFFF00000000}"/>
  </bookViews>
  <sheets>
    <sheet name="GHW compile I-S &amp; P-E" sheetId="1" r:id="rId1"/>
    <sheet name="Industr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 l="1"/>
  <c r="C30" i="1"/>
  <c r="C24" i="1"/>
  <c r="C21" i="1"/>
  <c r="C20" i="1"/>
  <c r="C19" i="1"/>
  <c r="C18" i="1"/>
  <c r="C17" i="1"/>
  <c r="B31" i="1"/>
  <c r="B30" i="1"/>
  <c r="B23" i="1"/>
  <c r="E30" i="1"/>
  <c r="E29" i="1"/>
  <c r="E24" i="1"/>
  <c r="E22" i="1"/>
  <c r="E21" i="1"/>
  <c r="E20" i="1"/>
  <c r="E19" i="1"/>
  <c r="E18" i="1"/>
  <c r="E17" i="1"/>
  <c r="D31" i="1"/>
  <c r="D30" i="1"/>
  <c r="D23" i="1"/>
</calcChain>
</file>

<file path=xl/sharedStrings.xml><?xml version="1.0" encoding="utf-8"?>
<sst xmlns="http://schemas.openxmlformats.org/spreadsheetml/2006/main" count="118" uniqueCount="70">
  <si>
    <t>Date  _____________________________</t>
  </si>
  <si>
    <t>Note that income statement are not standardized, so you may have to use your best judgment when classifying your firm's accounts into the template below</t>
  </si>
  <si>
    <t>Firm #1</t>
  </si>
  <si>
    <t>Firm #2</t>
  </si>
  <si>
    <t>Firm #3</t>
  </si>
  <si>
    <t>Firm #4</t>
  </si>
  <si>
    <t>Firm #5</t>
  </si>
  <si>
    <t>Name of student</t>
  </si>
  <si>
    <t>Name of firm</t>
  </si>
  <si>
    <t>Period for statement</t>
  </si>
  <si>
    <t>Values</t>
  </si>
  <si>
    <t>% of Revenue</t>
  </si>
  <si>
    <t>Revenue</t>
  </si>
  <si>
    <t>Operating income</t>
  </si>
  <si>
    <t>Net financing expense</t>
  </si>
  <si>
    <t>NA</t>
  </si>
  <si>
    <t>Net income</t>
  </si>
  <si>
    <t>EPS - basic</t>
  </si>
  <si>
    <t>EPS - diluted</t>
  </si>
  <si>
    <t>Market price per share</t>
  </si>
  <si>
    <t>Price-to-diluted earnings ratio (P/E)</t>
  </si>
  <si>
    <t>Part 1: Briefly summarize the firm's industry</t>
  </si>
  <si>
    <t>Part 3: Compile the data below:</t>
  </si>
  <si>
    <t>Exercise 6 - Template for GHW: Compile I/S and P/E</t>
  </si>
  <si>
    <t>Total Market Value
of Equity</t>
  </si>
  <si>
    <t>Part 2: Compare and contrast the industies. This comparison was already completed in a previous Exercise, but you may want to update it if you have new thoughts and insights.</t>
  </si>
  <si>
    <t>Income tax expense / Income before taxes</t>
  </si>
  <si>
    <t>Income before taxes</t>
  </si>
  <si>
    <t>Income tax expense (aka  provision for income taxes)</t>
  </si>
  <si>
    <t>Price-to-book value (P/B)</t>
  </si>
  <si>
    <t>Other income or expense</t>
  </si>
  <si>
    <r>
      <t xml:space="preserve">Team Name </t>
    </r>
    <r>
      <rPr>
        <u/>
        <sz val="18"/>
        <rFont val="Times New Roman"/>
        <family val="1"/>
      </rPr>
      <t>Busy B's - Team B</t>
    </r>
  </si>
  <si>
    <t>Alan Lawrence</t>
  </si>
  <si>
    <t>Brian Morman</t>
  </si>
  <si>
    <t>Sherley Moran</t>
  </si>
  <si>
    <t>Kim Cordia</t>
  </si>
  <si>
    <t>Felix Loc</t>
  </si>
  <si>
    <t>CACI International</t>
  </si>
  <si>
    <t>NVIDIA</t>
  </si>
  <si>
    <t>Brown-Forman Corporation</t>
  </si>
  <si>
    <t>Stryker Corporation</t>
  </si>
  <si>
    <t>WTW</t>
  </si>
  <si>
    <t>Industry and summary of its primary characteristics</t>
  </si>
  <si>
    <t>Information Technology Services</t>
  </si>
  <si>
    <t>Semiconductors</t>
  </si>
  <si>
    <t>Beverages - Wineries &amp; Distilleries</t>
  </si>
  <si>
    <t>Medical Devices</t>
  </si>
  <si>
    <t>Insurance Brokers</t>
  </si>
  <si>
    <t>INDUSTRY ANALYSIS</t>
  </si>
  <si>
    <t>Date:</t>
  </si>
  <si>
    <t>Industry:</t>
  </si>
  <si>
    <t>Operating Segment:</t>
  </si>
  <si>
    <t>Companies that provide computer-system design, network and systems operations, repair services, technical support, computer technology consulting, development, and implementation services.</t>
  </si>
  <si>
    <t>Semiconductor companies that design, manufacture, and market integrated circuits, microprocessors, logic devices, chipsets, and memory chips for a wide variety of users. Includes companies that design, manufacture, and market general-application integrated circuits and memory and memory-intensive products.</t>
  </si>
  <si>
    <t>Companies that manufacture, sell, and distribute distilled liquors and wine.</t>
  </si>
  <si>
    <t>Companies that develop, manufacture, and market medical and surgical equipment and machinery, including orthopedic products, respiratory care equipment, x-ray equipment, laser systems, implants, pacemakers, and other major medical machines and apparatus.</t>
  </si>
  <si>
    <t>Companies acting primarily as agents or intermediaries in creating insurance contracts between clients and insurance companies.</t>
  </si>
  <si>
    <t>Competition:</t>
  </si>
  <si>
    <t>The IT services industry is highly competitive, with a broad range of players offering services from cloud computing to cybersecurity and AI-driven solutions. Large firms like Accenture and IBM compete with smaller, specialized providers, focusing on innovation, pricing, and quality to stand out. Digital transformation across all sectors has spurred strong demand for IT services, particularly in areas like cloud infrastructure, remote work solutions, and security. The growing reliance on digital operations globally, accelerated by the pandemic, ensures continued high demand, making this a rapidly evolving and fiercely competitive industry.</t>
  </si>
  <si>
    <t>The semiconductor industry is marked by intense competition among major global players like Intel, NVIDIA, and TSMC, driven by the race to produce faster, more efficient chips. This industry requires massive investments in research and development and advanced manufacturing, which creates high barriers to entry. Demand is booming due to technological advancements like 5G, artificial intelligence, and electric vehicles, all of which rely heavily on semiconductors. However, supply chain issues and global shortages have also highlighted the industry's capacity constraints, pushing companies to expand production.</t>
  </si>
  <si>
    <t>The beverages industry, particularly wineries and distilleries, is fragmented, with competition coming from both small craft producers and large global corporations like Diageo and Constellation Brands. Key factors include brand loyalty, product quality, and distribution capabilities. Trends toward premium, artisanal, and craft beverages are driving growth, especially in wine and spirits. Shifts in consumer preferences, including interest in low-alcohol or no-alcohol options, are influencing demand, while e-commerce has become an increasingly important sales channel.</t>
  </si>
  <si>
    <t>The medical devices industry is highly competitive and innovation-driven, with major players like Medtronic, Stryker, and Johnson &amp; Johnson leading the market. Companies invest heavily in research and development to bring cutting-edge, often minimally invasive, devices to market. Aging populations, the rise of chronic diseases, and increasing healthcare spending in emerging markets are driving strong demand for medical devices. However, companies face strict regulatory hurdles and the need to consistently innovate to stay competitive, especially with growing interest in wearable health tech and home healthcare devices.</t>
  </si>
  <si>
    <t>The insurance brokerage industry is intensely competitive and service-driven, with key players like Willis Towers Watson, Marsh &amp; McLennan, and Aon leading the global market. Firms in this industry invest significantly in technology and data analytics to offer tailored risk management and insurance solutions. The growing complexity of risk, driven by factors like cyber threats, climate change, and geopolitical instability, is pushing demand for innovative insurance products. Emerging markets and increasing corporate focus on risk mitigation and employee benefits also provide growth opportunities.</t>
  </si>
  <si>
    <t>ANNUAL INDUSTRY FUNDAMENTALS FOR FISCAL YEAR</t>
  </si>
  <si>
    <t>Share Price</t>
  </si>
  <si>
    <t>Earnings Per Share - EPS Diluted</t>
  </si>
  <si>
    <t>Price to Earnings Ratio - P/E Ratio</t>
  </si>
  <si>
    <t>Revenue ($ Thousands)</t>
  </si>
  <si>
    <t>Gross Margin ($ Thousands)</t>
  </si>
  <si>
    <t># Shares Outstanding (Diluted)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</si>
</sst>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8" formatCode="&quot;$&quot;#,##0.00"/>
  </numFmts>
  <fonts count="10" x14ac:knownFonts="1">
    <font>
      <sz val="11"/>
      <color theme="1"/>
      <name val="Calibri"/>
      <family val="2"/>
      <scheme val="minor"/>
    </font>
    <font>
      <sz val="14"/>
      <name val="Times New Roman"/>
      <family val="1"/>
    </font>
    <font>
      <b/>
      <sz val="14"/>
      <name val="Times New Roman"/>
      <family val="1"/>
    </font>
    <font>
      <sz val="18"/>
      <name val="Times New Roman"/>
      <family val="1"/>
    </font>
    <font>
      <u/>
      <sz val="18"/>
      <name val="Times New Roman"/>
      <family val="1"/>
    </font>
    <font>
      <sz val="12"/>
      <name val="Times New Roman"/>
      <family val="1"/>
    </font>
    <font>
      <sz val="14"/>
      <color rgb="FF111827"/>
      <name val="Arial"/>
      <family val="2"/>
    </font>
    <font>
      <b/>
      <sz val="12"/>
      <color rgb="FF000000"/>
      <name val="Times New Roman"/>
      <family val="1"/>
    </font>
    <font>
      <b/>
      <sz val="12"/>
      <name val="Times New Roman"/>
      <family val="1"/>
    </font>
    <font>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8DB4E2"/>
        <bgColor rgb="FF000000"/>
      </patternFill>
    </fill>
    <fill>
      <patternFill patternType="solid">
        <fgColor rgb="FFC5D9F1"/>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1" fillId="0" borderId="1" xfId="0" applyFont="1" applyBorder="1"/>
    <xf numFmtId="0" fontId="1" fillId="0" borderId="0" xfId="0" applyFont="1"/>
    <xf numFmtId="0" fontId="1" fillId="0" borderId="1" xfId="0" applyFont="1" applyBorder="1" applyAlignment="1">
      <alignment wrapText="1"/>
    </xf>
    <xf numFmtId="0" fontId="1" fillId="0" borderId="1" xfId="0" applyFont="1" applyBorder="1" applyAlignment="1">
      <alignment horizontal="center" vertical="center"/>
    </xf>
    <xf numFmtId="0" fontId="1" fillId="0" borderId="1" xfId="0" applyFont="1" applyFill="1" applyBorder="1"/>
    <xf numFmtId="0" fontId="1" fillId="0" borderId="1" xfId="0" applyFont="1" applyFill="1" applyBorder="1" applyAlignment="1">
      <alignment wrapText="1"/>
    </xf>
    <xf numFmtId="0" fontId="1" fillId="0" borderId="0" xfId="0" applyFont="1" applyBorder="1"/>
    <xf numFmtId="0" fontId="2" fillId="0" borderId="0" xfId="0" applyFont="1" applyBorder="1" applyAlignment="1">
      <alignment horizontal="left"/>
    </xf>
    <xf numFmtId="0" fontId="1" fillId="2" borderId="1" xfId="0" applyFont="1" applyFill="1" applyBorder="1"/>
    <xf numFmtId="0" fontId="1" fillId="2" borderId="1" xfId="0" applyFont="1" applyFill="1" applyBorder="1" applyAlignment="1">
      <alignment horizontal="center"/>
    </xf>
    <xf numFmtId="0" fontId="1" fillId="0" borderId="1" xfId="0" applyFont="1" applyBorder="1" applyAlignment="1">
      <alignment horizontal="center" wrapText="1"/>
    </xf>
    <xf numFmtId="0" fontId="3" fillId="0" borderId="0" xfId="0" applyFont="1" applyBorder="1"/>
    <xf numFmtId="0" fontId="1" fillId="0" borderId="0" xfId="0" applyFont="1" applyBorder="1" applyAlignment="1">
      <alignment horizontal="center"/>
    </xf>
    <xf numFmtId="0" fontId="1" fillId="0" borderId="1" xfId="0" applyFont="1" applyBorder="1" applyAlignment="1">
      <alignment horizontal="center"/>
    </xf>
    <xf numFmtId="0" fontId="1" fillId="0" borderId="0" xfId="0" applyFont="1" applyBorder="1" applyAlignment="1">
      <alignment horizontal="center"/>
    </xf>
    <xf numFmtId="0" fontId="5" fillId="0" borderId="1" xfId="0" applyFont="1" applyBorder="1"/>
    <xf numFmtId="0" fontId="5" fillId="0" borderId="1" xfId="0" applyFont="1" applyBorder="1" applyAlignment="1">
      <alignment horizontal="right" wrapText="1"/>
    </xf>
    <xf numFmtId="0" fontId="5" fillId="0" borderId="2" xfId="0" applyFont="1" applyBorder="1" applyAlignment="1">
      <alignment horizontal="center"/>
    </xf>
    <xf numFmtId="0" fontId="5" fillId="0" borderId="3" xfId="0" applyFont="1" applyBorder="1" applyAlignment="1">
      <alignment horizontal="center"/>
    </xf>
    <xf numFmtId="14" fontId="5" fillId="0" borderId="2" xfId="0" applyNumberFormat="1" applyFont="1" applyBorder="1" applyAlignment="1">
      <alignment horizontal="center"/>
    </xf>
    <xf numFmtId="14" fontId="5" fillId="0" borderId="3" xfId="0" applyNumberFormat="1" applyFont="1" applyBorder="1" applyAlignment="1">
      <alignment horizontal="center"/>
    </xf>
    <xf numFmtId="3" fontId="6" fillId="3" borderId="1" xfId="0" applyNumberFormat="1" applyFont="1" applyFill="1" applyBorder="1" applyAlignment="1">
      <alignment horizontal="right" vertical="center" wrapText="1"/>
    </xf>
    <xf numFmtId="10" fontId="1" fillId="0" borderId="1" xfId="0" applyNumberFormat="1" applyFont="1" applyBorder="1"/>
    <xf numFmtId="0" fontId="7" fillId="4" borderId="4" xfId="0" applyFont="1" applyFill="1" applyBorder="1" applyAlignment="1">
      <alignment horizontal="center" vertical="center"/>
    </xf>
    <xf numFmtId="0" fontId="7" fillId="5" borderId="1" xfId="0" applyFont="1" applyFill="1" applyBorder="1"/>
    <xf numFmtId="14" fontId="7" fillId="5" borderId="1" xfId="0" applyNumberFormat="1" applyFont="1" applyFill="1" applyBorder="1" applyAlignment="1">
      <alignment horizontal="center" vertical="center"/>
    </xf>
    <xf numFmtId="0" fontId="7" fillId="5" borderId="1" xfId="0" applyFont="1" applyFill="1" applyBorder="1" applyAlignment="1">
      <alignment horizontal="left" vertical="center"/>
    </xf>
    <xf numFmtId="0" fontId="8" fillId="5" borderId="1" xfId="0" applyFont="1" applyFill="1" applyBorder="1" applyAlignment="1">
      <alignment horizontal="center" vertical="center"/>
    </xf>
    <xf numFmtId="0" fontId="7" fillId="0" borderId="1" xfId="0" applyFont="1" applyBorder="1" applyAlignment="1">
      <alignment vertical="center"/>
    </xf>
    <xf numFmtId="0" fontId="9" fillId="0" borderId="1" xfId="0" applyFont="1" applyBorder="1" applyAlignment="1">
      <alignment horizontal="center" vertical="top" wrapText="1"/>
    </xf>
    <xf numFmtId="0" fontId="9" fillId="4" borderId="1" xfId="0" applyFont="1" applyFill="1" applyBorder="1"/>
    <xf numFmtId="0" fontId="7" fillId="4" borderId="2" xfId="0" applyFont="1" applyFill="1" applyBorder="1" applyAlignment="1">
      <alignment horizontal="center"/>
    </xf>
    <xf numFmtId="0" fontId="7" fillId="4" borderId="5" xfId="0" applyFont="1" applyFill="1" applyBorder="1" applyAlignment="1">
      <alignment horizontal="center"/>
    </xf>
    <xf numFmtId="168" fontId="7" fillId="5" borderId="1" xfId="0" applyNumberFormat="1" applyFont="1" applyFill="1" applyBorder="1" applyAlignment="1">
      <alignment horizontal="center"/>
    </xf>
    <xf numFmtId="10" fontId="7" fillId="5" borderId="1" xfId="0" applyNumberFormat="1" applyFont="1" applyFill="1" applyBorder="1" applyAlignment="1">
      <alignment horizontal="center"/>
    </xf>
    <xf numFmtId="0" fontId="6" fillId="3" borderId="1" xfId="0" applyFont="1" applyFill="1" applyBorder="1" applyAlignment="1">
      <alignment horizontal="right" vertical="center" wrapText="1"/>
    </xf>
    <xf numFmtId="6" fontId="1" fillId="0" borderId="1" xfId="0" applyNumberFormat="1" applyFont="1" applyBorder="1"/>
    <xf numFmtId="3"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2"/>
  <sheetViews>
    <sheetView tabSelected="1" topLeftCell="A11" workbookViewId="0">
      <selection activeCell="H23" sqref="H23"/>
    </sheetView>
  </sheetViews>
  <sheetFormatPr defaultRowHeight="18.75" x14ac:dyDescent="0.3"/>
  <cols>
    <col min="1" max="1" width="27.140625" style="2" customWidth="1"/>
    <col min="2" max="7" width="21.140625" style="2" customWidth="1"/>
    <col min="8" max="8" width="23.5703125" style="2" customWidth="1"/>
    <col min="9" max="15" width="21.140625" style="2" customWidth="1"/>
    <col min="16" max="256" width="9.140625" style="2"/>
    <col min="257" max="257" width="27.140625" style="2" customWidth="1"/>
    <col min="258" max="271" width="21.140625" style="2" customWidth="1"/>
    <col min="272" max="512" width="9.140625" style="2"/>
    <col min="513" max="513" width="27.140625" style="2" customWidth="1"/>
    <col min="514" max="527" width="21.140625" style="2" customWidth="1"/>
    <col min="528" max="768" width="9.140625" style="2"/>
    <col min="769" max="769" width="27.140625" style="2" customWidth="1"/>
    <col min="770" max="783" width="21.140625" style="2" customWidth="1"/>
    <col min="784" max="1024" width="9.140625" style="2"/>
    <col min="1025" max="1025" width="27.140625" style="2" customWidth="1"/>
    <col min="1026" max="1039" width="21.140625" style="2" customWidth="1"/>
    <col min="1040" max="1280" width="9.140625" style="2"/>
    <col min="1281" max="1281" width="27.140625" style="2" customWidth="1"/>
    <col min="1282" max="1295" width="21.140625" style="2" customWidth="1"/>
    <col min="1296" max="1536" width="9.140625" style="2"/>
    <col min="1537" max="1537" width="27.140625" style="2" customWidth="1"/>
    <col min="1538" max="1551" width="21.140625" style="2" customWidth="1"/>
    <col min="1552" max="1792" width="9.140625" style="2"/>
    <col min="1793" max="1793" width="27.140625" style="2" customWidth="1"/>
    <col min="1794" max="1807" width="21.140625" style="2" customWidth="1"/>
    <col min="1808" max="2048" width="9.140625" style="2"/>
    <col min="2049" max="2049" width="27.140625" style="2" customWidth="1"/>
    <col min="2050" max="2063" width="21.140625" style="2" customWidth="1"/>
    <col min="2064" max="2304" width="9.140625" style="2"/>
    <col min="2305" max="2305" width="27.140625" style="2" customWidth="1"/>
    <col min="2306" max="2319" width="21.140625" style="2" customWidth="1"/>
    <col min="2320" max="2560" width="9.140625" style="2"/>
    <col min="2561" max="2561" width="27.140625" style="2" customWidth="1"/>
    <col min="2562" max="2575" width="21.140625" style="2" customWidth="1"/>
    <col min="2576" max="2816" width="9.140625" style="2"/>
    <col min="2817" max="2817" width="27.140625" style="2" customWidth="1"/>
    <col min="2818" max="2831" width="21.140625" style="2" customWidth="1"/>
    <col min="2832" max="3072" width="9.140625" style="2"/>
    <col min="3073" max="3073" width="27.140625" style="2" customWidth="1"/>
    <col min="3074" max="3087" width="21.140625" style="2" customWidth="1"/>
    <col min="3088" max="3328" width="9.140625" style="2"/>
    <col min="3329" max="3329" width="27.140625" style="2" customWidth="1"/>
    <col min="3330" max="3343" width="21.140625" style="2" customWidth="1"/>
    <col min="3344" max="3584" width="9.140625" style="2"/>
    <col min="3585" max="3585" width="27.140625" style="2" customWidth="1"/>
    <col min="3586" max="3599" width="21.140625" style="2" customWidth="1"/>
    <col min="3600" max="3840" width="9.140625" style="2"/>
    <col min="3841" max="3841" width="27.140625" style="2" customWidth="1"/>
    <col min="3842" max="3855" width="21.140625" style="2" customWidth="1"/>
    <col min="3856" max="4096" width="9.140625" style="2"/>
    <col min="4097" max="4097" width="27.140625" style="2" customWidth="1"/>
    <col min="4098" max="4111" width="21.140625" style="2" customWidth="1"/>
    <col min="4112" max="4352" width="9.140625" style="2"/>
    <col min="4353" max="4353" width="27.140625" style="2" customWidth="1"/>
    <col min="4354" max="4367" width="21.140625" style="2" customWidth="1"/>
    <col min="4368" max="4608" width="9.140625" style="2"/>
    <col min="4609" max="4609" width="27.140625" style="2" customWidth="1"/>
    <col min="4610" max="4623" width="21.140625" style="2" customWidth="1"/>
    <col min="4624" max="4864" width="9.140625" style="2"/>
    <col min="4865" max="4865" width="27.140625" style="2" customWidth="1"/>
    <col min="4866" max="4879" width="21.140625" style="2" customWidth="1"/>
    <col min="4880" max="5120" width="9.140625" style="2"/>
    <col min="5121" max="5121" width="27.140625" style="2" customWidth="1"/>
    <col min="5122" max="5135" width="21.140625" style="2" customWidth="1"/>
    <col min="5136" max="5376" width="9.140625" style="2"/>
    <col min="5377" max="5377" width="27.140625" style="2" customWidth="1"/>
    <col min="5378" max="5391" width="21.140625" style="2" customWidth="1"/>
    <col min="5392" max="5632" width="9.140625" style="2"/>
    <col min="5633" max="5633" width="27.140625" style="2" customWidth="1"/>
    <col min="5634" max="5647" width="21.140625" style="2" customWidth="1"/>
    <col min="5648" max="5888" width="9.140625" style="2"/>
    <col min="5889" max="5889" width="27.140625" style="2" customWidth="1"/>
    <col min="5890" max="5903" width="21.140625" style="2" customWidth="1"/>
    <col min="5904" max="6144" width="9.140625" style="2"/>
    <col min="6145" max="6145" width="27.140625" style="2" customWidth="1"/>
    <col min="6146" max="6159" width="21.140625" style="2" customWidth="1"/>
    <col min="6160" max="6400" width="9.140625" style="2"/>
    <col min="6401" max="6401" width="27.140625" style="2" customWidth="1"/>
    <col min="6402" max="6415" width="21.140625" style="2" customWidth="1"/>
    <col min="6416" max="6656" width="9.140625" style="2"/>
    <col min="6657" max="6657" width="27.140625" style="2" customWidth="1"/>
    <col min="6658" max="6671" width="21.140625" style="2" customWidth="1"/>
    <col min="6672" max="6912" width="9.140625" style="2"/>
    <col min="6913" max="6913" width="27.140625" style="2" customWidth="1"/>
    <col min="6914" max="6927" width="21.140625" style="2" customWidth="1"/>
    <col min="6928" max="7168" width="9.140625" style="2"/>
    <col min="7169" max="7169" width="27.140625" style="2" customWidth="1"/>
    <col min="7170" max="7183" width="21.140625" style="2" customWidth="1"/>
    <col min="7184" max="7424" width="9.140625" style="2"/>
    <col min="7425" max="7425" width="27.140625" style="2" customWidth="1"/>
    <col min="7426" max="7439" width="21.140625" style="2" customWidth="1"/>
    <col min="7440" max="7680" width="9.140625" style="2"/>
    <col min="7681" max="7681" width="27.140625" style="2" customWidth="1"/>
    <col min="7682" max="7695" width="21.140625" style="2" customWidth="1"/>
    <col min="7696" max="7936" width="9.140625" style="2"/>
    <col min="7937" max="7937" width="27.140625" style="2" customWidth="1"/>
    <col min="7938" max="7951" width="21.140625" style="2" customWidth="1"/>
    <col min="7952" max="8192" width="9.140625" style="2"/>
    <col min="8193" max="8193" width="27.140625" style="2" customWidth="1"/>
    <col min="8194" max="8207" width="21.140625" style="2" customWidth="1"/>
    <col min="8208" max="8448" width="9.140625" style="2"/>
    <col min="8449" max="8449" width="27.140625" style="2" customWidth="1"/>
    <col min="8450" max="8463" width="21.140625" style="2" customWidth="1"/>
    <col min="8464" max="8704" width="9.140625" style="2"/>
    <col min="8705" max="8705" width="27.140625" style="2" customWidth="1"/>
    <col min="8706" max="8719" width="21.140625" style="2" customWidth="1"/>
    <col min="8720" max="8960" width="9.140625" style="2"/>
    <col min="8961" max="8961" width="27.140625" style="2" customWidth="1"/>
    <col min="8962" max="8975" width="21.140625" style="2" customWidth="1"/>
    <col min="8976" max="9216" width="9.140625" style="2"/>
    <col min="9217" max="9217" width="27.140625" style="2" customWidth="1"/>
    <col min="9218" max="9231" width="21.140625" style="2" customWidth="1"/>
    <col min="9232" max="9472" width="9.140625" style="2"/>
    <col min="9473" max="9473" width="27.140625" style="2" customWidth="1"/>
    <col min="9474" max="9487" width="21.140625" style="2" customWidth="1"/>
    <col min="9488" max="9728" width="9.140625" style="2"/>
    <col min="9729" max="9729" width="27.140625" style="2" customWidth="1"/>
    <col min="9730" max="9743" width="21.140625" style="2" customWidth="1"/>
    <col min="9744" max="9984" width="9.140625" style="2"/>
    <col min="9985" max="9985" width="27.140625" style="2" customWidth="1"/>
    <col min="9986" max="9999" width="21.140625" style="2" customWidth="1"/>
    <col min="10000" max="10240" width="9.140625" style="2"/>
    <col min="10241" max="10241" width="27.140625" style="2" customWidth="1"/>
    <col min="10242" max="10255" width="21.140625" style="2" customWidth="1"/>
    <col min="10256" max="10496" width="9.140625" style="2"/>
    <col min="10497" max="10497" width="27.140625" style="2" customWidth="1"/>
    <col min="10498" max="10511" width="21.140625" style="2" customWidth="1"/>
    <col min="10512" max="10752" width="9.140625" style="2"/>
    <col min="10753" max="10753" width="27.140625" style="2" customWidth="1"/>
    <col min="10754" max="10767" width="21.140625" style="2" customWidth="1"/>
    <col min="10768" max="11008" width="9.140625" style="2"/>
    <col min="11009" max="11009" width="27.140625" style="2" customWidth="1"/>
    <col min="11010" max="11023" width="21.140625" style="2" customWidth="1"/>
    <col min="11024" max="11264" width="9.140625" style="2"/>
    <col min="11265" max="11265" width="27.140625" style="2" customWidth="1"/>
    <col min="11266" max="11279" width="21.140625" style="2" customWidth="1"/>
    <col min="11280" max="11520" width="9.140625" style="2"/>
    <col min="11521" max="11521" width="27.140625" style="2" customWidth="1"/>
    <col min="11522" max="11535" width="21.140625" style="2" customWidth="1"/>
    <col min="11536" max="11776" width="9.140625" style="2"/>
    <col min="11777" max="11777" width="27.140625" style="2" customWidth="1"/>
    <col min="11778" max="11791" width="21.140625" style="2" customWidth="1"/>
    <col min="11792" max="12032" width="9.140625" style="2"/>
    <col min="12033" max="12033" width="27.140625" style="2" customWidth="1"/>
    <col min="12034" max="12047" width="21.140625" style="2" customWidth="1"/>
    <col min="12048" max="12288" width="9.140625" style="2"/>
    <col min="12289" max="12289" width="27.140625" style="2" customWidth="1"/>
    <col min="12290" max="12303" width="21.140625" style="2" customWidth="1"/>
    <col min="12304" max="12544" width="9.140625" style="2"/>
    <col min="12545" max="12545" width="27.140625" style="2" customWidth="1"/>
    <col min="12546" max="12559" width="21.140625" style="2" customWidth="1"/>
    <col min="12560" max="12800" width="9.140625" style="2"/>
    <col min="12801" max="12801" width="27.140625" style="2" customWidth="1"/>
    <col min="12802" max="12815" width="21.140625" style="2" customWidth="1"/>
    <col min="12816" max="13056" width="9.140625" style="2"/>
    <col min="13057" max="13057" width="27.140625" style="2" customWidth="1"/>
    <col min="13058" max="13071" width="21.140625" style="2" customWidth="1"/>
    <col min="13072" max="13312" width="9.140625" style="2"/>
    <col min="13313" max="13313" width="27.140625" style="2" customWidth="1"/>
    <col min="13314" max="13327" width="21.140625" style="2" customWidth="1"/>
    <col min="13328" max="13568" width="9.140625" style="2"/>
    <col min="13569" max="13569" width="27.140625" style="2" customWidth="1"/>
    <col min="13570" max="13583" width="21.140625" style="2" customWidth="1"/>
    <col min="13584" max="13824" width="9.140625" style="2"/>
    <col min="13825" max="13825" width="27.140625" style="2" customWidth="1"/>
    <col min="13826" max="13839" width="21.140625" style="2" customWidth="1"/>
    <col min="13840" max="14080" width="9.140625" style="2"/>
    <col min="14081" max="14081" width="27.140625" style="2" customWidth="1"/>
    <col min="14082" max="14095" width="21.140625" style="2" customWidth="1"/>
    <col min="14096" max="14336" width="9.140625" style="2"/>
    <col min="14337" max="14337" width="27.140625" style="2" customWidth="1"/>
    <col min="14338" max="14351" width="21.140625" style="2" customWidth="1"/>
    <col min="14352" max="14592" width="9.140625" style="2"/>
    <col min="14593" max="14593" width="27.140625" style="2" customWidth="1"/>
    <col min="14594" max="14607" width="21.140625" style="2" customWidth="1"/>
    <col min="14608" max="14848" width="9.140625" style="2"/>
    <col min="14849" max="14849" width="27.140625" style="2" customWidth="1"/>
    <col min="14850" max="14863" width="21.140625" style="2" customWidth="1"/>
    <col min="14864" max="15104" width="9.140625" style="2"/>
    <col min="15105" max="15105" width="27.140625" style="2" customWidth="1"/>
    <col min="15106" max="15119" width="21.140625" style="2" customWidth="1"/>
    <col min="15120" max="15360" width="9.140625" style="2"/>
    <col min="15361" max="15361" width="27.140625" style="2" customWidth="1"/>
    <col min="15362" max="15375" width="21.140625" style="2" customWidth="1"/>
    <col min="15376" max="15616" width="9.140625" style="2"/>
    <col min="15617" max="15617" width="27.140625" style="2" customWidth="1"/>
    <col min="15618" max="15631" width="21.140625" style="2" customWidth="1"/>
    <col min="15632" max="15872" width="9.140625" style="2"/>
    <col min="15873" max="15873" width="27.140625" style="2" customWidth="1"/>
    <col min="15874" max="15887" width="21.140625" style="2" customWidth="1"/>
    <col min="15888" max="16128" width="9.140625" style="2"/>
    <col min="16129" max="16129" width="27.140625" style="2" customWidth="1"/>
    <col min="16130" max="16143" width="21.140625" style="2" customWidth="1"/>
    <col min="16144" max="16384" width="9.140625" style="2"/>
  </cols>
  <sheetData>
    <row r="1" spans="1:13" s="7" customFormat="1" ht="23.25" x14ac:dyDescent="0.35">
      <c r="A1" s="12" t="s">
        <v>23</v>
      </c>
      <c r="B1" s="12"/>
      <c r="E1" s="8"/>
    </row>
    <row r="2" spans="1:13" s="7" customFormat="1" ht="23.25" x14ac:dyDescent="0.35">
      <c r="A2" s="12"/>
      <c r="B2" s="12"/>
    </row>
    <row r="3" spans="1:13" s="7" customFormat="1" ht="23.25" x14ac:dyDescent="0.35">
      <c r="A3" s="12" t="s">
        <v>31</v>
      </c>
      <c r="B3" s="12"/>
      <c r="F3" s="7" t="s">
        <v>0</v>
      </c>
    </row>
    <row r="4" spans="1:13" s="7" customFormat="1" ht="23.25" x14ac:dyDescent="0.35">
      <c r="A4" s="12"/>
      <c r="B4" s="12"/>
    </row>
    <row r="5" spans="1:13" s="7" customFormat="1" ht="23.25" x14ac:dyDescent="0.35">
      <c r="A5" s="12" t="s">
        <v>21</v>
      </c>
      <c r="B5" s="12"/>
    </row>
    <row r="6" spans="1:13" s="7" customFormat="1" ht="23.25" x14ac:dyDescent="0.35">
      <c r="A6" s="12" t="s">
        <v>25</v>
      </c>
      <c r="B6" s="12"/>
    </row>
    <row r="7" spans="1:13" s="7" customFormat="1" ht="23.25" x14ac:dyDescent="0.35">
      <c r="A7" s="12" t="s">
        <v>22</v>
      </c>
      <c r="B7" s="12"/>
    </row>
    <row r="9" spans="1:13" x14ac:dyDescent="0.3">
      <c r="A9" s="16"/>
      <c r="B9" s="18" t="s">
        <v>2</v>
      </c>
      <c r="C9" s="19"/>
      <c r="D9" s="18" t="s">
        <v>3</v>
      </c>
      <c r="E9" s="19"/>
      <c r="F9" s="18" t="s">
        <v>4</v>
      </c>
      <c r="G9" s="19"/>
      <c r="H9" s="18" t="s">
        <v>5</v>
      </c>
      <c r="I9" s="19"/>
      <c r="J9" s="18" t="s">
        <v>6</v>
      </c>
      <c r="K9" s="19"/>
      <c r="L9" s="7"/>
      <c r="M9" s="7"/>
    </row>
    <row r="10" spans="1:13" x14ac:dyDescent="0.3">
      <c r="A10" s="17" t="s">
        <v>7</v>
      </c>
      <c r="B10" s="18" t="s">
        <v>32</v>
      </c>
      <c r="C10" s="19"/>
      <c r="D10" s="18" t="s">
        <v>33</v>
      </c>
      <c r="E10" s="19"/>
      <c r="F10" s="18" t="s">
        <v>34</v>
      </c>
      <c r="G10" s="19"/>
      <c r="H10" s="18" t="s">
        <v>35</v>
      </c>
      <c r="I10" s="19"/>
      <c r="J10" s="18" t="s">
        <v>36</v>
      </c>
      <c r="K10" s="19"/>
      <c r="L10" s="15"/>
      <c r="M10" s="15"/>
    </row>
    <row r="11" spans="1:13" x14ac:dyDescent="0.3">
      <c r="A11" s="17" t="s">
        <v>8</v>
      </c>
      <c r="B11" s="18" t="s">
        <v>37</v>
      </c>
      <c r="C11" s="19"/>
      <c r="D11" s="18" t="s">
        <v>38</v>
      </c>
      <c r="E11" s="19"/>
      <c r="F11" s="18" t="s">
        <v>39</v>
      </c>
      <c r="G11" s="19"/>
      <c r="H11" s="18" t="s">
        <v>40</v>
      </c>
      <c r="I11" s="19"/>
      <c r="J11" s="18" t="s">
        <v>41</v>
      </c>
      <c r="K11" s="19"/>
      <c r="L11" s="15"/>
      <c r="M11" s="15"/>
    </row>
    <row r="12" spans="1:13" x14ac:dyDescent="0.3">
      <c r="A12" s="17" t="s">
        <v>9</v>
      </c>
      <c r="B12" s="20">
        <v>45473</v>
      </c>
      <c r="C12" s="21"/>
      <c r="D12" s="20">
        <v>45319</v>
      </c>
      <c r="E12" s="21"/>
      <c r="F12" s="20">
        <v>45412</v>
      </c>
      <c r="G12" s="21"/>
      <c r="H12" s="20">
        <v>45291</v>
      </c>
      <c r="I12" s="21"/>
      <c r="J12" s="20">
        <v>45291</v>
      </c>
      <c r="K12" s="21"/>
      <c r="L12" s="15"/>
      <c r="M12" s="15"/>
    </row>
    <row r="13" spans="1:13" ht="32.25" x14ac:dyDescent="0.3">
      <c r="A13" s="17" t="s">
        <v>42</v>
      </c>
      <c r="B13" s="18" t="s">
        <v>43</v>
      </c>
      <c r="C13" s="19"/>
      <c r="D13" s="18" t="s">
        <v>44</v>
      </c>
      <c r="E13" s="19"/>
      <c r="F13" s="18" t="s">
        <v>45</v>
      </c>
      <c r="G13" s="19"/>
      <c r="H13" s="18" t="s">
        <v>46</v>
      </c>
      <c r="I13" s="19"/>
      <c r="J13" s="18" t="s">
        <v>47</v>
      </c>
      <c r="K13" s="19"/>
      <c r="L13" s="13"/>
      <c r="M13" s="13"/>
    </row>
    <row r="14" spans="1:13" x14ac:dyDescent="0.3">
      <c r="B14" s="14"/>
      <c r="C14" s="14"/>
      <c r="D14" s="14"/>
      <c r="E14" s="14"/>
      <c r="F14" s="14"/>
      <c r="G14" s="14"/>
      <c r="H14" s="14"/>
      <c r="I14" s="14"/>
      <c r="J14" s="14"/>
      <c r="K14" s="14"/>
    </row>
    <row r="15" spans="1:13" x14ac:dyDescent="0.3">
      <c r="A15" s="1" t="s">
        <v>1</v>
      </c>
      <c r="B15" s="1"/>
      <c r="C15" s="1"/>
      <c r="D15" s="1"/>
      <c r="E15" s="1"/>
      <c r="F15" s="1"/>
      <c r="G15" s="1"/>
      <c r="H15" s="1"/>
      <c r="I15" s="1"/>
      <c r="J15" s="1"/>
      <c r="K15" s="1"/>
    </row>
    <row r="16" spans="1:13" x14ac:dyDescent="0.3">
      <c r="A16" s="9"/>
      <c r="B16" s="10" t="s">
        <v>10</v>
      </c>
      <c r="C16" s="10" t="s">
        <v>11</v>
      </c>
      <c r="D16" s="10" t="s">
        <v>10</v>
      </c>
      <c r="E16" s="10" t="s">
        <v>11</v>
      </c>
      <c r="F16" s="10" t="s">
        <v>10</v>
      </c>
      <c r="G16" s="10" t="s">
        <v>11</v>
      </c>
      <c r="H16" s="10" t="s">
        <v>10</v>
      </c>
      <c r="I16" s="10" t="s">
        <v>11</v>
      </c>
      <c r="J16" s="10" t="s">
        <v>10</v>
      </c>
      <c r="K16" s="10" t="s">
        <v>11</v>
      </c>
    </row>
    <row r="17" spans="1:11" x14ac:dyDescent="0.3">
      <c r="A17" s="3" t="s">
        <v>12</v>
      </c>
      <c r="B17" s="37">
        <v>7659832000</v>
      </c>
      <c r="C17" s="23">
        <f>B17/$B$17</f>
        <v>1</v>
      </c>
      <c r="D17" s="22">
        <v>60922000</v>
      </c>
      <c r="E17" s="23">
        <f>D17/$D$17</f>
        <v>1</v>
      </c>
      <c r="F17" s="1"/>
      <c r="G17" s="1"/>
      <c r="H17" s="1"/>
      <c r="I17" s="1"/>
      <c r="J17" s="1"/>
      <c r="K17" s="1"/>
    </row>
    <row r="18" spans="1:11" x14ac:dyDescent="0.3">
      <c r="A18" s="1" t="s">
        <v>13</v>
      </c>
      <c r="B18" s="38">
        <v>649708000</v>
      </c>
      <c r="C18" s="23">
        <f>B18/$B$17</f>
        <v>8.4820137047392163E-2</v>
      </c>
      <c r="D18" s="22">
        <v>32972000</v>
      </c>
      <c r="E18" s="23">
        <f t="shared" ref="E18:E22" si="0">D18/$D$17</f>
        <v>0.54121663766783756</v>
      </c>
      <c r="F18" s="1"/>
      <c r="G18" s="1"/>
      <c r="H18" s="1"/>
      <c r="I18" s="1"/>
      <c r="J18" s="1"/>
      <c r="K18" s="1"/>
    </row>
    <row r="19" spans="1:11" x14ac:dyDescent="0.3">
      <c r="A19" s="1" t="s">
        <v>14</v>
      </c>
      <c r="B19" s="1"/>
      <c r="C19" s="23">
        <f>B19/$B$17</f>
        <v>0</v>
      </c>
      <c r="D19" s="22"/>
      <c r="E19" s="23">
        <f t="shared" si="0"/>
        <v>0</v>
      </c>
      <c r="F19" s="1"/>
      <c r="G19" s="1"/>
      <c r="H19" s="1"/>
      <c r="I19" s="1"/>
      <c r="J19" s="1"/>
      <c r="K19" s="1"/>
    </row>
    <row r="20" spans="1:11" x14ac:dyDescent="0.3">
      <c r="A20" s="2" t="s">
        <v>30</v>
      </c>
      <c r="B20" s="1"/>
      <c r="C20" s="23">
        <f>B20/$B$17</f>
        <v>0</v>
      </c>
      <c r="D20" s="22"/>
      <c r="E20" s="23">
        <f t="shared" si="0"/>
        <v>0</v>
      </c>
      <c r="F20" s="1"/>
      <c r="G20" s="1"/>
      <c r="H20" s="1"/>
      <c r="I20" s="1"/>
      <c r="J20" s="1"/>
      <c r="K20" s="1"/>
    </row>
    <row r="21" spans="1:11" x14ac:dyDescent="0.3">
      <c r="A21" s="1" t="s">
        <v>27</v>
      </c>
      <c r="B21" s="38">
        <v>544649000</v>
      </c>
      <c r="C21" s="23">
        <f>B21/$B$17</f>
        <v>7.1104562084390366E-2</v>
      </c>
      <c r="D21" s="22">
        <v>33818000</v>
      </c>
      <c r="E21" s="23">
        <f t="shared" si="0"/>
        <v>0.55510324677456424</v>
      </c>
      <c r="F21" s="1"/>
      <c r="G21" s="1"/>
      <c r="H21" s="1"/>
      <c r="I21" s="1"/>
      <c r="J21" s="1"/>
      <c r="K21" s="1"/>
    </row>
    <row r="22" spans="1:11" ht="56.25" x14ac:dyDescent="0.3">
      <c r="A22" s="11" t="s">
        <v>28</v>
      </c>
      <c r="B22" s="38">
        <v>124725000</v>
      </c>
      <c r="C22" s="23"/>
      <c r="D22" s="22">
        <v>4058000</v>
      </c>
      <c r="E22" s="23">
        <f t="shared" si="0"/>
        <v>6.6609763303896785E-2</v>
      </c>
      <c r="F22" s="1"/>
      <c r="G22" s="1"/>
      <c r="H22" s="1"/>
      <c r="I22" s="1"/>
      <c r="J22" s="1"/>
      <c r="K22" s="1"/>
    </row>
    <row r="23" spans="1:11" ht="37.5" x14ac:dyDescent="0.3">
      <c r="A23" s="3" t="s">
        <v>26</v>
      </c>
      <c r="B23" s="23">
        <f>B22/B21</f>
        <v>0.22900069586100405</v>
      </c>
      <c r="C23" s="4" t="s">
        <v>15</v>
      </c>
      <c r="D23" s="23">
        <f>D22/D21</f>
        <v>0.1199952687917677</v>
      </c>
      <c r="E23" s="4" t="s">
        <v>15</v>
      </c>
      <c r="F23" s="23"/>
      <c r="G23" s="4" t="s">
        <v>15</v>
      </c>
      <c r="H23" s="23"/>
      <c r="I23" s="4" t="s">
        <v>15</v>
      </c>
      <c r="J23" s="23"/>
      <c r="K23" s="4" t="s">
        <v>15</v>
      </c>
    </row>
    <row r="24" spans="1:11" x14ac:dyDescent="0.3">
      <c r="A24" s="1" t="s">
        <v>16</v>
      </c>
      <c r="B24" s="37">
        <v>419924000</v>
      </c>
      <c r="C24" s="23">
        <f>B24/$B$17</f>
        <v>5.4821567888173002E-2</v>
      </c>
      <c r="D24" s="22">
        <v>29760000</v>
      </c>
      <c r="E24" s="23">
        <f>D24/$D$17</f>
        <v>0.4884934834706674</v>
      </c>
      <c r="F24" s="1"/>
      <c r="G24" s="4"/>
      <c r="H24" s="1"/>
      <c r="I24" s="4"/>
      <c r="J24" s="1"/>
      <c r="K24" s="4"/>
    </row>
    <row r="25" spans="1:11" x14ac:dyDescent="0.3">
      <c r="A25" s="3" t="s">
        <v>17</v>
      </c>
      <c r="B25" s="1">
        <v>17.45</v>
      </c>
      <c r="C25" s="4" t="s">
        <v>15</v>
      </c>
      <c r="D25" s="36">
        <v>1.21</v>
      </c>
      <c r="E25" s="4" t="s">
        <v>15</v>
      </c>
      <c r="F25" s="1"/>
      <c r="G25" s="4" t="s">
        <v>15</v>
      </c>
      <c r="H25" s="1"/>
      <c r="I25" s="4" t="s">
        <v>15</v>
      </c>
      <c r="J25" s="1"/>
      <c r="K25" s="4" t="s">
        <v>15</v>
      </c>
    </row>
    <row r="26" spans="1:11" x14ac:dyDescent="0.3">
      <c r="A26" s="3" t="s">
        <v>18</v>
      </c>
      <c r="B26" s="1">
        <v>17.3</v>
      </c>
      <c r="C26" s="4" t="s">
        <v>15</v>
      </c>
      <c r="D26" s="36">
        <v>1.19</v>
      </c>
      <c r="E26" s="4" t="s">
        <v>15</v>
      </c>
      <c r="F26" s="1"/>
      <c r="G26" s="4" t="s">
        <v>15</v>
      </c>
      <c r="H26" s="1"/>
      <c r="I26" s="4" t="s">
        <v>15</v>
      </c>
      <c r="J26" s="1"/>
      <c r="K26" s="4" t="s">
        <v>15</v>
      </c>
    </row>
    <row r="27" spans="1:11" x14ac:dyDescent="0.3">
      <c r="A27" s="5"/>
      <c r="B27" s="1"/>
      <c r="C27" s="4" t="s">
        <v>15</v>
      </c>
      <c r="D27" s="1"/>
      <c r="E27" s="4" t="s">
        <v>15</v>
      </c>
      <c r="F27" s="1"/>
      <c r="G27" s="4" t="s">
        <v>15</v>
      </c>
      <c r="H27" s="1"/>
      <c r="I27" s="4" t="s">
        <v>15</v>
      </c>
      <c r="J27" s="1"/>
      <c r="K27" s="4" t="s">
        <v>15</v>
      </c>
    </row>
    <row r="28" spans="1:11" x14ac:dyDescent="0.3">
      <c r="A28" s="1" t="s">
        <v>19</v>
      </c>
      <c r="B28" s="1">
        <v>427.76</v>
      </c>
      <c r="C28" s="4" t="s">
        <v>15</v>
      </c>
      <c r="D28" s="36">
        <v>61.02</v>
      </c>
      <c r="E28" s="4" t="s">
        <v>15</v>
      </c>
      <c r="F28" s="1"/>
      <c r="G28" s="4" t="s">
        <v>15</v>
      </c>
      <c r="H28" s="22">
        <v>296.5</v>
      </c>
      <c r="I28" s="4" t="s">
        <v>15</v>
      </c>
      <c r="J28" s="1"/>
      <c r="K28" s="4" t="s">
        <v>15</v>
      </c>
    </row>
    <row r="29" spans="1:11" x14ac:dyDescent="0.3">
      <c r="A29" s="1" t="s">
        <v>69</v>
      </c>
      <c r="B29" s="22">
        <v>22301000</v>
      </c>
      <c r="C29" s="4" t="s">
        <v>15</v>
      </c>
      <c r="D29" s="22">
        <v>24940000</v>
      </c>
      <c r="E29" s="23">
        <f t="shared" ref="E29:E30" si="1">D29/$D$17</f>
        <v>0.40937592331177569</v>
      </c>
      <c r="F29" s="1"/>
      <c r="G29" s="4"/>
      <c r="H29" s="22">
        <v>381080000</v>
      </c>
      <c r="I29" s="4"/>
      <c r="J29" s="1"/>
      <c r="K29" s="4"/>
    </row>
    <row r="30" spans="1:11" ht="37.5" x14ac:dyDescent="0.3">
      <c r="A30" s="3" t="s">
        <v>24</v>
      </c>
      <c r="B30" s="22">
        <f>B29*B28</f>
        <v>9539475760</v>
      </c>
      <c r="C30" s="23">
        <f>B30/$B$17</f>
        <v>1.2453896847868204</v>
      </c>
      <c r="D30" s="22">
        <f>D29*D28</f>
        <v>1521838800</v>
      </c>
      <c r="E30" s="23">
        <f t="shared" si="1"/>
        <v>24.980118840484554</v>
      </c>
      <c r="F30" s="1"/>
      <c r="G30" s="4"/>
      <c r="H30" s="22">
        <f>H29*H28</f>
        <v>112990220000</v>
      </c>
      <c r="I30" s="4"/>
      <c r="J30" s="1"/>
      <c r="K30" s="4"/>
    </row>
    <row r="31" spans="1:11" ht="37.5" x14ac:dyDescent="0.3">
      <c r="A31" s="6" t="s">
        <v>20</v>
      </c>
      <c r="B31" s="1">
        <f>B28/B26</f>
        <v>24.726011560693639</v>
      </c>
      <c r="C31" s="4" t="s">
        <v>15</v>
      </c>
      <c r="D31" s="1">
        <f>D28/D26</f>
        <v>51.27731092436975</v>
      </c>
      <c r="E31" s="4" t="s">
        <v>15</v>
      </c>
      <c r="F31" s="1"/>
      <c r="G31" s="4" t="s">
        <v>15</v>
      </c>
      <c r="H31" s="1"/>
      <c r="I31" s="4" t="s">
        <v>15</v>
      </c>
      <c r="J31" s="1"/>
      <c r="K31" s="4" t="s">
        <v>15</v>
      </c>
    </row>
    <row r="32" spans="1:11" x14ac:dyDescent="0.3">
      <c r="A32" s="1" t="s">
        <v>29</v>
      </c>
      <c r="B32" s="1">
        <v>2.73</v>
      </c>
      <c r="C32" s="4" t="s">
        <v>15</v>
      </c>
      <c r="D32" s="1">
        <v>61.698845921168967</v>
      </c>
      <c r="E32" s="4" t="s">
        <v>15</v>
      </c>
      <c r="F32" s="1"/>
      <c r="G32" s="4" t="s">
        <v>15</v>
      </c>
      <c r="H32" s="1">
        <v>6.36</v>
      </c>
      <c r="I32" s="4" t="s">
        <v>15</v>
      </c>
      <c r="J32" s="1"/>
      <c r="K32" s="4" t="s">
        <v>15</v>
      </c>
    </row>
  </sheetData>
  <mergeCells count="33">
    <mergeCell ref="H13:I13"/>
    <mergeCell ref="J13:K13"/>
    <mergeCell ref="B10:C10"/>
    <mergeCell ref="D10:E10"/>
    <mergeCell ref="F10:G10"/>
    <mergeCell ref="H10:I10"/>
    <mergeCell ref="J10:K10"/>
    <mergeCell ref="L10:M10"/>
    <mergeCell ref="F12:G12"/>
    <mergeCell ref="H12:I12"/>
    <mergeCell ref="J12:K12"/>
    <mergeCell ref="L12:M12"/>
    <mergeCell ref="B13:C13"/>
    <mergeCell ref="D13:E13"/>
    <mergeCell ref="F13:G13"/>
    <mergeCell ref="B9:C9"/>
    <mergeCell ref="D9:E9"/>
    <mergeCell ref="F9:G9"/>
    <mergeCell ref="H9:I9"/>
    <mergeCell ref="J9:K9"/>
    <mergeCell ref="L11:M11"/>
    <mergeCell ref="B14:C14"/>
    <mergeCell ref="D14:E14"/>
    <mergeCell ref="F14:G14"/>
    <mergeCell ref="H14:I14"/>
    <mergeCell ref="J14:K14"/>
    <mergeCell ref="B11:C11"/>
    <mergeCell ref="D11:E11"/>
    <mergeCell ref="F11:G11"/>
    <mergeCell ref="H11:I11"/>
    <mergeCell ref="J11:K11"/>
    <mergeCell ref="B12:C12"/>
    <mergeCell ref="D12:E12"/>
  </mergeCells>
  <pageMargins left="0.7" right="0.7" top="0.75" bottom="0.75" header="0.3" footer="0.3"/>
  <pageSetup scale="37" orientation="landscape" r:id="rId1"/>
  <headerFooter>
    <oddFooter>&amp;L&amp;9&amp;Z&amp;F&amp;A&amp;R&amp;D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topLeftCell="A6" workbookViewId="0">
      <selection activeCell="G1" sqref="G1:G1048576"/>
    </sheetView>
  </sheetViews>
  <sheetFormatPr defaultRowHeight="15" x14ac:dyDescent="0.25"/>
  <cols>
    <col min="1" max="1" width="35" bestFit="1" customWidth="1"/>
    <col min="2" max="2" width="33.140625" bestFit="1" customWidth="1"/>
    <col min="3" max="3" width="25" bestFit="1" customWidth="1"/>
    <col min="4" max="4" width="36" bestFit="1" customWidth="1"/>
    <col min="5" max="5" width="26" bestFit="1" customWidth="1"/>
    <col min="6" max="6" width="24.42578125" bestFit="1" customWidth="1"/>
  </cols>
  <sheetData>
    <row r="1" spans="1:6" ht="15.75" x14ac:dyDescent="0.25">
      <c r="A1" s="24" t="s">
        <v>48</v>
      </c>
      <c r="B1" s="24"/>
      <c r="C1" s="24"/>
      <c r="D1" s="24"/>
      <c r="E1" s="24"/>
      <c r="F1" s="24"/>
    </row>
    <row r="2" spans="1:6" ht="15.75" x14ac:dyDescent="0.25">
      <c r="A2" s="25" t="s">
        <v>49</v>
      </c>
      <c r="B2" s="26">
        <v>45473</v>
      </c>
      <c r="C2" s="26">
        <v>45319</v>
      </c>
      <c r="D2" s="26">
        <v>45412</v>
      </c>
      <c r="E2" s="26">
        <v>45291</v>
      </c>
      <c r="F2" s="26">
        <v>45291</v>
      </c>
    </row>
    <row r="3" spans="1:6" ht="15.75" x14ac:dyDescent="0.25">
      <c r="A3" s="27" t="s">
        <v>50</v>
      </c>
      <c r="B3" s="28" t="s">
        <v>43</v>
      </c>
      <c r="C3" s="28" t="s">
        <v>44</v>
      </c>
      <c r="D3" s="28" t="s">
        <v>45</v>
      </c>
      <c r="E3" s="28" t="s">
        <v>46</v>
      </c>
      <c r="F3" s="28" t="s">
        <v>47</v>
      </c>
    </row>
    <row r="4" spans="1:6" ht="204.75" x14ac:dyDescent="0.25">
      <c r="A4" s="29" t="s">
        <v>51</v>
      </c>
      <c r="B4" s="30" t="s">
        <v>52</v>
      </c>
      <c r="C4" s="30" t="s">
        <v>53</v>
      </c>
      <c r="D4" s="30" t="s">
        <v>54</v>
      </c>
      <c r="E4" s="30" t="s">
        <v>55</v>
      </c>
      <c r="F4" s="30" t="s">
        <v>56</v>
      </c>
    </row>
    <row r="5" spans="1:6" ht="15.75" x14ac:dyDescent="0.25">
      <c r="A5" s="31"/>
      <c r="B5" s="31"/>
      <c r="C5" s="31"/>
      <c r="D5" s="31"/>
      <c r="E5" s="31"/>
      <c r="F5" s="31"/>
    </row>
    <row r="6" spans="1:6" ht="409.5" x14ac:dyDescent="0.25">
      <c r="A6" s="29" t="s">
        <v>57</v>
      </c>
      <c r="B6" s="30" t="s">
        <v>58</v>
      </c>
      <c r="C6" s="30" t="s">
        <v>59</v>
      </c>
      <c r="D6" s="30" t="s">
        <v>60</v>
      </c>
      <c r="E6" s="30" t="s">
        <v>61</v>
      </c>
      <c r="F6" s="30" t="s">
        <v>62</v>
      </c>
    </row>
    <row r="7" spans="1:6" ht="15.75" x14ac:dyDescent="0.25">
      <c r="A7" s="32" t="s">
        <v>63</v>
      </c>
      <c r="B7" s="33"/>
      <c r="C7" s="33"/>
      <c r="D7" s="33"/>
      <c r="E7" s="33"/>
      <c r="F7" s="33"/>
    </row>
    <row r="8" spans="1:6" ht="15.75" x14ac:dyDescent="0.25">
      <c r="A8" s="25" t="s">
        <v>64</v>
      </c>
      <c r="B8" s="34"/>
      <c r="C8" s="34"/>
      <c r="D8" s="34"/>
      <c r="E8" s="34"/>
      <c r="F8" s="34"/>
    </row>
    <row r="9" spans="1:6" ht="15.75" x14ac:dyDescent="0.25">
      <c r="A9" s="25" t="s">
        <v>65</v>
      </c>
      <c r="B9" s="34"/>
      <c r="C9" s="34"/>
      <c r="D9" s="34"/>
      <c r="E9" s="34"/>
      <c r="F9" s="34"/>
    </row>
    <row r="10" spans="1:6" ht="15.75" x14ac:dyDescent="0.25">
      <c r="A10" s="25" t="s">
        <v>66</v>
      </c>
      <c r="B10" s="34"/>
      <c r="C10" s="34"/>
      <c r="D10" s="34"/>
      <c r="E10" s="34"/>
      <c r="F10" s="34"/>
    </row>
    <row r="11" spans="1:6" ht="15.75" x14ac:dyDescent="0.25">
      <c r="A11" s="25" t="s">
        <v>67</v>
      </c>
      <c r="B11" s="34"/>
      <c r="C11" s="34"/>
      <c r="D11" s="34"/>
      <c r="E11" s="34"/>
      <c r="F11" s="34"/>
    </row>
    <row r="12" spans="1:6" ht="15.75" x14ac:dyDescent="0.25">
      <c r="A12" s="25" t="s">
        <v>68</v>
      </c>
      <c r="B12" s="35"/>
      <c r="C12" s="35"/>
      <c r="D12" s="35"/>
      <c r="E12" s="35"/>
      <c r="F12" s="35"/>
    </row>
  </sheetData>
  <mergeCells count="2">
    <mergeCell ref="A1:F1"/>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GHW compile I-S &amp; P-E</vt:lpstr>
      <vt:lpstr>Industry Analysis</vt:lpstr>
    </vt:vector>
  </TitlesOfParts>
  <Company>Washington University in St. Louis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Olin School of Business</dc:creator>
  <cp:lastModifiedBy>Morman (US), Brian J</cp:lastModifiedBy>
  <cp:lastPrinted>2015-09-07T18:04:00Z</cp:lastPrinted>
  <dcterms:created xsi:type="dcterms:W3CDTF">2011-09-22T16:41:58Z</dcterms:created>
  <dcterms:modified xsi:type="dcterms:W3CDTF">2024-09-18T12:57:31Z</dcterms:modified>
</cp:coreProperties>
</file>