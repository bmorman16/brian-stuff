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gz173f\Documents\Personal\EMBA\Finance\"/>
    </mc:Choice>
  </mc:AlternateContent>
  <xr:revisionPtr revIDLastSave="0" documentId="13_ncr:1_{716F4389-E3EF-4E00-8F92-4ACE18D8AE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vidia Balance sheet" sheetId="2" r:id="rId1"/>
    <sheet name="Nvidia Income statement" sheetId="3" r:id="rId2"/>
    <sheet name="NvidiaStatement of cash flows" sheetId="4" r:id="rId3"/>
    <sheet name="Nvidia Stockholders equity" sheetId="5" r:id="rId4"/>
    <sheet name="Part 5, Wirtel assumptions" sheetId="6" r:id="rId5"/>
    <sheet name="Part 5. Wirtel answer template" sheetId="7" r:id="rId6"/>
  </sheets>
  <definedNames>
    <definedName name="_xlnm.Print_Area" localSheetId="0">'Nvidia Balance sheet'!$A$1:$L$44</definedName>
    <definedName name="_xlnm.Print_Area" localSheetId="1">'Nvidia Income statement'!$A$1:$R$28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2" l="1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R25" i="3"/>
  <c r="R24" i="3"/>
  <c r="R21" i="3"/>
  <c r="R20" i="3"/>
  <c r="R19" i="3"/>
  <c r="R18" i="3"/>
  <c r="R17" i="3"/>
  <c r="R16" i="3"/>
  <c r="R15" i="3"/>
  <c r="R14" i="3"/>
  <c r="R13" i="3"/>
  <c r="R11" i="3"/>
  <c r="R10" i="3"/>
  <c r="R8" i="3"/>
  <c r="R7" i="3"/>
  <c r="R6" i="3"/>
  <c r="P25" i="3"/>
  <c r="P24" i="3"/>
  <c r="P21" i="3"/>
  <c r="P20" i="3"/>
  <c r="P19" i="3"/>
  <c r="P18" i="3"/>
  <c r="P17" i="3"/>
  <c r="P16" i="3"/>
  <c r="P15" i="3"/>
  <c r="P14" i="3"/>
  <c r="P13" i="3"/>
  <c r="P12" i="3"/>
  <c r="P11" i="3"/>
  <c r="P10" i="3"/>
  <c r="P8" i="3"/>
  <c r="P7" i="3"/>
  <c r="P6" i="3"/>
  <c r="N25" i="3"/>
  <c r="N24" i="3"/>
  <c r="N21" i="3"/>
  <c r="N20" i="3"/>
  <c r="N19" i="3"/>
  <c r="N18" i="3"/>
  <c r="N17" i="3"/>
  <c r="N16" i="3"/>
  <c r="N15" i="3"/>
  <c r="N14" i="3"/>
  <c r="N13" i="3"/>
  <c r="N11" i="3"/>
  <c r="N10" i="3"/>
  <c r="N8" i="3"/>
  <c r="N7" i="3"/>
  <c r="N6" i="3"/>
  <c r="L25" i="3"/>
  <c r="L24" i="3"/>
  <c r="L21" i="3"/>
  <c r="L20" i="3"/>
  <c r="L19" i="3"/>
  <c r="L18" i="3"/>
  <c r="L17" i="3"/>
  <c r="L16" i="3"/>
  <c r="L15" i="3"/>
  <c r="L14" i="3"/>
  <c r="L13" i="3"/>
  <c r="L11" i="3"/>
  <c r="L10" i="3"/>
  <c r="L8" i="3"/>
  <c r="L7" i="3"/>
  <c r="L6" i="3"/>
  <c r="H25" i="3"/>
  <c r="H24" i="3"/>
  <c r="H21" i="3"/>
  <c r="H20" i="3"/>
  <c r="H19" i="3"/>
  <c r="H18" i="3"/>
  <c r="H17" i="3"/>
  <c r="H16" i="3"/>
  <c r="H15" i="3"/>
  <c r="H14" i="3"/>
  <c r="H13" i="3"/>
  <c r="H11" i="3"/>
  <c r="H10" i="3"/>
  <c r="H8" i="3"/>
  <c r="H7" i="3"/>
  <c r="H6" i="3"/>
  <c r="J25" i="3"/>
  <c r="J24" i="3"/>
  <c r="J21" i="3"/>
  <c r="J20" i="3"/>
  <c r="J19" i="3"/>
  <c r="J18" i="3"/>
  <c r="J17" i="3"/>
  <c r="J16" i="3"/>
  <c r="J15" i="3"/>
  <c r="J14" i="3"/>
  <c r="J13" i="3"/>
  <c r="J12" i="3"/>
  <c r="J11" i="3"/>
  <c r="J10" i="3"/>
  <c r="J8" i="3"/>
  <c r="J7" i="3"/>
  <c r="J6" i="3"/>
  <c r="F25" i="3"/>
  <c r="F24" i="3"/>
  <c r="F21" i="3"/>
  <c r="F20" i="3"/>
  <c r="F19" i="3"/>
  <c r="F18" i="3"/>
  <c r="F17" i="3"/>
  <c r="F16" i="3"/>
  <c r="F15" i="3"/>
  <c r="F14" i="3"/>
  <c r="F13" i="3"/>
  <c r="F12" i="3"/>
  <c r="F11" i="3"/>
  <c r="F10" i="3"/>
  <c r="F8" i="3"/>
  <c r="F7" i="3"/>
  <c r="F6" i="3"/>
  <c r="D37" i="7"/>
  <c r="C37" i="7"/>
  <c r="C34" i="7"/>
  <c r="D32" i="7"/>
  <c r="D34" i="7" s="1"/>
  <c r="C32" i="7"/>
  <c r="D28" i="7"/>
  <c r="C28" i="7"/>
  <c r="D25" i="7"/>
  <c r="D29" i="7" s="1"/>
  <c r="D38" i="7" s="1"/>
  <c r="C25" i="7"/>
  <c r="C29" i="7" s="1"/>
  <c r="C38" i="7" s="1"/>
  <c r="D14" i="7"/>
  <c r="D15" i="7" s="1"/>
  <c r="D17" i="7" s="1"/>
  <c r="C14" i="7"/>
  <c r="C15" i="7" s="1"/>
  <c r="C17" i="7" s="1"/>
  <c r="A9" i="7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C42" i="2"/>
  <c r="B42" i="2"/>
  <c r="C26" i="2"/>
  <c r="C30" i="2" s="1"/>
  <c r="B26" i="2"/>
  <c r="B30" i="2" s="1"/>
  <c r="C12" i="2"/>
  <c r="C19" i="2" s="1"/>
  <c r="B12" i="2"/>
  <c r="B19" i="2" s="1"/>
  <c r="D18" i="3"/>
  <c r="C18" i="3"/>
  <c r="B18" i="3"/>
  <c r="D13" i="3"/>
  <c r="C13" i="3"/>
  <c r="B13" i="3"/>
  <c r="B14" i="3" s="1"/>
  <c r="B19" i="3" s="1"/>
  <c r="B21" i="3" s="1"/>
  <c r="D8" i="3"/>
  <c r="D14" i="3" s="1"/>
  <c r="D19" i="3" s="1"/>
  <c r="D21" i="3" s="1"/>
  <c r="C8" i="3"/>
  <c r="C14" i="3" s="1"/>
  <c r="C19" i="3" s="1"/>
  <c r="C21" i="3" s="1"/>
  <c r="B8" i="3"/>
</calcChain>
</file>

<file path=xl/sharedStrings.xml><?xml version="1.0" encoding="utf-8"?>
<sst xmlns="http://schemas.openxmlformats.org/spreadsheetml/2006/main" count="257" uniqueCount="192">
  <si>
    <t/>
  </si>
  <si>
    <t>Assets</t>
  </si>
  <si>
    <t>Current assets:</t>
  </si>
  <si>
    <t>Cash and cash equivalents</t>
  </si>
  <si>
    <t>Marketable securities</t>
  </si>
  <si>
    <t>Accounts receivable, net</t>
  </si>
  <si>
    <t>Prepaid expenses and other current assets</t>
  </si>
  <si>
    <t>Total current assets</t>
  </si>
  <si>
    <t>Property and equipment, net</t>
  </si>
  <si>
    <t>Intangible assets, net</t>
  </si>
  <si>
    <t>Goodwill</t>
  </si>
  <si>
    <t>Other assets</t>
  </si>
  <si>
    <t>Total assets</t>
  </si>
  <si>
    <t>Current liabilities:</t>
  </si>
  <si>
    <t>Accounts payable</t>
  </si>
  <si>
    <t>Total current liabilities</t>
  </si>
  <si>
    <t>Long-term debt</t>
  </si>
  <si>
    <t>Total liabilities</t>
  </si>
  <si>
    <t>Additional paid-in capital</t>
  </si>
  <si>
    <t>Retained earnings</t>
  </si>
  <si>
    <t>Revenue</t>
  </si>
  <si>
    <t>Cost of revenue</t>
  </si>
  <si>
    <t>Research and development</t>
  </si>
  <si>
    <t>Net income</t>
  </si>
  <si>
    <t>Basic</t>
  </si>
  <si>
    <t>Diluted</t>
  </si>
  <si>
    <t>(In millions)</t>
  </si>
  <si>
    <t>Depreciation and amortization</t>
  </si>
  <si>
    <t>Deferred income taxes</t>
  </si>
  <si>
    <t>Other</t>
  </si>
  <si>
    <t>Accounts receivable</t>
  </si>
  <si>
    <t>Net cash provided by operating activities</t>
  </si>
  <si>
    <t>Cash paid for income taxes, net</t>
  </si>
  <si>
    <t>Accumulated Other</t>
  </si>
  <si>
    <t>Additional</t>
  </si>
  <si>
    <t>Retained</t>
  </si>
  <si>
    <t>Shares</t>
  </si>
  <si>
    <t>Earnings</t>
  </si>
  <si>
    <t>Equity</t>
  </si>
  <si>
    <t>Other comprehensive income</t>
  </si>
  <si>
    <t>Other comprehensive loss</t>
  </si>
  <si>
    <t>$ change for two years</t>
  </si>
  <si>
    <t>% change for two years</t>
  </si>
  <si>
    <t>See Chapter 6, Topic 6 of Financial Reporting: First Take for discussion of Expanded presentation</t>
  </si>
  <si>
    <t>See Chapter 7, Topic 12 of Financial Reporting: First Take for disucssion of Expanded presentation and formuli</t>
  </si>
  <si>
    <t xml:space="preserve">$ change for </t>
  </si>
  <si>
    <t xml:space="preserve">% change for </t>
  </si>
  <si>
    <t xml:space="preserve">common-sized for </t>
  </si>
  <si>
    <t>NVIDIA Corporation and Subsidiaries</t>
  </si>
  <si>
    <t>Consolidated Statements of Income</t>
  </si>
  <si>
    <t>(In millions, except per share data)</t>
  </si>
  <si>
    <t>Year Ended</t>
  </si>
  <si>
    <t>Jan 28, 2024</t>
  </si>
  <si>
    <t>Jan 29, 2023</t>
  </si>
  <si>
    <t>Jan 30, 2022</t>
  </si>
  <si>
    <t>Gross profit</t>
  </si>
  <si>
    <t>Operating expenses</t>
  </si>
  <si>
    <t>Sales, general and administrative</t>
  </si>
  <si>
    <t>Acquisition termination cost</t>
  </si>
  <si>
    <t>Total operating expenses</t>
  </si>
  <si>
    <t>Operating income</t>
  </si>
  <si>
    <t>Interest income</t>
  </si>
  <si>
    <t>Interest expense</t>
  </si>
  <si>
    <t>Other, net</t>
  </si>
  <si>
    <t>Other income (expense), net</t>
  </si>
  <si>
    <t>Income before income tax</t>
  </si>
  <si>
    <t>Income tax expense (benefit)</t>
  </si>
  <si>
    <t>Net income per share:</t>
  </si>
  <si>
    <t xml:space="preserve">Year Ended </t>
  </si>
  <si>
    <t>2024 v 2023</t>
  </si>
  <si>
    <t>2023 v 2022</t>
  </si>
  <si>
    <t>Consolidated Balance Sheets</t>
  </si>
  <si>
    <t>(In millions, except par value)</t>
  </si>
  <si>
    <t>Inventories</t>
  </si>
  <si>
    <t>Operating lease assets</t>
  </si>
  <si>
    <t>Deferred income tax assets</t>
  </si>
  <si>
    <t>Liabilities and Shareholders' Equity</t>
  </si>
  <si>
    <t>Accrued and other current liabilities</t>
  </si>
  <si>
    <t>Short-term debt</t>
  </si>
  <si>
    <t>Long-term operating lease liabilities</t>
  </si>
  <si>
    <t>Other long-term liabilities</t>
  </si>
  <si>
    <t>Commitments and contingencies - see Note 13</t>
  </si>
  <si>
    <t>Shareholders' equity:</t>
  </si>
  <si>
    <t>Preferred stock, $0.001 par value; 2 shares authorized; none issued</t>
  </si>
  <si>
    <t>Common stock, $0.001 par value; 8,000 shares authorized; 2,464 shares</t>
  </si>
  <si>
    <t>issued and outstanding as of January 28, 2024; 2,466 shares issued and</t>
  </si>
  <si>
    <t>outstanding as of January 29, 2023</t>
  </si>
  <si>
    <t>Accumulated other comprehensive income (loss)</t>
  </si>
  <si>
    <t>Total shareholders' equity</t>
  </si>
  <si>
    <t>Total liabilities and shareholders' equity</t>
  </si>
  <si>
    <t>common-sized for 2024</t>
  </si>
  <si>
    <t>common-sized for 2023</t>
  </si>
  <si>
    <t>Created by EDGAR Online, Inc.</t>
  </si>
  <si>
    <t>Consolidated Statements of Cash Flows</t>
  </si>
  <si>
    <t>Cash flows from operating activities:</t>
  </si>
  <si>
    <t>Adjustments to reconcile net income to net cash provided by</t>
  </si>
  <si>
    <t>operating activities:</t>
  </si>
  <si>
    <t>Stock-based compensation expense</t>
  </si>
  <si>
    <t>(Gains) losses on investments in non-affiliated entities,</t>
  </si>
  <si>
    <t>net</t>
  </si>
  <si>
    <t>Changes in operating assets and liabilities, net of</t>
  </si>
  <si>
    <t>acquisitions:</t>
  </si>
  <si>
    <t>Prepaid expenses and other assets</t>
  </si>
  <si>
    <t>Cash flows from investing activities:</t>
  </si>
  <si>
    <t>Proceeds from maturities of marketable securities</t>
  </si>
  <si>
    <t>Proceeds from sales of marketable securities</t>
  </si>
  <si>
    <t>Purchases of marketable securities</t>
  </si>
  <si>
    <t>Purchases related to property and equipment and intangible</t>
  </si>
  <si>
    <t>assets</t>
  </si>
  <si>
    <t>Acquisitions, net of cash acquired</t>
  </si>
  <si>
    <t>Investments in non-affiliated entities and other, net</t>
  </si>
  <si>
    <t>Net cash provided by (used in) investing activities</t>
  </si>
  <si>
    <t>Cash flows from financing activities:</t>
  </si>
  <si>
    <t>Proceeds related to employee stock plans</t>
  </si>
  <si>
    <t>Payments related to repurchases of common stock</t>
  </si>
  <si>
    <t>Payments related to tax on restricted stock units</t>
  </si>
  <si>
    <t>Repayment of debt</t>
  </si>
  <si>
    <t>Dividends paid</t>
  </si>
  <si>
    <t>Principal payments on property and equipment and intangible</t>
  </si>
  <si>
    <t>Issuance of debt, net of issuance costs</t>
  </si>
  <si>
    <t>Net cash provided by (used in) financing activities</t>
  </si>
  <si>
    <t>Change in cash and cash equivalents</t>
  </si>
  <si>
    <t>Cash and cash equivalents at beginning of period</t>
  </si>
  <si>
    <t>Cash and cash equivalents at end of period</t>
  </si>
  <si>
    <t>Supplemental disclosures of cash flow information:</t>
  </si>
  <si>
    <t>Cash paid for interest</t>
  </si>
  <si>
    <t>Consolidated Statements of Shareholders' Equity</t>
  </si>
  <si>
    <t>Common Stock</t>
  </si>
  <si>
    <t>Outstanding</t>
  </si>
  <si>
    <t>Paid-in</t>
  </si>
  <si>
    <t>Treasury</t>
  </si>
  <si>
    <t>Comprehensive</t>
  </si>
  <si>
    <t>Total Shareholders'</t>
  </si>
  <si>
    <t>Amount</t>
  </si>
  <si>
    <t>Capital</t>
  </si>
  <si>
    <t>Stock</t>
  </si>
  <si>
    <t>Income (Loss)</t>
  </si>
  <si>
    <t>Balances, Jan 31, 2021</t>
  </si>
  <si>
    <t>$3</t>
  </si>
  <si>
    <t>Issuance of common stock from stock</t>
  </si>
  <si>
    <t>plans</t>
  </si>
  <si>
    <t>Tax withholding related to vesting of</t>
  </si>
  <si>
    <t>restricted stock units</t>
  </si>
  <si>
    <t>Cash dividends declared and paid ($0.16</t>
  </si>
  <si>
    <t>per common share)</t>
  </si>
  <si>
    <t>Fair value of partially vested equity</t>
  </si>
  <si>
    <t>awards assumed in connection with</t>
  </si>
  <si>
    <t>acquisitions</t>
  </si>
  <si>
    <t>Stock-based compensation</t>
  </si>
  <si>
    <t>Retirement of Treasury Stock</t>
  </si>
  <si>
    <t>Balances, Jan 30, 2022</t>
  </si>
  <si>
    <t>Shares repurchased</t>
  </si>
  <si>
    <t>Balances, Jan 29, 2023</t>
  </si>
  <si>
    <t>Balances, Jan 28, 2024</t>
  </si>
  <si>
    <t>$2</t>
  </si>
  <si>
    <t xml:space="preserve">Name ______________________  </t>
  </si>
  <si>
    <t xml:space="preserve"> </t>
  </si>
  <si>
    <t>Wirtel Co. Pro forma Worksheet</t>
  </si>
  <si>
    <t>Complete pro forma F/S for year 5 (you can round the numbers to the nearest dollar if you like)</t>
  </si>
  <si>
    <t>(in millions of dollars)</t>
  </si>
  <si>
    <t>Income statement</t>
  </si>
  <si>
    <t>Year 3</t>
  </si>
  <si>
    <t>Year 4</t>
  </si>
  <si>
    <t>Year 5</t>
  </si>
  <si>
    <t>Explanation / description</t>
  </si>
  <si>
    <t>Sales revenue</t>
  </si>
  <si>
    <t>Less Expenses</t>
  </si>
  <si>
    <t xml:space="preserve">  Cost of goods sold</t>
  </si>
  <si>
    <t xml:space="preserve">  SG&amp;A</t>
  </si>
  <si>
    <t xml:space="preserve">  Depreciation expense</t>
  </si>
  <si>
    <t xml:space="preserve">  Interest</t>
  </si>
  <si>
    <t xml:space="preserve">      Total expenses</t>
  </si>
  <si>
    <t>Net income before taxes</t>
  </si>
  <si>
    <t>Income tax expense</t>
  </si>
  <si>
    <t xml:space="preserve">Net income  </t>
  </si>
  <si>
    <t>Balance Sheet</t>
  </si>
  <si>
    <t>ASSETS</t>
  </si>
  <si>
    <t>Cash</t>
  </si>
  <si>
    <t>Accounts receivable (net)</t>
  </si>
  <si>
    <t xml:space="preserve">  Total current assets</t>
  </si>
  <si>
    <t>PP&amp;E</t>
  </si>
  <si>
    <t>Less accumulated depreciation</t>
  </si>
  <si>
    <t>Net PP&amp;E</t>
  </si>
  <si>
    <t xml:space="preserve">  Total assets</t>
  </si>
  <si>
    <t>LIABILITIES AND SE</t>
  </si>
  <si>
    <t>Income taxes payable</t>
  </si>
  <si>
    <t xml:space="preserve">  Total current liabilities</t>
  </si>
  <si>
    <t>Bonds payable</t>
  </si>
  <si>
    <t xml:space="preserve">  Total liabilities</t>
  </si>
  <si>
    <t>Common stock &amp; APIC</t>
  </si>
  <si>
    <t xml:space="preserve">  Total shareholders' equity</t>
  </si>
  <si>
    <t xml:space="preserve">  Total liabilities and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</si>
</sst>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\$* #,##0_ ;_-\$* \-#,##0\ ;_-\$* &quot;-&quot;??_ ;_-@_ "/>
    <numFmt numFmtId="165" formatCode="0.0"/>
    <numFmt numFmtId="166" formatCode="&quot;$&quot;#,##0"/>
    <numFmt numFmtId="167" formatCode="0.000"/>
  </numFmts>
  <fonts count="16">
    <font>
      <sz val="11"/>
      <color theme="1"/>
      <name val="Times New Roman"/>
      <family val="2"/>
    </font>
    <font>
      <sz val="10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2"/>
    </font>
    <font>
      <sz val="10"/>
      <name val="Times New Roman"/>
      <family val="1"/>
    </font>
    <font>
      <sz val="9"/>
      <color indexed="0"/>
      <name val="Helvetica"/>
      <charset val="134"/>
    </font>
    <font>
      <sz val="9"/>
      <color indexed="8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i/>
      <sz val="9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</cellStyleXfs>
  <cellXfs count="11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2" borderId="1" xfId="0" applyFont="1" applyFill="1" applyBorder="1" applyAlignment="1">
      <alignment horizontal="right" vertical="top"/>
    </xf>
    <xf numFmtId="0" fontId="3" fillId="2" borderId="1" xfId="0" applyFont="1" applyFill="1" applyBorder="1" applyAlignment="1">
      <alignment vertical="top"/>
    </xf>
    <xf numFmtId="42" fontId="3" fillId="0" borderId="1" xfId="0" applyNumberFormat="1" applyFont="1" applyBorder="1" applyAlignment="1">
      <alignment vertical="top"/>
    </xf>
    <xf numFmtId="37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0" fontId="2" fillId="0" borderId="1" xfId="0" applyFont="1" applyBorder="1"/>
    <xf numFmtId="0" fontId="3" fillId="0" borderId="1" xfId="0" applyFont="1" applyBorder="1" applyAlignment="1">
      <alignment vertical="top"/>
    </xf>
    <xf numFmtId="2" fontId="9" fillId="0" borderId="1" xfId="3" applyNumberFormat="1" applyFont="1" applyBorder="1" applyAlignment="1">
      <alignment horizontal="center"/>
    </xf>
    <xf numFmtId="0" fontId="9" fillId="6" borderId="1" xfId="3" applyFont="1" applyFill="1" applyBorder="1" applyAlignment="1">
      <alignment horizontal="center"/>
    </xf>
    <xf numFmtId="10" fontId="9" fillId="0" borderId="1" xfId="3" applyNumberFormat="1" applyFont="1" applyBorder="1" applyAlignment="1">
      <alignment horizontal="center"/>
    </xf>
    <xf numFmtId="10" fontId="9" fillId="0" borderId="1" xfId="1" applyNumberFormat="1" applyFont="1" applyFill="1" applyBorder="1"/>
    <xf numFmtId="10" fontId="9" fillId="0" borderId="1" xfId="1" applyNumberFormat="1" applyFont="1" applyBorder="1"/>
    <xf numFmtId="0" fontId="8" fillId="7" borderId="1" xfId="0" applyFont="1" applyFill="1" applyBorder="1" applyAlignment="1">
      <alignment horizontal="center" vertical="center" wrapText="1"/>
    </xf>
    <xf numFmtId="0" fontId="7" fillId="7" borderId="1" xfId="3" applyFont="1" applyFill="1" applyBorder="1" applyAlignment="1">
      <alignment horizontal="center" vertical="center"/>
    </xf>
    <xf numFmtId="0" fontId="7" fillId="7" borderId="1" xfId="3" applyFont="1" applyFill="1" applyBorder="1" applyAlignment="1">
      <alignment horizontal="center"/>
    </xf>
    <xf numFmtId="2" fontId="9" fillId="7" borderId="1" xfId="3" applyNumberFormat="1" applyFont="1" applyFill="1" applyBorder="1" applyAlignment="1">
      <alignment horizontal="center"/>
    </xf>
    <xf numFmtId="0" fontId="9" fillId="7" borderId="1" xfId="3" applyFont="1" applyFill="1" applyBorder="1" applyAlignment="1">
      <alignment horizontal="center"/>
    </xf>
    <xf numFmtId="1" fontId="9" fillId="7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2" fontId="5" fillId="0" borderId="1" xfId="0" applyNumberFormat="1" applyFont="1" applyBorder="1" applyAlignment="1">
      <alignment vertical="top"/>
    </xf>
    <xf numFmtId="37" fontId="5" fillId="0" borderId="1" xfId="0" applyNumberFormat="1" applyFont="1" applyBorder="1" applyAlignment="1">
      <alignment vertical="top"/>
    </xf>
    <xf numFmtId="43" fontId="5" fillId="0" borderId="1" xfId="0" applyNumberFormat="1" applyFont="1" applyBorder="1" applyAlignment="1">
      <alignment vertical="top"/>
    </xf>
    <xf numFmtId="44" fontId="5" fillId="0" borderId="1" xfId="0" applyNumberFormat="1" applyFont="1" applyBorder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42" fontId="5" fillId="0" borderId="0" xfId="0" applyNumberFormat="1" applyFont="1" applyAlignment="1">
      <alignment vertical="top"/>
    </xf>
    <xf numFmtId="0" fontId="2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top" wrapText="1"/>
    </xf>
    <xf numFmtId="164" fontId="2" fillId="0" borderId="1" xfId="0" applyNumberFormat="1" applyFont="1" applyBorder="1"/>
    <xf numFmtId="0" fontId="11" fillId="2" borderId="1" xfId="3" applyFont="1" applyFill="1" applyBorder="1" applyAlignment="1">
      <alignment horizontal="center" vertical="top"/>
    </xf>
    <xf numFmtId="10" fontId="11" fillId="0" borderId="1" xfId="1" applyNumberFormat="1" applyFont="1" applyBorder="1" applyAlignment="1">
      <alignment horizontal="right" wrapText="1"/>
    </xf>
    <xf numFmtId="10" fontId="11" fillId="2" borderId="1" xfId="3" applyNumberFormat="1" applyFont="1" applyFill="1" applyBorder="1" applyAlignment="1">
      <alignment horizontal="center" vertical="top"/>
    </xf>
    <xf numFmtId="164" fontId="2" fillId="4" borderId="1" xfId="0" applyNumberFormat="1" applyFont="1" applyFill="1" applyBorder="1"/>
    <xf numFmtId="10" fontId="11" fillId="4" borderId="1" xfId="1" applyNumberFormat="1" applyFont="1" applyFill="1" applyBorder="1" applyAlignment="1">
      <alignment horizontal="right" wrapText="1"/>
    </xf>
    <xf numFmtId="37" fontId="3" fillId="0" borderId="0" xfId="0" applyNumberFormat="1" applyFont="1" applyAlignment="1">
      <alignment vertical="top"/>
    </xf>
    <xf numFmtId="0" fontId="2" fillId="2" borderId="1" xfId="0" applyFont="1" applyFill="1" applyBorder="1"/>
    <xf numFmtId="42" fontId="2" fillId="0" borderId="1" xfId="0" applyNumberFormat="1" applyFont="1" applyBorder="1"/>
    <xf numFmtId="37" fontId="2" fillId="0" borderId="1" xfId="0" applyNumberFormat="1" applyFont="1" applyBorder="1"/>
    <xf numFmtId="0" fontId="3" fillId="2" borderId="1" xfId="2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42" fontId="5" fillId="0" borderId="2" xfId="0" applyNumberFormat="1" applyFont="1" applyBorder="1" applyAlignment="1">
      <alignment vertical="top"/>
    </xf>
    <xf numFmtId="44" fontId="5" fillId="0" borderId="0" xfId="0" applyNumberFormat="1" applyFont="1" applyAlignment="1">
      <alignment vertical="top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7" fontId="1" fillId="0" borderId="1" xfId="0" applyNumberFormat="1" applyFont="1" applyBorder="1" applyAlignment="1">
      <alignment horizontal="center" vertical="center" wrapText="1"/>
    </xf>
    <xf numFmtId="42" fontId="1" fillId="0" borderId="1" xfId="0" applyNumberFormat="1" applyFont="1" applyBorder="1" applyAlignment="1">
      <alignment horizontal="center" vertical="center" wrapText="1"/>
    </xf>
    <xf numFmtId="43" fontId="1" fillId="0" borderId="1" xfId="0" applyNumberFormat="1" applyFont="1" applyBorder="1" applyAlignment="1">
      <alignment horizontal="center" vertical="center" wrapText="1"/>
    </xf>
    <xf numFmtId="4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4" applyFont="1"/>
    <xf numFmtId="0" fontId="1" fillId="0" borderId="0" xfId="4"/>
    <xf numFmtId="0" fontId="3" fillId="0" borderId="0" xfId="4" applyFont="1" applyAlignment="1">
      <alignment wrapText="1"/>
    </xf>
    <xf numFmtId="0" fontId="5" fillId="0" borderId="0" xfId="4" applyFont="1"/>
    <xf numFmtId="0" fontId="5" fillId="2" borderId="0" xfId="4" applyFont="1" applyFill="1"/>
    <xf numFmtId="0" fontId="13" fillId="0" borderId="0" xfId="4" applyFont="1" applyAlignment="1">
      <alignment horizontal="center"/>
    </xf>
    <xf numFmtId="0" fontId="12" fillId="0" borderId="0" xfId="4" applyFont="1" applyAlignment="1">
      <alignment wrapText="1"/>
    </xf>
    <xf numFmtId="0" fontId="13" fillId="0" borderId="0" xfId="4" applyFont="1"/>
    <xf numFmtId="1" fontId="13" fillId="0" borderId="0" xfId="4" applyNumberFormat="1" applyFont="1"/>
    <xf numFmtId="1" fontId="13" fillId="2" borderId="0" xfId="4" applyNumberFormat="1" applyFont="1" applyFill="1"/>
    <xf numFmtId="165" fontId="13" fillId="0" borderId="0" xfId="4" applyNumberFormat="1" applyFont="1"/>
    <xf numFmtId="2" fontId="13" fillId="0" borderId="0" xfId="4" applyNumberFormat="1" applyFont="1"/>
    <xf numFmtId="0" fontId="13" fillId="0" borderId="0" xfId="4" applyFont="1" applyAlignment="1">
      <alignment wrapText="1"/>
    </xf>
    <xf numFmtId="1" fontId="13" fillId="0" borderId="0" xfId="4" applyNumberFormat="1" applyFont="1" applyAlignment="1">
      <alignment horizontal="left"/>
    </xf>
    <xf numFmtId="0" fontId="14" fillId="0" borderId="0" xfId="4" applyFont="1"/>
    <xf numFmtId="0" fontId="14" fillId="0" borderId="0" xfId="4" applyFont="1" applyAlignment="1">
      <alignment wrapText="1"/>
    </xf>
    <xf numFmtId="0" fontId="14" fillId="0" borderId="0" xfId="4" applyFont="1" applyAlignment="1">
      <alignment horizontal="center"/>
    </xf>
    <xf numFmtId="1" fontId="14" fillId="0" borderId="1" xfId="4" applyNumberFormat="1" applyFont="1" applyBorder="1" applyAlignment="1">
      <alignment horizontal="center"/>
    </xf>
    <xf numFmtId="1" fontId="14" fillId="2" borderId="1" xfId="4" applyNumberFormat="1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3" fontId="13" fillId="0" borderId="3" xfId="4" applyNumberFormat="1" applyFont="1" applyBorder="1"/>
    <xf numFmtId="166" fontId="13" fillId="0" borderId="1" xfId="4" applyNumberFormat="1" applyFont="1" applyBorder="1"/>
    <xf numFmtId="166" fontId="13" fillId="2" borderId="1" xfId="4" applyNumberFormat="1" applyFont="1" applyFill="1" applyBorder="1"/>
    <xf numFmtId="2" fontId="1" fillId="0" borderId="1" xfId="4" applyNumberFormat="1" applyBorder="1"/>
    <xf numFmtId="166" fontId="13" fillId="0" borderId="0" xfId="4" applyNumberFormat="1" applyFont="1"/>
    <xf numFmtId="1" fontId="13" fillId="0" borderId="1" xfId="4" applyNumberFormat="1" applyFont="1" applyBorder="1"/>
    <xf numFmtId="1" fontId="13" fillId="2" borderId="1" xfId="4" applyNumberFormat="1" applyFont="1" applyFill="1" applyBorder="1"/>
    <xf numFmtId="165" fontId="13" fillId="0" borderId="1" xfId="4" applyNumberFormat="1" applyFont="1" applyBorder="1"/>
    <xf numFmtId="3" fontId="13" fillId="2" borderId="1" xfId="4" applyNumberFormat="1" applyFont="1" applyFill="1" applyBorder="1"/>
    <xf numFmtId="1" fontId="13" fillId="0" borderId="3" xfId="4" applyNumberFormat="1" applyFont="1" applyBorder="1"/>
    <xf numFmtId="0" fontId="15" fillId="0" borderId="0" xfId="4" applyFont="1" applyAlignment="1">
      <alignment wrapText="1"/>
    </xf>
    <xf numFmtId="1" fontId="13" fillId="0" borderId="4" xfId="4" applyNumberFormat="1" applyFont="1" applyBorder="1"/>
    <xf numFmtId="1" fontId="13" fillId="0" borderId="5" xfId="4" applyNumberFormat="1" applyFont="1" applyBorder="1"/>
    <xf numFmtId="1" fontId="14" fillId="0" borderId="0" xfId="4" applyNumberFormat="1" applyFont="1" applyAlignment="1">
      <alignment horizontal="center"/>
    </xf>
    <xf numFmtId="1" fontId="13" fillId="0" borderId="0" xfId="4" applyNumberFormat="1" applyFont="1" applyAlignment="1">
      <alignment horizontal="right"/>
    </xf>
    <xf numFmtId="167" fontId="1" fillId="0" borderId="1" xfId="4" applyNumberFormat="1" applyBorder="1"/>
    <xf numFmtId="1" fontId="13" fillId="0" borderId="3" xfId="4" applyNumberFormat="1" applyFont="1" applyBorder="1" applyAlignment="1">
      <alignment horizontal="right"/>
    </xf>
    <xf numFmtId="6" fontId="13" fillId="2" borderId="1" xfId="4" applyNumberFormat="1" applyFont="1" applyFill="1" applyBorder="1"/>
    <xf numFmtId="1" fontId="13" fillId="0" borderId="6" xfId="4" applyNumberFormat="1" applyFont="1" applyBorder="1" applyAlignment="1">
      <alignment horizontal="right"/>
    </xf>
    <xf numFmtId="1" fontId="13" fillId="0" borderId="7" xfId="4" applyNumberFormat="1" applyFont="1" applyBorder="1" applyAlignment="1">
      <alignment horizontal="right"/>
    </xf>
    <xf numFmtId="165" fontId="13" fillId="0" borderId="1" xfId="4" applyNumberFormat="1" applyFont="1" applyBorder="1" applyAlignment="1">
      <alignment horizontal="right"/>
    </xf>
    <xf numFmtId="0" fontId="1" fillId="0" borderId="1" xfId="4" applyBorder="1"/>
    <xf numFmtId="0" fontId="5" fillId="0" borderId="0" xfId="4" applyFont="1" applyAlignment="1">
      <alignment wrapText="1"/>
    </xf>
    <xf numFmtId="0" fontId="3" fillId="5" borderId="1" xfId="2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top" wrapText="1"/>
    </xf>
    <xf numFmtId="0" fontId="5" fillId="5" borderId="0" xfId="0" applyFont="1" applyFill="1" applyAlignment="1">
      <alignment horizontal="center" vertical="center" wrapText="1"/>
    </xf>
    <xf numFmtId="0" fontId="1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 shrinkToFit="1"/>
    </xf>
    <xf numFmtId="0" fontId="1" fillId="0" borderId="1" xfId="0" applyFont="1" applyBorder="1" applyAlignment="1">
      <alignment vertical="top"/>
    </xf>
    <xf numFmtId="44" fontId="9" fillId="0" borderId="1" xfId="3" applyNumberFormat="1" applyFont="1" applyBorder="1" applyAlignment="1">
      <alignment horizontal="center"/>
    </xf>
  </cellXfs>
  <cellStyles count="5">
    <cellStyle name="Normal" xfId="0" builtinId="0"/>
    <cellStyle name="Normal 2" xfId="4" xr:uid="{2634D19B-B34F-4203-9123-7C16513B90BE}"/>
    <cellStyle name="Normal 3" xfId="2" xr:uid="{00000000-0005-0000-0000-000001000000}"/>
    <cellStyle name="Normal_Sheet3" xfId="3" xr:uid="{00000000-0005-0000-0000-000002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1005840</xdr:colOff>
      <xdr:row>46</xdr:row>
      <xdr:rowOff>0</xdr:rowOff>
    </xdr:from>
    <xdr:to>
      <xdr:col>8</xdr:col>
      <xdr:colOff>235993</xdr:colOff>
      <xdr:row>79</xdr:row>
      <xdr:rowOff>6258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" y="8412480"/>
          <a:ext cx="6842533" cy="57898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563881</xdr:colOff>
      <xdr:row>36</xdr:row>
      <xdr:rowOff>49178</xdr:rowOff>
    </xdr:from>
    <xdr:to>
      <xdr:col>5</xdr:col>
      <xdr:colOff>355987</xdr:colOff>
      <xdr:row>61</xdr:row>
      <xdr:rowOff>53339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1" y="6358538"/>
          <a:ext cx="6467226" cy="43856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123825</xdr:rowOff>
    </xdr:from>
    <xdr:to>
      <xdr:col>4</xdr:col>
      <xdr:colOff>608648</xdr:colOff>
      <xdr:row>45</xdr:row>
      <xdr:rowOff>116205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6AFCEB1F-E336-43C4-B19F-93FEFF406939}"/>
            </a:ext>
          </a:extLst>
        </xdr:cNvPr>
        <xdr:cNvSpPr/>
      </xdr:nvSpPr>
      <xdr:spPr bwMode="auto">
        <a:xfrm>
          <a:off x="266700" y="312420"/>
          <a:ext cx="3856673" cy="7117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361950</xdr:colOff>
      <xdr:row>2</xdr:row>
      <xdr:rowOff>34925</xdr:rowOff>
    </xdr:from>
    <xdr:to>
      <xdr:col>10</xdr:col>
      <xdr:colOff>432435</xdr:colOff>
      <xdr:row>58</xdr:row>
      <xdr:rowOff>26035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782DB7-3E64-476B-8186-4876A3BFF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" y="385445"/>
          <a:ext cx="6985635" cy="91732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275590</xdr:colOff>
      <xdr:row>40</xdr:row>
      <xdr:rowOff>20320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51C30230-4336-48FA-93C8-0A1B15CBDADC}"/>
            </a:ext>
          </a:extLst>
        </xdr:cNvPr>
        <xdr:cNvSpPr/>
      </xdr:nvSpPr>
      <xdr:spPr bwMode="auto">
        <a:xfrm>
          <a:off x="0" y="190500"/>
          <a:ext cx="3790315" cy="739267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9"/>
  <sheetViews>
    <sheetView tabSelected="1" workbookViewId="0">
      <selection activeCell="N24" sqref="N24"/>
    </sheetView>
  </sheetViews>
  <sheetFormatPr defaultColWidth="9.140625" defaultRowHeight="15"/>
  <cols>
    <col min="1" max="1" width="44.7109375" style="2" customWidth="1"/>
    <col min="2" max="3" width="14" style="1" customWidth="1"/>
    <col min="4" max="4" width="3.140625" style="1" customWidth="1"/>
    <col min="5" max="5" width="16.28515625" style="1" customWidth="1"/>
    <col min="6" max="6" width="2.28515625" style="1" customWidth="1"/>
    <col min="7" max="7" width="14" style="1" customWidth="1"/>
    <col min="8" max="8" width="2.5703125" style="1" customWidth="1"/>
    <col min="9" max="9" width="14.28515625" style="1" customWidth="1"/>
    <col min="10" max="10" width="2.28515625" style="1" customWidth="1"/>
    <col min="11" max="11" width="15.7109375" style="1" customWidth="1"/>
    <col min="12" max="12" width="2" style="1" customWidth="1"/>
    <col min="13" max="16384" width="9.140625" style="1"/>
  </cols>
  <sheetData>
    <row r="1" spans="1:12">
      <c r="A1" s="13" t="s">
        <v>48</v>
      </c>
      <c r="B1" s="6"/>
      <c r="C1" s="6"/>
      <c r="D1" s="12"/>
      <c r="E1" s="102" t="s">
        <v>43</v>
      </c>
      <c r="F1" s="102"/>
      <c r="G1" s="102"/>
      <c r="H1" s="102"/>
      <c r="I1" s="102"/>
      <c r="J1" s="102"/>
      <c r="K1" s="102"/>
      <c r="L1" s="102"/>
    </row>
    <row r="2" spans="1:12">
      <c r="A2" s="13" t="s">
        <v>71</v>
      </c>
      <c r="B2" s="6"/>
      <c r="C2" s="6"/>
      <c r="D2" s="12"/>
      <c r="E2" s="102"/>
      <c r="F2" s="102"/>
      <c r="G2" s="102"/>
      <c r="H2" s="102"/>
      <c r="I2" s="102"/>
      <c r="J2" s="102"/>
      <c r="K2" s="102"/>
      <c r="L2" s="102"/>
    </row>
    <row r="3" spans="1:12" ht="27.75" customHeight="1">
      <c r="A3" s="13" t="s">
        <v>72</v>
      </c>
      <c r="B3" s="6"/>
      <c r="C3" s="6"/>
      <c r="D3" s="12"/>
      <c r="E3" s="102"/>
      <c r="F3" s="102"/>
      <c r="G3" s="102"/>
      <c r="H3" s="102"/>
      <c r="I3" s="102"/>
      <c r="J3" s="102"/>
      <c r="K3" s="102"/>
      <c r="L3" s="102"/>
    </row>
    <row r="4" spans="1:12">
      <c r="A4" s="7"/>
      <c r="B4" s="8" t="s">
        <v>52</v>
      </c>
      <c r="C4" s="8" t="s">
        <v>53</v>
      </c>
      <c r="D4" s="12"/>
      <c r="E4" s="103"/>
      <c r="F4" s="103"/>
      <c r="G4" s="103"/>
      <c r="H4" s="103"/>
      <c r="I4" s="103"/>
      <c r="J4" s="103"/>
      <c r="K4" s="103"/>
      <c r="L4" s="103"/>
    </row>
    <row r="5" spans="1:12" ht="30">
      <c r="A5" s="5" t="s">
        <v>1</v>
      </c>
      <c r="B5" s="6"/>
      <c r="C5" s="6"/>
      <c r="D5" s="45"/>
      <c r="E5" s="35" t="s">
        <v>41</v>
      </c>
      <c r="F5" s="36"/>
      <c r="G5" s="35" t="s">
        <v>42</v>
      </c>
      <c r="H5" s="36"/>
      <c r="I5" s="35" t="s">
        <v>90</v>
      </c>
      <c r="J5" s="36"/>
      <c r="K5" s="35" t="s">
        <v>91</v>
      </c>
      <c r="L5" s="37"/>
    </row>
    <row r="6" spans="1:12">
      <c r="A6" s="13" t="s">
        <v>2</v>
      </c>
      <c r="B6" s="6"/>
      <c r="C6" s="6"/>
      <c r="D6" s="45"/>
      <c r="E6" s="38"/>
      <c r="F6" s="39"/>
      <c r="G6" s="40"/>
      <c r="H6" s="41"/>
      <c r="I6" s="40"/>
      <c r="J6" s="41"/>
      <c r="K6" s="40"/>
      <c r="L6" s="39"/>
    </row>
    <row r="7" spans="1:12">
      <c r="A7" s="13" t="s">
        <v>3</v>
      </c>
      <c r="B7" s="9">
        <v>7280</v>
      </c>
      <c r="C7" s="9">
        <v>3389</v>
      </c>
      <c r="D7" s="45"/>
      <c r="E7" s="42">
        <f>B7-C7</f>
        <v>3891</v>
      </c>
      <c r="F7" s="39"/>
      <c r="G7" s="43">
        <f>E7/C7</f>
        <v>1.1481262909412806</v>
      </c>
      <c r="H7" s="41"/>
      <c r="I7" s="43">
        <f>B7/$B$19</f>
        <v>0.11075949367088607</v>
      </c>
      <c r="J7" s="41"/>
      <c r="K7" s="43">
        <f>C7/$C$19</f>
        <v>8.2293234908455151E-2</v>
      </c>
      <c r="L7" s="39"/>
    </row>
    <row r="8" spans="1:12">
      <c r="A8" s="13" t="s">
        <v>4</v>
      </c>
      <c r="B8" s="10">
        <v>18704</v>
      </c>
      <c r="C8" s="10">
        <v>9907</v>
      </c>
      <c r="D8" s="45"/>
      <c r="E8" s="42">
        <f t="shared" ref="E8:E43" si="0">B8-C8</f>
        <v>8797</v>
      </c>
      <c r="F8" s="39"/>
      <c r="G8" s="43">
        <f t="shared" ref="G8:G43" si="1">E8/C8</f>
        <v>0.88795800948824066</v>
      </c>
      <c r="H8" s="41"/>
      <c r="I8" s="43">
        <f t="shared" ref="I8:I43" si="2">B8/$B$19</f>
        <v>0.28456669912366117</v>
      </c>
      <c r="J8" s="41"/>
      <c r="K8" s="43">
        <f t="shared" ref="K8:K43" si="3">C8/$C$19</f>
        <v>0.24056626681559906</v>
      </c>
      <c r="L8" s="39"/>
    </row>
    <row r="9" spans="1:12">
      <c r="A9" s="13" t="s">
        <v>5</v>
      </c>
      <c r="B9" s="10">
        <v>9999</v>
      </c>
      <c r="C9" s="10">
        <v>3827</v>
      </c>
      <c r="D9" s="45"/>
      <c r="E9" s="42">
        <f t="shared" si="0"/>
        <v>6172</v>
      </c>
      <c r="F9" s="39"/>
      <c r="G9" s="43">
        <f t="shared" si="1"/>
        <v>1.6127515024823622</v>
      </c>
      <c r="H9" s="41"/>
      <c r="I9" s="43">
        <f t="shared" si="2"/>
        <v>0.15212694741966895</v>
      </c>
      <c r="J9" s="41"/>
      <c r="K9" s="43">
        <f t="shared" si="3"/>
        <v>9.2928949541061623E-2</v>
      </c>
      <c r="L9" s="39"/>
    </row>
    <row r="10" spans="1:12">
      <c r="A10" s="13" t="s">
        <v>73</v>
      </c>
      <c r="B10" s="10">
        <v>5282</v>
      </c>
      <c r="C10" s="10">
        <v>5159</v>
      </c>
      <c r="D10" s="45"/>
      <c r="E10" s="42">
        <f t="shared" si="0"/>
        <v>123</v>
      </c>
      <c r="F10" s="39"/>
      <c r="G10" s="43">
        <f t="shared" si="1"/>
        <v>2.3841829811979066E-2</v>
      </c>
      <c r="H10" s="41"/>
      <c r="I10" s="43">
        <f t="shared" si="2"/>
        <v>8.0361489776046735E-2</v>
      </c>
      <c r="J10" s="41"/>
      <c r="K10" s="43">
        <f t="shared" si="3"/>
        <v>0.1252731776018649</v>
      </c>
      <c r="L10" s="39"/>
    </row>
    <row r="11" spans="1:12">
      <c r="A11" s="13" t="s">
        <v>6</v>
      </c>
      <c r="B11" s="10">
        <v>3080</v>
      </c>
      <c r="C11" s="10">
        <v>791</v>
      </c>
      <c r="D11" s="45"/>
      <c r="E11" s="42">
        <f t="shared" si="0"/>
        <v>2289</v>
      </c>
      <c r="F11" s="39"/>
      <c r="G11" s="43">
        <f t="shared" si="1"/>
        <v>2.8938053097345131</v>
      </c>
      <c r="H11" s="41"/>
      <c r="I11" s="43">
        <f t="shared" si="2"/>
        <v>4.6859785783836413E-2</v>
      </c>
      <c r="J11" s="41"/>
      <c r="K11" s="43">
        <f t="shared" si="3"/>
        <v>1.9207420717789324E-2</v>
      </c>
      <c r="L11" s="39"/>
    </row>
    <row r="12" spans="1:12">
      <c r="A12" s="13" t="s">
        <v>7</v>
      </c>
      <c r="B12" s="10">
        <f>SUM(B7:B11)</f>
        <v>44345</v>
      </c>
      <c r="C12" s="10">
        <f>SUM(C7:C11)</f>
        <v>23073</v>
      </c>
      <c r="D12" s="45"/>
      <c r="E12" s="42">
        <f t="shared" si="0"/>
        <v>21272</v>
      </c>
      <c r="F12" s="39"/>
      <c r="G12" s="43">
        <f t="shared" si="1"/>
        <v>0.92194339704416417</v>
      </c>
      <c r="H12" s="41"/>
      <c r="I12" s="43">
        <f t="shared" si="2"/>
        <v>0.67467441577409937</v>
      </c>
      <c r="J12" s="41"/>
      <c r="K12" s="43">
        <f t="shared" si="3"/>
        <v>0.56026904958477008</v>
      </c>
      <c r="L12" s="39"/>
    </row>
    <row r="13" spans="1:12">
      <c r="A13" s="13" t="s">
        <v>8</v>
      </c>
      <c r="B13" s="10">
        <v>3914</v>
      </c>
      <c r="C13" s="10">
        <v>3807</v>
      </c>
      <c r="D13" s="45"/>
      <c r="E13" s="42">
        <f t="shared" si="0"/>
        <v>107</v>
      </c>
      <c r="F13" s="39"/>
      <c r="G13" s="43">
        <f t="shared" si="1"/>
        <v>2.8106120304701866E-2</v>
      </c>
      <c r="H13" s="41"/>
      <c r="I13" s="43">
        <f t="shared" si="2"/>
        <v>5.954844206426485E-2</v>
      </c>
      <c r="J13" s="41"/>
      <c r="K13" s="43">
        <f t="shared" si="3"/>
        <v>9.2443300471079598E-2</v>
      </c>
      <c r="L13" s="39"/>
    </row>
    <row r="14" spans="1:12">
      <c r="A14" s="13" t="s">
        <v>74</v>
      </c>
      <c r="B14" s="10">
        <v>1346</v>
      </c>
      <c r="C14" s="10">
        <v>1038</v>
      </c>
      <c r="D14" s="45"/>
      <c r="E14" s="42">
        <f t="shared" si="0"/>
        <v>308</v>
      </c>
      <c r="F14" s="39"/>
      <c r="G14" s="43">
        <f t="shared" si="1"/>
        <v>0.29672447013487474</v>
      </c>
      <c r="H14" s="41"/>
      <c r="I14" s="43">
        <f t="shared" si="2"/>
        <v>2.0478334956183057E-2</v>
      </c>
      <c r="J14" s="41"/>
      <c r="K14" s="43">
        <f t="shared" si="3"/>
        <v>2.5205186732067408E-2</v>
      </c>
      <c r="L14" s="39"/>
    </row>
    <row r="15" spans="1:12">
      <c r="A15" s="13" t="s">
        <v>10</v>
      </c>
      <c r="B15" s="10">
        <v>4430</v>
      </c>
      <c r="C15" s="10">
        <v>4372</v>
      </c>
      <c r="D15" s="45"/>
      <c r="E15" s="42">
        <f t="shared" si="0"/>
        <v>58</v>
      </c>
      <c r="F15" s="39"/>
      <c r="G15" s="43">
        <f t="shared" si="1"/>
        <v>1.3266239707227814E-2</v>
      </c>
      <c r="H15" s="41"/>
      <c r="I15" s="43">
        <f t="shared" si="2"/>
        <v>6.739897760467381E-2</v>
      </c>
      <c r="J15" s="41"/>
      <c r="K15" s="43">
        <f t="shared" si="3"/>
        <v>0.10616288669807197</v>
      </c>
      <c r="L15" s="39"/>
    </row>
    <row r="16" spans="1:12">
      <c r="A16" s="13" t="s">
        <v>9</v>
      </c>
      <c r="B16" s="10">
        <v>1112</v>
      </c>
      <c r="C16" s="10">
        <v>1676</v>
      </c>
      <c r="D16" s="45"/>
      <c r="E16" s="42">
        <f t="shared" si="0"/>
        <v>-564</v>
      </c>
      <c r="F16" s="39"/>
      <c r="G16" s="43">
        <f t="shared" si="1"/>
        <v>-0.33651551312649164</v>
      </c>
      <c r="H16" s="41"/>
      <c r="I16" s="43">
        <f t="shared" si="2"/>
        <v>1.6918208373904578E-2</v>
      </c>
      <c r="J16" s="41"/>
      <c r="K16" s="43">
        <f t="shared" si="3"/>
        <v>4.0697392064494194E-2</v>
      </c>
      <c r="L16" s="39"/>
    </row>
    <row r="17" spans="1:12">
      <c r="A17" s="13" t="s">
        <v>75</v>
      </c>
      <c r="B17" s="10">
        <v>6081</v>
      </c>
      <c r="C17" s="10">
        <v>3396</v>
      </c>
      <c r="D17" s="45"/>
      <c r="E17" s="42">
        <f t="shared" si="0"/>
        <v>2685</v>
      </c>
      <c r="F17" s="39"/>
      <c r="G17" s="43">
        <f t="shared" si="1"/>
        <v>0.79063604240282681</v>
      </c>
      <c r="H17" s="41"/>
      <c r="I17" s="43">
        <f t="shared" si="2"/>
        <v>9.2517648490749754E-2</v>
      </c>
      <c r="J17" s="41"/>
      <c r="K17" s="43">
        <f t="shared" si="3"/>
        <v>8.2463212082948864E-2</v>
      </c>
      <c r="L17" s="39"/>
    </row>
    <row r="18" spans="1:12">
      <c r="A18" s="13" t="s">
        <v>11</v>
      </c>
      <c r="B18" s="10">
        <v>4500</v>
      </c>
      <c r="C18" s="10">
        <v>3820</v>
      </c>
      <c r="D18" s="45"/>
      <c r="E18" s="42">
        <f t="shared" si="0"/>
        <v>680</v>
      </c>
      <c r="F18" s="39"/>
      <c r="G18" s="43">
        <f t="shared" si="1"/>
        <v>0.17801047120418848</v>
      </c>
      <c r="H18" s="41"/>
      <c r="I18" s="43">
        <f t="shared" si="2"/>
        <v>6.8463972736124631E-2</v>
      </c>
      <c r="J18" s="41"/>
      <c r="K18" s="43">
        <f t="shared" si="3"/>
        <v>9.2758972366567924E-2</v>
      </c>
      <c r="L18" s="39"/>
    </row>
    <row r="19" spans="1:12">
      <c r="A19" s="13" t="s">
        <v>12</v>
      </c>
      <c r="B19" s="46">
        <f>SUM(B12:B18)</f>
        <v>65728</v>
      </c>
      <c r="C19" s="46">
        <f>SUM(C12:C18)</f>
        <v>41182</v>
      </c>
      <c r="D19" s="45"/>
      <c r="E19" s="42">
        <f t="shared" si="0"/>
        <v>24546</v>
      </c>
      <c r="F19" s="39"/>
      <c r="G19" s="43">
        <f t="shared" si="1"/>
        <v>0.59603710358894668</v>
      </c>
      <c r="H19" s="41"/>
      <c r="I19" s="43">
        <f t="shared" si="2"/>
        <v>1</v>
      </c>
      <c r="J19" s="41"/>
      <c r="K19" s="43">
        <f t="shared" si="3"/>
        <v>1</v>
      </c>
      <c r="L19" s="39"/>
    </row>
    <row r="20" spans="1:12">
      <c r="A20" s="6"/>
      <c r="B20" s="9"/>
      <c r="C20" s="9"/>
      <c r="D20" s="45"/>
      <c r="E20" s="42">
        <f t="shared" si="0"/>
        <v>0</v>
      </c>
      <c r="F20" s="39"/>
      <c r="G20" s="43" t="e">
        <f t="shared" si="1"/>
        <v>#DIV/0!</v>
      </c>
      <c r="H20" s="41"/>
      <c r="I20" s="43">
        <f t="shared" si="2"/>
        <v>0</v>
      </c>
      <c r="J20" s="41"/>
      <c r="K20" s="43">
        <f t="shared" si="3"/>
        <v>0</v>
      </c>
      <c r="L20" s="39"/>
    </row>
    <row r="21" spans="1:12">
      <c r="A21" s="13" t="s">
        <v>76</v>
      </c>
      <c r="B21" s="6"/>
      <c r="C21" s="6"/>
      <c r="D21" s="45"/>
      <c r="E21" s="42">
        <f t="shared" si="0"/>
        <v>0</v>
      </c>
      <c r="F21" s="39"/>
      <c r="G21" s="43" t="e">
        <f t="shared" si="1"/>
        <v>#DIV/0!</v>
      </c>
      <c r="H21" s="41"/>
      <c r="I21" s="43">
        <f t="shared" si="2"/>
        <v>0</v>
      </c>
      <c r="J21" s="41"/>
      <c r="K21" s="43">
        <f t="shared" si="3"/>
        <v>0</v>
      </c>
      <c r="L21" s="39"/>
    </row>
    <row r="22" spans="1:12">
      <c r="A22" s="13" t="s">
        <v>13</v>
      </c>
      <c r="B22" s="6"/>
      <c r="C22" s="6"/>
      <c r="D22" s="45"/>
      <c r="E22" s="42">
        <f t="shared" si="0"/>
        <v>0</v>
      </c>
      <c r="F22" s="39"/>
      <c r="G22" s="43" t="e">
        <f t="shared" si="1"/>
        <v>#DIV/0!</v>
      </c>
      <c r="H22" s="41"/>
      <c r="I22" s="43">
        <f t="shared" si="2"/>
        <v>0</v>
      </c>
      <c r="J22" s="41"/>
      <c r="K22" s="43">
        <f t="shared" si="3"/>
        <v>0</v>
      </c>
      <c r="L22" s="39"/>
    </row>
    <row r="23" spans="1:12">
      <c r="A23" s="13" t="s">
        <v>14</v>
      </c>
      <c r="B23" s="9">
        <v>2699</v>
      </c>
      <c r="C23" s="9">
        <v>1193</v>
      </c>
      <c r="D23" s="45"/>
      <c r="E23" s="42">
        <f t="shared" si="0"/>
        <v>1506</v>
      </c>
      <c r="F23" s="39"/>
      <c r="G23" s="43">
        <f t="shared" si="1"/>
        <v>1.2623637887678123</v>
      </c>
      <c r="H23" s="41"/>
      <c r="I23" s="43">
        <f t="shared" si="2"/>
        <v>4.1063169425511199E-2</v>
      </c>
      <c r="J23" s="41"/>
      <c r="K23" s="43">
        <f t="shared" si="3"/>
        <v>2.8968967024428149E-2</v>
      </c>
      <c r="L23" s="39"/>
    </row>
    <row r="24" spans="1:12">
      <c r="A24" s="13" t="s">
        <v>77</v>
      </c>
      <c r="B24" s="10">
        <v>6682</v>
      </c>
      <c r="C24" s="10">
        <v>4120</v>
      </c>
      <c r="D24" s="45"/>
      <c r="E24" s="42">
        <f t="shared" si="0"/>
        <v>2562</v>
      </c>
      <c r="F24" s="39"/>
      <c r="G24" s="43">
        <f t="shared" si="1"/>
        <v>0.62184466019417473</v>
      </c>
      <c r="H24" s="41"/>
      <c r="I24" s="43">
        <f t="shared" si="2"/>
        <v>0.10166139240506329</v>
      </c>
      <c r="J24" s="41"/>
      <c r="K24" s="43">
        <f t="shared" si="3"/>
        <v>0.10004370841629838</v>
      </c>
      <c r="L24" s="39"/>
    </row>
    <row r="25" spans="1:12">
      <c r="A25" s="13" t="s">
        <v>78</v>
      </c>
      <c r="B25" s="10">
        <v>1250</v>
      </c>
      <c r="C25" s="10">
        <v>1250</v>
      </c>
      <c r="D25" s="45"/>
      <c r="E25" s="42">
        <f t="shared" si="0"/>
        <v>0</v>
      </c>
      <c r="F25" s="39"/>
      <c r="G25" s="43">
        <f t="shared" si="1"/>
        <v>0</v>
      </c>
      <c r="H25" s="41"/>
      <c r="I25" s="43">
        <f t="shared" si="2"/>
        <v>1.9017770204479065E-2</v>
      </c>
      <c r="J25" s="41"/>
      <c r="K25" s="43">
        <f t="shared" si="3"/>
        <v>3.0353066873876938E-2</v>
      </c>
      <c r="L25" s="39"/>
    </row>
    <row r="26" spans="1:12">
      <c r="A26" s="13" t="s">
        <v>15</v>
      </c>
      <c r="B26" s="10">
        <f>SUM(B23:B25)</f>
        <v>10631</v>
      </c>
      <c r="C26" s="10">
        <f>SUM(C23:C25)</f>
        <v>6563</v>
      </c>
      <c r="D26" s="45"/>
      <c r="E26" s="42">
        <f t="shared" si="0"/>
        <v>4068</v>
      </c>
      <c r="F26" s="39"/>
      <c r="G26" s="43">
        <f t="shared" si="1"/>
        <v>0.61983848849611456</v>
      </c>
      <c r="H26" s="41"/>
      <c r="I26" s="43">
        <f t="shared" si="2"/>
        <v>0.16174233203505356</v>
      </c>
      <c r="J26" s="41"/>
      <c r="K26" s="43">
        <f t="shared" si="3"/>
        <v>0.15936574231460346</v>
      </c>
      <c r="L26" s="39"/>
    </row>
    <row r="27" spans="1:12">
      <c r="A27" s="13" t="s">
        <v>16</v>
      </c>
      <c r="B27" s="10">
        <v>8459</v>
      </c>
      <c r="C27" s="10">
        <v>9703</v>
      </c>
      <c r="D27" s="45"/>
      <c r="E27" s="42">
        <f t="shared" si="0"/>
        <v>-1244</v>
      </c>
      <c r="F27" s="39"/>
      <c r="G27" s="43">
        <f t="shared" si="1"/>
        <v>-0.12820777079253839</v>
      </c>
      <c r="H27" s="41"/>
      <c r="I27" s="43">
        <f t="shared" si="2"/>
        <v>0.12869705452775074</v>
      </c>
      <c r="J27" s="41"/>
      <c r="K27" s="43">
        <f t="shared" si="3"/>
        <v>0.23561264630178233</v>
      </c>
      <c r="L27" s="39"/>
    </row>
    <row r="28" spans="1:12">
      <c r="A28" s="13" t="s">
        <v>79</v>
      </c>
      <c r="B28" s="10">
        <v>1119</v>
      </c>
      <c r="C28" s="10">
        <v>902</v>
      </c>
      <c r="D28" s="45"/>
      <c r="E28" s="42">
        <f t="shared" si="0"/>
        <v>217</v>
      </c>
      <c r="F28" s="39"/>
      <c r="G28" s="43">
        <f t="shared" si="1"/>
        <v>0.24057649667405764</v>
      </c>
      <c r="H28" s="41"/>
      <c r="I28" s="43">
        <f t="shared" si="2"/>
        <v>1.7024707887049659E-2</v>
      </c>
      <c r="J28" s="41"/>
      <c r="K28" s="43">
        <f t="shared" si="3"/>
        <v>2.1902773056189598E-2</v>
      </c>
      <c r="L28" s="39"/>
    </row>
    <row r="29" spans="1:12">
      <c r="A29" s="13" t="s">
        <v>80</v>
      </c>
      <c r="B29" s="10">
        <v>2541</v>
      </c>
      <c r="C29" s="10">
        <v>1913</v>
      </c>
      <c r="D29" s="45"/>
      <c r="E29" s="42">
        <f t="shared" si="0"/>
        <v>628</v>
      </c>
      <c r="F29" s="39"/>
      <c r="G29" s="43">
        <f t="shared" si="1"/>
        <v>0.32828018818609511</v>
      </c>
      <c r="H29" s="41"/>
      <c r="I29" s="43">
        <f t="shared" si="2"/>
        <v>3.8659323271665047E-2</v>
      </c>
      <c r="J29" s="41"/>
      <c r="K29" s="43">
        <f t="shared" si="3"/>
        <v>4.6452333543781262E-2</v>
      </c>
      <c r="L29" s="39"/>
    </row>
    <row r="30" spans="1:12">
      <c r="A30" s="13" t="s">
        <v>17</v>
      </c>
      <c r="B30" s="10">
        <f>SUM(B26:B29)</f>
        <v>22750</v>
      </c>
      <c r="C30" s="10">
        <f>SUM(C26:C29)</f>
        <v>19081</v>
      </c>
      <c r="D30" s="45"/>
      <c r="E30" s="42">
        <f t="shared" si="0"/>
        <v>3669</v>
      </c>
      <c r="F30" s="39"/>
      <c r="G30" s="43">
        <f t="shared" si="1"/>
        <v>0.19228551962685395</v>
      </c>
      <c r="H30" s="41"/>
      <c r="I30" s="43">
        <f t="shared" si="2"/>
        <v>0.346123417721519</v>
      </c>
      <c r="J30" s="41"/>
      <c r="K30" s="43">
        <f t="shared" si="3"/>
        <v>0.46333349521635664</v>
      </c>
      <c r="L30" s="39"/>
    </row>
    <row r="31" spans="1:12">
      <c r="A31" s="13" t="s">
        <v>81</v>
      </c>
      <c r="B31" s="10"/>
      <c r="C31" s="10"/>
      <c r="D31" s="45"/>
      <c r="E31" s="42">
        <f t="shared" si="0"/>
        <v>0</v>
      </c>
      <c r="F31" s="39"/>
      <c r="G31" s="43" t="e">
        <f t="shared" si="1"/>
        <v>#DIV/0!</v>
      </c>
      <c r="H31" s="41"/>
      <c r="I31" s="43">
        <f t="shared" si="2"/>
        <v>0</v>
      </c>
      <c r="J31" s="41"/>
      <c r="K31" s="43">
        <f t="shared" si="3"/>
        <v>0</v>
      </c>
      <c r="L31" s="39"/>
    </row>
    <row r="32" spans="1:12">
      <c r="A32" s="6"/>
      <c r="B32" s="6"/>
      <c r="C32" s="6"/>
      <c r="D32" s="45"/>
      <c r="E32" s="42">
        <f t="shared" si="0"/>
        <v>0</v>
      </c>
      <c r="F32" s="39"/>
      <c r="G32" s="43" t="e">
        <f t="shared" si="1"/>
        <v>#DIV/0!</v>
      </c>
      <c r="H32" s="41"/>
      <c r="I32" s="43">
        <f t="shared" si="2"/>
        <v>0</v>
      </c>
      <c r="J32" s="41"/>
      <c r="K32" s="43">
        <f t="shared" si="3"/>
        <v>0</v>
      </c>
      <c r="L32" s="39"/>
    </row>
    <row r="33" spans="1:12">
      <c r="A33" s="13" t="s">
        <v>82</v>
      </c>
      <c r="B33" s="6"/>
      <c r="C33" s="6"/>
      <c r="D33" s="45"/>
      <c r="E33" s="42">
        <f t="shared" si="0"/>
        <v>0</v>
      </c>
      <c r="F33" s="39"/>
      <c r="G33" s="43" t="e">
        <f t="shared" si="1"/>
        <v>#DIV/0!</v>
      </c>
      <c r="H33" s="41"/>
      <c r="I33" s="43">
        <f t="shared" si="2"/>
        <v>0</v>
      </c>
      <c r="J33" s="41"/>
      <c r="K33" s="43">
        <f t="shared" si="3"/>
        <v>0</v>
      </c>
      <c r="L33" s="39"/>
    </row>
    <row r="34" spans="1:12">
      <c r="A34" s="13" t="s">
        <v>83</v>
      </c>
      <c r="B34" s="11">
        <v>0</v>
      </c>
      <c r="C34" s="11">
        <v>0</v>
      </c>
      <c r="D34" s="45"/>
      <c r="E34" s="42">
        <f t="shared" si="0"/>
        <v>0</v>
      </c>
      <c r="F34" s="39"/>
      <c r="G34" s="43" t="e">
        <f t="shared" si="1"/>
        <v>#DIV/0!</v>
      </c>
      <c r="H34" s="41"/>
      <c r="I34" s="43">
        <f t="shared" si="2"/>
        <v>0</v>
      </c>
      <c r="J34" s="41"/>
      <c r="K34" s="43">
        <f t="shared" si="3"/>
        <v>0</v>
      </c>
      <c r="L34" s="39"/>
    </row>
    <row r="35" spans="1:12">
      <c r="A35" s="13" t="s">
        <v>84</v>
      </c>
      <c r="B35" s="6"/>
      <c r="C35" s="6"/>
      <c r="D35" s="45"/>
      <c r="E35" s="42">
        <f t="shared" si="0"/>
        <v>0</v>
      </c>
      <c r="F35" s="39"/>
      <c r="G35" s="43" t="e">
        <f t="shared" si="1"/>
        <v>#DIV/0!</v>
      </c>
      <c r="H35" s="41"/>
      <c r="I35" s="43">
        <f t="shared" si="2"/>
        <v>0</v>
      </c>
      <c r="J35" s="41"/>
      <c r="K35" s="43">
        <f t="shared" si="3"/>
        <v>0</v>
      </c>
      <c r="L35" s="39"/>
    </row>
    <row r="36" spans="1:12">
      <c r="A36" s="13" t="s">
        <v>85</v>
      </c>
      <c r="B36" s="6"/>
      <c r="C36" s="6"/>
      <c r="D36" s="45"/>
      <c r="E36" s="42">
        <f t="shared" si="0"/>
        <v>0</v>
      </c>
      <c r="F36" s="39"/>
      <c r="G36" s="43" t="e">
        <f t="shared" si="1"/>
        <v>#DIV/0!</v>
      </c>
      <c r="H36" s="41"/>
      <c r="I36" s="43">
        <f t="shared" si="2"/>
        <v>0</v>
      </c>
      <c r="J36" s="41"/>
      <c r="K36" s="43">
        <f t="shared" si="3"/>
        <v>0</v>
      </c>
      <c r="L36" s="39"/>
    </row>
    <row r="37" spans="1:12">
      <c r="A37" s="13" t="s">
        <v>86</v>
      </c>
      <c r="B37" s="10">
        <v>2</v>
      </c>
      <c r="C37" s="10">
        <v>2</v>
      </c>
      <c r="D37" s="45"/>
      <c r="E37" s="42">
        <f t="shared" si="0"/>
        <v>0</v>
      </c>
      <c r="F37" s="39"/>
      <c r="G37" s="43">
        <f t="shared" si="1"/>
        <v>0</v>
      </c>
      <c r="H37" s="41"/>
      <c r="I37" s="43">
        <f t="shared" si="2"/>
        <v>3.0428432327166505E-5</v>
      </c>
      <c r="J37" s="41"/>
      <c r="K37" s="43">
        <f t="shared" si="3"/>
        <v>4.8564906998203096E-5</v>
      </c>
      <c r="L37" s="39"/>
    </row>
    <row r="38" spans="1:12">
      <c r="A38" s="13" t="s">
        <v>18</v>
      </c>
      <c r="B38" s="10">
        <v>13132</v>
      </c>
      <c r="C38" s="10">
        <v>11971</v>
      </c>
      <c r="D38" s="45"/>
      <c r="E38" s="42">
        <f t="shared" si="0"/>
        <v>1161</v>
      </c>
      <c r="F38" s="39"/>
      <c r="G38" s="43">
        <f t="shared" si="1"/>
        <v>9.6984378915712974E-2</v>
      </c>
      <c r="H38" s="41"/>
      <c r="I38" s="43">
        <f t="shared" si="2"/>
        <v>0.19979308666017526</v>
      </c>
      <c r="J38" s="41"/>
      <c r="K38" s="43">
        <f t="shared" si="3"/>
        <v>0.29068525083774466</v>
      </c>
      <c r="L38" s="39"/>
    </row>
    <row r="39" spans="1:12">
      <c r="A39" s="6"/>
      <c r="B39" s="6"/>
      <c r="C39" s="6"/>
      <c r="D39" s="45"/>
      <c r="E39" s="42">
        <f t="shared" si="0"/>
        <v>0</v>
      </c>
      <c r="F39" s="39"/>
      <c r="G39" s="43" t="e">
        <f t="shared" si="1"/>
        <v>#DIV/0!</v>
      </c>
      <c r="H39" s="41"/>
      <c r="I39" s="43">
        <f t="shared" si="2"/>
        <v>0</v>
      </c>
      <c r="J39" s="41"/>
      <c r="K39" s="43">
        <f t="shared" si="3"/>
        <v>0</v>
      </c>
      <c r="L39" s="39"/>
    </row>
    <row r="40" spans="1:12">
      <c r="A40" s="13" t="s">
        <v>87</v>
      </c>
      <c r="B40" s="10">
        <v>27</v>
      </c>
      <c r="C40" s="10">
        <v>-43</v>
      </c>
      <c r="D40" s="45"/>
      <c r="E40" s="42">
        <f t="shared" si="0"/>
        <v>70</v>
      </c>
      <c r="F40" s="39"/>
      <c r="G40" s="43">
        <f t="shared" si="1"/>
        <v>-1.6279069767441861</v>
      </c>
      <c r="H40" s="41"/>
      <c r="I40" s="43">
        <f t="shared" si="2"/>
        <v>4.1078383641674783E-4</v>
      </c>
      <c r="J40" s="41"/>
      <c r="K40" s="43">
        <f t="shared" si="3"/>
        <v>-1.0441455004613666E-3</v>
      </c>
      <c r="L40" s="39"/>
    </row>
    <row r="41" spans="1:12">
      <c r="A41" s="13" t="s">
        <v>19</v>
      </c>
      <c r="B41" s="10">
        <v>29817</v>
      </c>
      <c r="C41" s="10">
        <v>10171</v>
      </c>
      <c r="D41" s="45"/>
      <c r="E41" s="42">
        <f t="shared" si="0"/>
        <v>19646</v>
      </c>
      <c r="F41" s="39"/>
      <c r="G41" s="43">
        <f t="shared" si="1"/>
        <v>1.9315701504276865</v>
      </c>
      <c r="H41" s="41"/>
      <c r="I41" s="43">
        <f t="shared" si="2"/>
        <v>0.4536422833495618</v>
      </c>
      <c r="J41" s="41"/>
      <c r="K41" s="43">
        <f t="shared" si="3"/>
        <v>0.24697683453936187</v>
      </c>
      <c r="L41" s="39"/>
    </row>
    <row r="42" spans="1:12">
      <c r="A42" s="13" t="s">
        <v>88</v>
      </c>
      <c r="B42" s="47">
        <f>SUM(B37:B41)</f>
        <v>42978</v>
      </c>
      <c r="C42" s="47">
        <f>SUM(C37:C41)</f>
        <v>22101</v>
      </c>
      <c r="D42" s="45"/>
      <c r="E42" s="42">
        <f t="shared" si="0"/>
        <v>20877</v>
      </c>
      <c r="F42" s="39"/>
      <c r="G42" s="43">
        <f t="shared" si="1"/>
        <v>0.94461789059318579</v>
      </c>
      <c r="H42" s="41"/>
      <c r="I42" s="43">
        <f t="shared" si="2"/>
        <v>0.653876582278481</v>
      </c>
      <c r="J42" s="41"/>
      <c r="K42" s="43">
        <f t="shared" si="3"/>
        <v>0.53666650478364331</v>
      </c>
      <c r="L42" s="39"/>
    </row>
    <row r="43" spans="1:12">
      <c r="A43" s="13" t="s">
        <v>89</v>
      </c>
      <c r="B43" s="9">
        <v>65728</v>
      </c>
      <c r="C43" s="9">
        <v>41182</v>
      </c>
      <c r="D43" s="45"/>
      <c r="E43" s="42">
        <f t="shared" si="0"/>
        <v>24546</v>
      </c>
      <c r="F43" s="39"/>
      <c r="G43" s="43">
        <f t="shared" si="1"/>
        <v>0.59603710358894668</v>
      </c>
      <c r="H43" s="41"/>
      <c r="I43" s="43">
        <f t="shared" si="2"/>
        <v>1</v>
      </c>
      <c r="J43" s="41"/>
      <c r="K43" s="43">
        <f t="shared" si="3"/>
        <v>1</v>
      </c>
      <c r="L43" s="48"/>
    </row>
    <row r="44" spans="1:12">
      <c r="A44" s="33"/>
      <c r="B44" s="33"/>
      <c r="C44" s="33"/>
    </row>
    <row r="45" spans="1:12">
      <c r="A45" s="33"/>
      <c r="B45" s="33"/>
      <c r="C45" s="33"/>
    </row>
    <row r="46" spans="1:12">
      <c r="A46" s="33"/>
      <c r="B46" s="44"/>
      <c r="C46" s="44"/>
      <c r="D46" s="44"/>
    </row>
    <row r="47" spans="1:12">
      <c r="A47" s="33"/>
      <c r="B47" s="33"/>
      <c r="C47" s="33"/>
    </row>
    <row r="49" spans="1:1">
      <c r="A49" s="33"/>
    </row>
  </sheetData>
  <mergeCells count="5">
    <mergeCell ref="E1:L3"/>
    <mergeCell ref="K4:L4"/>
    <mergeCell ref="E4:F4"/>
    <mergeCell ref="G4:H4"/>
    <mergeCell ref="I4:J4"/>
  </mergeCells>
  <pageMargins left="0.7" right="0.7" top="0.75" bottom="0.75" header="0.3" footer="0.3"/>
  <pageSetup scale="63" orientation="portrait" r:id="rId1"/>
  <headerFooter>
    <oddFooter>&amp;L&amp;Z&amp;F&amp;A&amp;R&amp;D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6"/>
  <sheetViews>
    <sheetView workbookViewId="0">
      <selection activeCell="H11" sqref="H11"/>
    </sheetView>
  </sheetViews>
  <sheetFormatPr defaultColWidth="9.140625" defaultRowHeight="15"/>
  <cols>
    <col min="1" max="1" width="57.28515625" style="1" customWidth="1"/>
    <col min="2" max="4" width="12.42578125" style="1" customWidth="1"/>
    <col min="5" max="5" width="2.7109375" style="1" customWidth="1"/>
    <col min="6" max="6" width="14.140625" style="1" customWidth="1"/>
    <col min="7" max="7" width="1.5703125" style="1" customWidth="1"/>
    <col min="8" max="8" width="13.7109375" style="1" customWidth="1"/>
    <col min="9" max="9" width="1.5703125" style="1" customWidth="1"/>
    <col min="10" max="10" width="14.28515625" style="1" customWidth="1"/>
    <col min="11" max="11" width="2.28515625" style="1" customWidth="1"/>
    <col min="12" max="12" width="13.85546875" style="1" customWidth="1"/>
    <col min="13" max="13" width="1.5703125" style="1" customWidth="1"/>
    <col min="14" max="14" width="13.42578125" style="1" customWidth="1"/>
    <col min="15" max="15" width="2.5703125" style="1" customWidth="1"/>
    <col min="16" max="16" width="15.7109375" style="1" customWidth="1"/>
    <col min="17" max="17" width="2.7109375" style="1" customWidth="1"/>
    <col min="18" max="18" width="12.5703125" style="1" customWidth="1"/>
    <col min="19" max="16384" width="9.140625" style="1"/>
  </cols>
  <sheetData>
    <row r="1" spans="1:18" ht="13.9" customHeight="1">
      <c r="A1" s="25" t="s">
        <v>48</v>
      </c>
      <c r="B1" s="6"/>
      <c r="C1" s="6"/>
      <c r="D1" s="6"/>
      <c r="F1" s="104" t="s">
        <v>44</v>
      </c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18">
      <c r="A2" s="25" t="s">
        <v>49</v>
      </c>
      <c r="B2" s="6"/>
      <c r="C2" s="6"/>
      <c r="D2" s="6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18">
      <c r="A3" s="25" t="s">
        <v>50</v>
      </c>
      <c r="B3" s="6"/>
      <c r="C3" s="6"/>
      <c r="D3" s="6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</row>
    <row r="4" spans="1:18" ht="24">
      <c r="A4" s="26" t="s">
        <v>0</v>
      </c>
      <c r="B4" s="26" t="s">
        <v>0</v>
      </c>
      <c r="C4" s="26" t="s">
        <v>68</v>
      </c>
      <c r="D4" s="27"/>
      <c r="F4" s="19" t="s">
        <v>45</v>
      </c>
      <c r="G4" s="20"/>
      <c r="H4" s="19" t="s">
        <v>46</v>
      </c>
      <c r="I4" s="20"/>
      <c r="J4" s="19" t="s">
        <v>45</v>
      </c>
      <c r="K4" s="21"/>
      <c r="L4" s="19" t="s">
        <v>46</v>
      </c>
      <c r="M4" s="21"/>
      <c r="N4" s="19" t="s">
        <v>47</v>
      </c>
      <c r="O4" s="21"/>
      <c r="P4" s="19" t="s">
        <v>47</v>
      </c>
      <c r="Q4" s="20"/>
      <c r="R4" s="19" t="s">
        <v>47</v>
      </c>
    </row>
    <row r="5" spans="1:18">
      <c r="A5" s="26" t="s">
        <v>0</v>
      </c>
      <c r="B5" s="26" t="s">
        <v>52</v>
      </c>
      <c r="C5" s="26" t="s">
        <v>53</v>
      </c>
      <c r="D5" s="26" t="s">
        <v>54</v>
      </c>
      <c r="F5" s="22" t="s">
        <v>69</v>
      </c>
      <c r="G5" s="23"/>
      <c r="H5" s="22" t="s">
        <v>69</v>
      </c>
      <c r="I5" s="23"/>
      <c r="J5" s="22" t="s">
        <v>70</v>
      </c>
      <c r="K5" s="23"/>
      <c r="L5" s="22" t="s">
        <v>70</v>
      </c>
      <c r="M5" s="23"/>
      <c r="N5" s="24">
        <v>2024</v>
      </c>
      <c r="O5" s="23"/>
      <c r="P5" s="24">
        <v>2023</v>
      </c>
      <c r="Q5" s="23"/>
      <c r="R5" s="24">
        <v>2022</v>
      </c>
    </row>
    <row r="6" spans="1:18">
      <c r="A6" s="25" t="s">
        <v>20</v>
      </c>
      <c r="B6" s="28">
        <v>60922</v>
      </c>
      <c r="C6" s="28">
        <v>26974</v>
      </c>
      <c r="D6" s="28">
        <v>26914</v>
      </c>
      <c r="F6" s="109">
        <f>B6-C6</f>
        <v>33948</v>
      </c>
      <c r="G6" s="15"/>
      <c r="H6" s="16">
        <f>F6/C6</f>
        <v>1.2585452658115222</v>
      </c>
      <c r="I6" s="15"/>
      <c r="J6" s="109">
        <f>C6-D6</f>
        <v>60</v>
      </c>
      <c r="K6" s="15"/>
      <c r="L6" s="17">
        <f>J6/D6</f>
        <v>2.2293230289068887E-3</v>
      </c>
      <c r="M6" s="15"/>
      <c r="N6" s="17">
        <f>B6/$B$6</f>
        <v>1</v>
      </c>
      <c r="O6" s="15"/>
      <c r="P6" s="18">
        <f>C6/$C$6</f>
        <v>1</v>
      </c>
      <c r="Q6" s="15"/>
      <c r="R6" s="17">
        <f>D6/$D$6</f>
        <v>1</v>
      </c>
    </row>
    <row r="7" spans="1:18">
      <c r="A7" s="25" t="s">
        <v>21</v>
      </c>
      <c r="B7" s="29">
        <v>16621</v>
      </c>
      <c r="C7" s="29">
        <v>11618</v>
      </c>
      <c r="D7" s="29">
        <v>9439</v>
      </c>
      <c r="F7" s="109">
        <f t="shared" ref="F7:F25" si="0">B7-C7</f>
        <v>5003</v>
      </c>
      <c r="G7" s="15"/>
      <c r="H7" s="16">
        <f t="shared" ref="H7:H25" si="1">F7/C7</f>
        <v>0.43062489240833191</v>
      </c>
      <c r="I7" s="15"/>
      <c r="J7" s="109">
        <f t="shared" ref="J7:J25" si="2">C7-D7</f>
        <v>2179</v>
      </c>
      <c r="K7" s="15"/>
      <c r="L7" s="17">
        <f t="shared" ref="L7:L25" si="3">J7/D7</f>
        <v>0.23085072571246953</v>
      </c>
      <c r="M7" s="15"/>
      <c r="N7" s="17">
        <f t="shared" ref="N7:N25" si="4">B7/$B$6</f>
        <v>0.27282426709563046</v>
      </c>
      <c r="O7" s="15"/>
      <c r="P7" s="18">
        <f t="shared" ref="P7:P25" si="5">C7/$C$6</f>
        <v>0.43071105509008673</v>
      </c>
      <c r="Q7" s="15"/>
      <c r="R7" s="17">
        <f t="shared" ref="R7:R25" si="6">D7/$D$6</f>
        <v>0.35070966783086871</v>
      </c>
    </row>
    <row r="8" spans="1:18">
      <c r="A8" s="25" t="s">
        <v>55</v>
      </c>
      <c r="B8" s="29">
        <f>+B6-B7</f>
        <v>44301</v>
      </c>
      <c r="C8" s="29">
        <f t="shared" ref="C8:D8" si="7">+C6-C7</f>
        <v>15356</v>
      </c>
      <c r="D8" s="29">
        <f t="shared" si="7"/>
        <v>17475</v>
      </c>
      <c r="F8" s="109">
        <f t="shared" si="0"/>
        <v>28945</v>
      </c>
      <c r="G8" s="15"/>
      <c r="H8" s="16">
        <f t="shared" si="1"/>
        <v>1.8849309716071894</v>
      </c>
      <c r="I8" s="15"/>
      <c r="J8" s="109">
        <f t="shared" si="2"/>
        <v>-2119</v>
      </c>
      <c r="K8" s="15"/>
      <c r="L8" s="17">
        <f t="shared" si="3"/>
        <v>-0.12125894134477826</v>
      </c>
      <c r="M8" s="15"/>
      <c r="N8" s="17">
        <f t="shared" si="4"/>
        <v>0.72717573290436954</v>
      </c>
      <c r="O8" s="15"/>
      <c r="P8" s="18">
        <f t="shared" si="5"/>
        <v>0.56928894490991322</v>
      </c>
      <c r="Q8" s="15"/>
      <c r="R8" s="17">
        <f t="shared" si="6"/>
        <v>0.64929033216913135</v>
      </c>
    </row>
    <row r="9" spans="1:18">
      <c r="A9" s="25" t="s">
        <v>56</v>
      </c>
      <c r="B9" s="6"/>
      <c r="C9" s="6"/>
      <c r="D9" s="6"/>
      <c r="F9" s="109"/>
      <c r="G9" s="15"/>
      <c r="H9" s="16"/>
      <c r="I9" s="15"/>
      <c r="J9" s="109"/>
      <c r="K9" s="15"/>
      <c r="L9" s="17"/>
      <c r="M9" s="15"/>
      <c r="N9" s="17"/>
      <c r="O9" s="15"/>
      <c r="P9" s="18"/>
      <c r="Q9" s="15"/>
      <c r="R9" s="17"/>
    </row>
    <row r="10" spans="1:18">
      <c r="A10" s="25" t="s">
        <v>22</v>
      </c>
      <c r="B10" s="29">
        <v>8675</v>
      </c>
      <c r="C10" s="29">
        <v>7339</v>
      </c>
      <c r="D10" s="29">
        <v>5268</v>
      </c>
      <c r="F10" s="109">
        <f t="shared" si="0"/>
        <v>1336</v>
      </c>
      <c r="G10" s="15"/>
      <c r="H10" s="16">
        <f t="shared" si="1"/>
        <v>0.18204115002043875</v>
      </c>
      <c r="I10" s="15"/>
      <c r="J10" s="109">
        <f t="shared" si="2"/>
        <v>2071</v>
      </c>
      <c r="K10" s="15"/>
      <c r="L10" s="17">
        <f t="shared" si="3"/>
        <v>0.3931283219438117</v>
      </c>
      <c r="M10" s="15"/>
      <c r="N10" s="17">
        <f t="shared" si="4"/>
        <v>0.14239519385443683</v>
      </c>
      <c r="O10" s="15"/>
      <c r="P10" s="18">
        <f t="shared" si="5"/>
        <v>0.27207681471046191</v>
      </c>
      <c r="Q10" s="15"/>
      <c r="R10" s="17">
        <f t="shared" si="6"/>
        <v>0.19573456193802483</v>
      </c>
    </row>
    <row r="11" spans="1:18">
      <c r="A11" s="25" t="s">
        <v>57</v>
      </c>
      <c r="B11" s="29">
        <v>2654</v>
      </c>
      <c r="C11" s="29">
        <v>2440</v>
      </c>
      <c r="D11" s="29">
        <v>2166</v>
      </c>
      <c r="F11" s="109">
        <f t="shared" si="0"/>
        <v>214</v>
      </c>
      <c r="G11" s="15"/>
      <c r="H11" s="16">
        <f t="shared" si="1"/>
        <v>8.7704918032786891E-2</v>
      </c>
      <c r="I11" s="15"/>
      <c r="J11" s="109">
        <f t="shared" si="2"/>
        <v>274</v>
      </c>
      <c r="K11" s="15"/>
      <c r="L11" s="17">
        <f t="shared" si="3"/>
        <v>0.1265004616805171</v>
      </c>
      <c r="M11" s="15"/>
      <c r="N11" s="17">
        <f t="shared" si="4"/>
        <v>4.3563901382095135E-2</v>
      </c>
      <c r="O11" s="15"/>
      <c r="P11" s="18">
        <f t="shared" si="5"/>
        <v>9.0457477570994288E-2</v>
      </c>
      <c r="Q11" s="15"/>
      <c r="R11" s="17">
        <f t="shared" si="6"/>
        <v>8.0478561343538674E-2</v>
      </c>
    </row>
    <row r="12" spans="1:18">
      <c r="A12" s="25" t="s">
        <v>58</v>
      </c>
      <c r="B12" s="30">
        <v>0</v>
      </c>
      <c r="C12" s="29">
        <v>1353</v>
      </c>
      <c r="D12" s="30">
        <v>0</v>
      </c>
      <c r="F12" s="109">
        <f t="shared" si="0"/>
        <v>-1353</v>
      </c>
      <c r="G12" s="15"/>
      <c r="H12" s="16"/>
      <c r="I12" s="15"/>
      <c r="J12" s="109">
        <f t="shared" si="2"/>
        <v>1353</v>
      </c>
      <c r="K12" s="15"/>
      <c r="L12" s="17"/>
      <c r="M12" s="15"/>
      <c r="N12" s="17"/>
      <c r="O12" s="15"/>
      <c r="P12" s="18">
        <f t="shared" si="5"/>
        <v>5.015941276785052E-2</v>
      </c>
      <c r="Q12" s="15"/>
      <c r="R12" s="17"/>
    </row>
    <row r="13" spans="1:18">
      <c r="A13" s="25" t="s">
        <v>59</v>
      </c>
      <c r="B13" s="29">
        <f>SUM(B10:B12)</f>
        <v>11329</v>
      </c>
      <c r="C13" s="29">
        <f t="shared" ref="C13:D13" si="8">SUM(C10:C12)</f>
        <v>11132</v>
      </c>
      <c r="D13" s="29">
        <f t="shared" si="8"/>
        <v>7434</v>
      </c>
      <c r="F13" s="109">
        <f t="shared" si="0"/>
        <v>197</v>
      </c>
      <c r="G13" s="15"/>
      <c r="H13" s="16">
        <f t="shared" si="1"/>
        <v>1.7696730147323033E-2</v>
      </c>
      <c r="I13" s="15"/>
      <c r="J13" s="109">
        <f t="shared" si="2"/>
        <v>3698</v>
      </c>
      <c r="K13" s="15"/>
      <c r="L13" s="17">
        <f t="shared" si="3"/>
        <v>0.49744417541027708</v>
      </c>
      <c r="M13" s="15"/>
      <c r="N13" s="17">
        <f t="shared" si="4"/>
        <v>0.18595909523653195</v>
      </c>
      <c r="O13" s="15"/>
      <c r="P13" s="18">
        <f t="shared" si="5"/>
        <v>0.41269370504930675</v>
      </c>
      <c r="Q13" s="15"/>
      <c r="R13" s="17">
        <f t="shared" si="6"/>
        <v>0.2762131232815635</v>
      </c>
    </row>
    <row r="14" spans="1:18">
      <c r="A14" s="25" t="s">
        <v>60</v>
      </c>
      <c r="B14" s="29">
        <f>+B8-B13</f>
        <v>32972</v>
      </c>
      <c r="C14" s="29">
        <f t="shared" ref="C14:D14" si="9">+C8-C13</f>
        <v>4224</v>
      </c>
      <c r="D14" s="29">
        <f t="shared" si="9"/>
        <v>10041</v>
      </c>
      <c r="F14" s="109">
        <f t="shared" si="0"/>
        <v>28748</v>
      </c>
      <c r="G14" s="15"/>
      <c r="H14" s="16">
        <f t="shared" si="1"/>
        <v>6.8058712121212119</v>
      </c>
      <c r="I14" s="15"/>
      <c r="J14" s="109">
        <f t="shared" si="2"/>
        <v>-5817</v>
      </c>
      <c r="K14" s="15"/>
      <c r="L14" s="17">
        <f t="shared" si="3"/>
        <v>-0.57932476844935765</v>
      </c>
      <c r="M14" s="15"/>
      <c r="N14" s="17">
        <f t="shared" si="4"/>
        <v>0.54121663766783756</v>
      </c>
      <c r="O14" s="15"/>
      <c r="P14" s="18">
        <f t="shared" si="5"/>
        <v>0.1565952398606065</v>
      </c>
      <c r="Q14" s="15"/>
      <c r="R14" s="17">
        <f t="shared" si="6"/>
        <v>0.37307720888756779</v>
      </c>
    </row>
    <row r="15" spans="1:18">
      <c r="A15" s="25" t="s">
        <v>61</v>
      </c>
      <c r="B15" s="29">
        <v>866</v>
      </c>
      <c r="C15" s="29">
        <v>267</v>
      </c>
      <c r="D15" s="29">
        <v>29</v>
      </c>
      <c r="F15" s="109">
        <f t="shared" si="0"/>
        <v>599</v>
      </c>
      <c r="G15" s="15"/>
      <c r="H15" s="16">
        <f t="shared" si="1"/>
        <v>2.2434456928838951</v>
      </c>
      <c r="I15" s="15"/>
      <c r="J15" s="109">
        <f t="shared" si="2"/>
        <v>238</v>
      </c>
      <c r="K15" s="15"/>
      <c r="L15" s="17">
        <f t="shared" si="3"/>
        <v>8.2068965517241388</v>
      </c>
      <c r="M15" s="15"/>
      <c r="N15" s="17">
        <f t="shared" si="4"/>
        <v>1.421489773809133E-2</v>
      </c>
      <c r="O15" s="15"/>
      <c r="P15" s="18">
        <f t="shared" si="5"/>
        <v>9.8984207014161784E-3</v>
      </c>
      <c r="Q15" s="15"/>
      <c r="R15" s="17">
        <f t="shared" si="6"/>
        <v>1.0775061306383296E-3</v>
      </c>
    </row>
    <row r="16" spans="1:18">
      <c r="A16" s="25" t="s">
        <v>62</v>
      </c>
      <c r="B16" s="29">
        <v>-257</v>
      </c>
      <c r="C16" s="29">
        <v>-262</v>
      </c>
      <c r="D16" s="29">
        <v>-236</v>
      </c>
      <c r="F16" s="109">
        <f t="shared" si="0"/>
        <v>5</v>
      </c>
      <c r="G16" s="15"/>
      <c r="H16" s="16">
        <f t="shared" si="1"/>
        <v>-1.9083969465648856E-2</v>
      </c>
      <c r="I16" s="15"/>
      <c r="J16" s="109">
        <f t="shared" si="2"/>
        <v>-26</v>
      </c>
      <c r="K16" s="15"/>
      <c r="L16" s="17">
        <f t="shared" si="3"/>
        <v>0.11016949152542373</v>
      </c>
      <c r="M16" s="15"/>
      <c r="N16" s="17">
        <f t="shared" si="4"/>
        <v>-4.2185089130363411E-3</v>
      </c>
      <c r="O16" s="15"/>
      <c r="P16" s="18">
        <f t="shared" si="5"/>
        <v>-9.7130570178690593E-3</v>
      </c>
      <c r="Q16" s="15"/>
      <c r="R16" s="17">
        <f t="shared" si="6"/>
        <v>-8.7686705803670956E-3</v>
      </c>
    </row>
    <row r="17" spans="1:18">
      <c r="A17" s="25" t="s">
        <v>63</v>
      </c>
      <c r="B17" s="29">
        <v>237</v>
      </c>
      <c r="C17" s="29">
        <v>-48</v>
      </c>
      <c r="D17" s="29">
        <v>107</v>
      </c>
      <c r="F17" s="109">
        <f t="shared" si="0"/>
        <v>285</v>
      </c>
      <c r="G17" s="15"/>
      <c r="H17" s="16">
        <f t="shared" si="1"/>
        <v>-5.9375</v>
      </c>
      <c r="I17" s="15"/>
      <c r="J17" s="109">
        <f t="shared" si="2"/>
        <v>-155</v>
      </c>
      <c r="K17" s="15"/>
      <c r="L17" s="17">
        <f t="shared" si="3"/>
        <v>-1.4485981308411215</v>
      </c>
      <c r="M17" s="15"/>
      <c r="N17" s="17">
        <f t="shared" si="4"/>
        <v>3.8902202816716459E-3</v>
      </c>
      <c r="O17" s="15"/>
      <c r="P17" s="18">
        <f t="shared" si="5"/>
        <v>-1.7794913620523467E-3</v>
      </c>
      <c r="Q17" s="15"/>
      <c r="R17" s="17">
        <f t="shared" si="6"/>
        <v>3.9756260682172846E-3</v>
      </c>
    </row>
    <row r="18" spans="1:18">
      <c r="A18" s="25" t="s">
        <v>64</v>
      </c>
      <c r="B18" s="29">
        <f>SUM(B15:B17)</f>
        <v>846</v>
      </c>
      <c r="C18" s="29">
        <f>SUM(C15:C17)</f>
        <v>-43</v>
      </c>
      <c r="D18" s="29">
        <f>SUM(D15:D17)</f>
        <v>-100</v>
      </c>
      <c r="F18" s="109">
        <f t="shared" si="0"/>
        <v>889</v>
      </c>
      <c r="G18" s="15"/>
      <c r="H18" s="16">
        <f t="shared" si="1"/>
        <v>-20.674418604651162</v>
      </c>
      <c r="I18" s="15"/>
      <c r="J18" s="109">
        <f t="shared" si="2"/>
        <v>57</v>
      </c>
      <c r="K18" s="15"/>
      <c r="L18" s="17">
        <f t="shared" si="3"/>
        <v>-0.56999999999999995</v>
      </c>
      <c r="M18" s="15"/>
      <c r="N18" s="17">
        <f t="shared" si="4"/>
        <v>1.3886609106726634E-2</v>
      </c>
      <c r="O18" s="15"/>
      <c r="P18" s="18">
        <f t="shared" si="5"/>
        <v>-1.5941276785052274E-3</v>
      </c>
      <c r="Q18" s="15"/>
      <c r="R18" s="17">
        <f t="shared" si="6"/>
        <v>-3.7155383815114808E-3</v>
      </c>
    </row>
    <row r="19" spans="1:18">
      <c r="A19" s="25" t="s">
        <v>65</v>
      </c>
      <c r="B19" s="29">
        <f>+B14+B18</f>
        <v>33818</v>
      </c>
      <c r="C19" s="29">
        <f>+C14+C18</f>
        <v>4181</v>
      </c>
      <c r="D19" s="29">
        <f>+D14+D18</f>
        <v>9941</v>
      </c>
      <c r="F19" s="109">
        <f t="shared" si="0"/>
        <v>29637</v>
      </c>
      <c r="G19" s="15"/>
      <c r="H19" s="16">
        <f t="shared" si="1"/>
        <v>7.0884955752212386</v>
      </c>
      <c r="I19" s="15"/>
      <c r="J19" s="109">
        <f t="shared" si="2"/>
        <v>-5760</v>
      </c>
      <c r="K19" s="15"/>
      <c r="L19" s="17">
        <f t="shared" si="3"/>
        <v>-0.57941856956040638</v>
      </c>
      <c r="M19" s="15"/>
      <c r="N19" s="17">
        <f t="shared" si="4"/>
        <v>0.55510324677456424</v>
      </c>
      <c r="O19" s="15"/>
      <c r="P19" s="18">
        <f t="shared" si="5"/>
        <v>0.15500111218210127</v>
      </c>
      <c r="Q19" s="15"/>
      <c r="R19" s="17">
        <f t="shared" si="6"/>
        <v>0.36936167050605634</v>
      </c>
    </row>
    <row r="20" spans="1:18">
      <c r="A20" s="25" t="s">
        <v>66</v>
      </c>
      <c r="B20" s="29">
        <v>4058</v>
      </c>
      <c r="C20" s="29">
        <v>-187</v>
      </c>
      <c r="D20" s="29">
        <v>189</v>
      </c>
      <c r="F20" s="109">
        <f t="shared" si="0"/>
        <v>4245</v>
      </c>
      <c r="G20" s="15"/>
      <c r="H20" s="16">
        <f t="shared" si="1"/>
        <v>-22.700534759358288</v>
      </c>
      <c r="I20" s="15"/>
      <c r="J20" s="109">
        <f t="shared" si="2"/>
        <v>-376</v>
      </c>
      <c r="K20" s="15"/>
      <c r="L20" s="17">
        <f t="shared" si="3"/>
        <v>-1.9894179894179893</v>
      </c>
      <c r="M20" s="15"/>
      <c r="N20" s="17">
        <f t="shared" si="4"/>
        <v>6.6609763303896785E-2</v>
      </c>
      <c r="O20" s="15"/>
      <c r="P20" s="18">
        <f t="shared" si="5"/>
        <v>-6.9326017646622676E-3</v>
      </c>
      <c r="Q20" s="15"/>
      <c r="R20" s="17">
        <f t="shared" si="6"/>
        <v>7.0223675410566993E-3</v>
      </c>
    </row>
    <row r="21" spans="1:18">
      <c r="A21" s="25" t="s">
        <v>23</v>
      </c>
      <c r="B21" s="28">
        <f>+B19-B20</f>
        <v>29760</v>
      </c>
      <c r="C21" s="28">
        <f>+C19-C20</f>
        <v>4368</v>
      </c>
      <c r="D21" s="28">
        <f>+D19-D20</f>
        <v>9752</v>
      </c>
      <c r="F21" s="109">
        <f t="shared" si="0"/>
        <v>25392</v>
      </c>
      <c r="G21" s="15"/>
      <c r="H21" s="16">
        <f t="shared" si="1"/>
        <v>5.813186813186813</v>
      </c>
      <c r="I21" s="15"/>
      <c r="J21" s="109">
        <f t="shared" si="2"/>
        <v>-5384</v>
      </c>
      <c r="K21" s="15"/>
      <c r="L21" s="17">
        <f t="shared" si="3"/>
        <v>-0.55209187858900743</v>
      </c>
      <c r="M21" s="15"/>
      <c r="N21" s="17">
        <f t="shared" si="4"/>
        <v>0.4884934834706674</v>
      </c>
      <c r="O21" s="15"/>
      <c r="P21" s="18">
        <f t="shared" si="5"/>
        <v>0.16193371394676356</v>
      </c>
      <c r="Q21" s="15"/>
      <c r="R21" s="17">
        <f t="shared" si="6"/>
        <v>0.36233930296499961</v>
      </c>
    </row>
    <row r="22" spans="1:18">
      <c r="A22" s="6"/>
      <c r="B22" s="6"/>
      <c r="C22" s="6"/>
      <c r="D22" s="6"/>
      <c r="F22" s="109"/>
      <c r="G22" s="15"/>
      <c r="H22" s="16"/>
      <c r="I22" s="15"/>
      <c r="J22" s="109"/>
      <c r="K22" s="15"/>
      <c r="L22" s="17"/>
      <c r="M22" s="15"/>
      <c r="N22" s="17"/>
      <c r="O22" s="15"/>
      <c r="P22" s="18"/>
      <c r="Q22" s="15"/>
      <c r="R22" s="17"/>
    </row>
    <row r="23" spans="1:18">
      <c r="A23" s="25" t="s">
        <v>67</v>
      </c>
      <c r="B23" s="6"/>
      <c r="C23" s="6"/>
      <c r="D23" s="6"/>
      <c r="F23" s="109"/>
      <c r="G23" s="15"/>
      <c r="H23" s="16"/>
      <c r="I23" s="15"/>
      <c r="J23" s="109"/>
      <c r="K23" s="15"/>
      <c r="L23" s="17"/>
      <c r="M23" s="15"/>
      <c r="N23" s="17"/>
      <c r="O23" s="15"/>
      <c r="P23" s="18"/>
      <c r="Q23" s="15"/>
      <c r="R23" s="17"/>
    </row>
    <row r="24" spans="1:18">
      <c r="A24" s="25" t="s">
        <v>24</v>
      </c>
      <c r="B24" s="31">
        <v>12.05</v>
      </c>
      <c r="C24" s="31">
        <v>1.76</v>
      </c>
      <c r="D24" s="31">
        <v>3.91</v>
      </c>
      <c r="F24" s="109">
        <f t="shared" si="0"/>
        <v>10.290000000000001</v>
      </c>
      <c r="G24" s="15"/>
      <c r="H24" s="16">
        <f t="shared" si="1"/>
        <v>5.8465909090909092</v>
      </c>
      <c r="I24" s="15"/>
      <c r="J24" s="109">
        <f t="shared" si="2"/>
        <v>-2.1500000000000004</v>
      </c>
      <c r="K24" s="15"/>
      <c r="L24" s="17">
        <f t="shared" si="3"/>
        <v>-0.54987212276214836</v>
      </c>
      <c r="M24" s="15"/>
      <c r="N24" s="17">
        <f t="shared" si="4"/>
        <v>1.9779390039722925E-4</v>
      </c>
      <c r="O24" s="15"/>
      <c r="P24" s="18">
        <f t="shared" si="5"/>
        <v>6.5248016608586044E-5</v>
      </c>
      <c r="Q24" s="15"/>
      <c r="R24" s="17">
        <f t="shared" si="6"/>
        <v>1.452775507170989E-4</v>
      </c>
    </row>
    <row r="25" spans="1:18">
      <c r="A25" s="25" t="s">
        <v>25</v>
      </c>
      <c r="B25" s="31">
        <v>11.93</v>
      </c>
      <c r="C25" s="31">
        <v>1.74</v>
      </c>
      <c r="D25" s="31">
        <v>3.85</v>
      </c>
      <c r="F25" s="109">
        <f t="shared" si="0"/>
        <v>10.19</v>
      </c>
      <c r="G25" s="15"/>
      <c r="H25" s="16">
        <f t="shared" si="1"/>
        <v>5.8563218390804597</v>
      </c>
      <c r="I25" s="15"/>
      <c r="J25" s="109">
        <f t="shared" si="2"/>
        <v>-2.1100000000000003</v>
      </c>
      <c r="K25" s="15"/>
      <c r="L25" s="17">
        <f t="shared" si="3"/>
        <v>-0.54805194805194812</v>
      </c>
      <c r="M25" s="15"/>
      <c r="N25" s="17">
        <f t="shared" si="4"/>
        <v>1.9582416860904108E-4</v>
      </c>
      <c r="O25" s="15"/>
      <c r="P25" s="18">
        <f t="shared" si="5"/>
        <v>6.4506561874397563E-5</v>
      </c>
      <c r="Q25" s="15"/>
      <c r="R25" s="17">
        <f t="shared" si="6"/>
        <v>1.4304822768819203E-4</v>
      </c>
    </row>
    <row r="26" spans="1:18">
      <c r="A26" s="25"/>
      <c r="B26" s="6"/>
      <c r="C26" s="6"/>
      <c r="D26" s="6"/>
      <c r="F26" s="14"/>
      <c r="G26" s="15"/>
      <c r="H26" s="16"/>
      <c r="I26" s="15"/>
      <c r="J26" s="14"/>
      <c r="K26" s="15"/>
      <c r="L26" s="17"/>
      <c r="M26" s="15"/>
      <c r="N26" s="17"/>
      <c r="O26" s="15"/>
      <c r="P26" s="18"/>
      <c r="Q26" s="15"/>
      <c r="R26" s="17"/>
    </row>
    <row r="27" spans="1:18">
      <c r="A27" s="25"/>
      <c r="B27" s="28"/>
      <c r="C27" s="28"/>
      <c r="D27" s="28"/>
      <c r="F27" s="14"/>
      <c r="G27" s="15"/>
      <c r="H27" s="16"/>
      <c r="I27" s="15"/>
      <c r="J27" s="14"/>
      <c r="K27" s="15"/>
      <c r="L27" s="17"/>
      <c r="M27" s="15"/>
      <c r="N27" s="17"/>
      <c r="O27" s="15"/>
      <c r="P27" s="18"/>
      <c r="Q27" s="15"/>
      <c r="R27" s="17"/>
    </row>
    <row r="28" spans="1:18">
      <c r="A28" s="25"/>
      <c r="B28" s="29"/>
      <c r="C28" s="29"/>
      <c r="D28" s="29"/>
      <c r="F28" s="14"/>
      <c r="G28" s="15"/>
      <c r="H28" s="16"/>
      <c r="I28" s="15"/>
      <c r="J28" s="14"/>
      <c r="K28" s="15"/>
      <c r="L28" s="17"/>
      <c r="M28" s="15"/>
      <c r="N28" s="17"/>
      <c r="O28" s="15"/>
      <c r="P28" s="18"/>
      <c r="Q28" s="15"/>
      <c r="R28" s="17"/>
    </row>
    <row r="29" spans="1:18">
      <c r="A29" s="25"/>
      <c r="B29" s="29"/>
      <c r="C29" s="29"/>
      <c r="D29" s="29"/>
      <c r="F29" s="14"/>
      <c r="G29" s="15"/>
      <c r="H29" s="16"/>
      <c r="I29" s="15"/>
      <c r="J29" s="14"/>
      <c r="K29" s="15"/>
      <c r="L29" s="17"/>
      <c r="M29" s="15"/>
      <c r="N29" s="17"/>
      <c r="O29" s="15"/>
      <c r="P29" s="18"/>
      <c r="Q29" s="15"/>
      <c r="R29" s="17"/>
    </row>
    <row r="30" spans="1:18">
      <c r="A30" s="25"/>
      <c r="B30" s="29"/>
      <c r="C30" s="29"/>
      <c r="D30" s="29"/>
      <c r="F30" s="14"/>
      <c r="G30" s="15"/>
      <c r="H30" s="16"/>
      <c r="I30" s="15"/>
      <c r="J30" s="14"/>
      <c r="K30" s="15"/>
      <c r="L30" s="17"/>
      <c r="M30" s="15"/>
      <c r="N30" s="17"/>
      <c r="O30" s="15"/>
      <c r="P30" s="18"/>
      <c r="Q30" s="15"/>
      <c r="R30" s="17"/>
    </row>
    <row r="31" spans="1:18">
      <c r="A31" s="25"/>
      <c r="B31" s="28"/>
      <c r="C31" s="28"/>
      <c r="D31" s="28"/>
      <c r="F31" s="14"/>
      <c r="G31" s="15"/>
      <c r="H31" s="16"/>
      <c r="I31" s="15"/>
      <c r="J31" s="14"/>
      <c r="K31" s="15"/>
      <c r="L31" s="17"/>
      <c r="M31" s="15"/>
      <c r="N31" s="17"/>
      <c r="O31" s="15"/>
      <c r="P31" s="18"/>
      <c r="Q31" s="15"/>
      <c r="R31" s="17"/>
    </row>
    <row r="32" spans="1:18">
      <c r="A32" s="12"/>
      <c r="B32" s="12"/>
      <c r="C32" s="12"/>
      <c r="D32" s="12"/>
      <c r="F32" s="14"/>
      <c r="G32" s="15"/>
      <c r="H32" s="16"/>
      <c r="I32" s="15"/>
      <c r="J32" s="14"/>
      <c r="K32" s="15"/>
      <c r="L32" s="17"/>
      <c r="M32" s="15"/>
      <c r="N32" s="17"/>
      <c r="O32" s="15"/>
      <c r="P32" s="18"/>
      <c r="Q32" s="15"/>
      <c r="R32" s="17"/>
    </row>
    <row r="33" spans="1:18">
      <c r="A33" s="12"/>
      <c r="B33" s="12"/>
      <c r="C33" s="12"/>
      <c r="D33" s="12"/>
      <c r="F33" s="14"/>
      <c r="G33" s="15"/>
      <c r="H33" s="16"/>
      <c r="I33" s="15"/>
      <c r="J33" s="14"/>
      <c r="K33" s="15"/>
      <c r="L33" s="17"/>
      <c r="M33" s="15"/>
      <c r="N33" s="17"/>
      <c r="O33" s="15"/>
      <c r="P33" s="18"/>
      <c r="Q33" s="15"/>
      <c r="R33" s="17"/>
    </row>
    <row r="34" spans="1:18">
      <c r="F34" s="14"/>
      <c r="G34" s="15"/>
      <c r="H34" s="16"/>
      <c r="I34" s="15"/>
      <c r="J34" s="14"/>
      <c r="K34" s="15"/>
      <c r="L34" s="17"/>
      <c r="M34" s="15"/>
      <c r="N34" s="17"/>
      <c r="O34" s="15"/>
      <c r="P34" s="18"/>
      <c r="Q34" s="15"/>
      <c r="R34" s="17"/>
    </row>
    <row r="35" spans="1:18">
      <c r="F35" s="14"/>
      <c r="G35" s="15"/>
      <c r="H35" s="16"/>
      <c r="I35" s="15"/>
      <c r="J35" s="14"/>
      <c r="K35" s="15"/>
      <c r="L35" s="17"/>
      <c r="M35" s="15"/>
      <c r="N35" s="17"/>
      <c r="O35" s="15"/>
      <c r="P35" s="18"/>
      <c r="Q35" s="15"/>
      <c r="R35" s="17"/>
    </row>
    <row r="36" spans="1:18">
      <c r="F36" s="14"/>
      <c r="G36" s="15"/>
      <c r="H36" s="16"/>
      <c r="I36" s="15"/>
      <c r="J36" s="14"/>
      <c r="K36" s="15"/>
      <c r="L36" s="17"/>
      <c r="M36" s="15"/>
      <c r="N36" s="17"/>
      <c r="O36" s="15"/>
      <c r="P36" s="18"/>
      <c r="Q36" s="15"/>
      <c r="R36" s="17"/>
    </row>
  </sheetData>
  <mergeCells count="1">
    <mergeCell ref="F1:R3"/>
  </mergeCells>
  <pageMargins left="0.25" right="0.25" top="0.75" bottom="0.75" header="0.3" footer="0.3"/>
  <pageSetup scale="65" orientation="landscape" r:id="rId1"/>
  <headerFooter>
    <oddFooter>&amp;L&amp;Z&amp;F&amp;A&amp;R&amp;D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3"/>
  <sheetViews>
    <sheetView workbookViewId="0">
      <selection activeCell="E14" sqref="E14"/>
    </sheetView>
  </sheetViews>
  <sheetFormatPr defaultColWidth="9.140625" defaultRowHeight="15"/>
  <cols>
    <col min="1" max="1" width="42.7109375" style="1" customWidth="1"/>
    <col min="2" max="4" width="14.85546875" style="1" customWidth="1"/>
    <col min="5" max="16384" width="9.140625" style="1"/>
  </cols>
  <sheetData>
    <row r="1" spans="1:5">
      <c r="A1" s="105" t="s">
        <v>92</v>
      </c>
      <c r="B1" s="106"/>
      <c r="C1" s="106"/>
      <c r="D1" s="106"/>
      <c r="E1" s="106"/>
    </row>
    <row r="2" spans="1:5">
      <c r="A2" s="25" t="s">
        <v>48</v>
      </c>
      <c r="B2" s="6"/>
      <c r="C2" s="6"/>
      <c r="D2" s="6"/>
      <c r="E2" s="12"/>
    </row>
    <row r="3" spans="1:5">
      <c r="A3" s="25" t="s">
        <v>93</v>
      </c>
      <c r="B3" s="6"/>
      <c r="C3" s="6"/>
      <c r="D3" s="6"/>
      <c r="E3" s="12"/>
    </row>
    <row r="4" spans="1:5">
      <c r="A4" s="25" t="s">
        <v>26</v>
      </c>
      <c r="B4" s="6"/>
      <c r="C4" s="6"/>
      <c r="D4" s="6"/>
      <c r="E4" s="12"/>
    </row>
    <row r="5" spans="1:5">
      <c r="A5" s="25" t="s">
        <v>0</v>
      </c>
      <c r="B5" s="25" t="s">
        <v>0</v>
      </c>
      <c r="C5" s="25" t="s">
        <v>51</v>
      </c>
      <c r="D5" s="6"/>
      <c r="E5" s="12"/>
    </row>
    <row r="6" spans="1:5">
      <c r="A6" s="25" t="s">
        <v>0</v>
      </c>
      <c r="B6" s="25" t="s">
        <v>52</v>
      </c>
      <c r="C6" s="25" t="s">
        <v>53</v>
      </c>
      <c r="D6" s="25" t="s">
        <v>54</v>
      </c>
      <c r="E6" s="12"/>
    </row>
    <row r="7" spans="1:5">
      <c r="A7" s="25" t="s">
        <v>94</v>
      </c>
      <c r="B7" s="6"/>
      <c r="C7" s="6"/>
      <c r="D7" s="6"/>
      <c r="E7" s="12"/>
    </row>
    <row r="8" spans="1:5">
      <c r="A8" s="25" t="s">
        <v>23</v>
      </c>
      <c r="B8" s="28">
        <v>29760</v>
      </c>
      <c r="C8" s="28">
        <v>4368</v>
      </c>
      <c r="D8" s="28">
        <v>9752</v>
      </c>
      <c r="E8" s="12"/>
    </row>
    <row r="9" spans="1:5">
      <c r="A9" s="25" t="s">
        <v>95</v>
      </c>
      <c r="B9" s="6"/>
      <c r="C9" s="6"/>
      <c r="D9" s="6"/>
      <c r="E9" s="12"/>
    </row>
    <row r="10" spans="1:5">
      <c r="A10" s="25" t="s">
        <v>96</v>
      </c>
      <c r="B10" s="6"/>
      <c r="C10" s="6"/>
      <c r="D10" s="6"/>
      <c r="E10" s="12"/>
    </row>
    <row r="11" spans="1:5">
      <c r="A11" s="25" t="s">
        <v>97</v>
      </c>
      <c r="B11" s="29">
        <v>3549</v>
      </c>
      <c r="C11" s="29">
        <v>2709</v>
      </c>
      <c r="D11" s="29">
        <v>2004</v>
      </c>
      <c r="E11" s="12"/>
    </row>
    <row r="12" spans="1:5">
      <c r="A12" s="25" t="s">
        <v>27</v>
      </c>
      <c r="B12" s="29">
        <v>1508</v>
      </c>
      <c r="C12" s="29">
        <v>1544</v>
      </c>
      <c r="D12" s="29">
        <v>1174</v>
      </c>
      <c r="E12" s="12"/>
    </row>
    <row r="13" spans="1:5">
      <c r="A13" s="25" t="s">
        <v>28</v>
      </c>
      <c r="B13" s="29">
        <v>-2489</v>
      </c>
      <c r="C13" s="29">
        <v>-2164</v>
      </c>
      <c r="D13" s="29">
        <v>-406</v>
      </c>
      <c r="E13" s="12"/>
    </row>
    <row r="14" spans="1:5">
      <c r="A14" s="25" t="s">
        <v>98</v>
      </c>
      <c r="B14" s="6"/>
      <c r="C14" s="6"/>
      <c r="D14" s="6"/>
      <c r="E14" s="12"/>
    </row>
    <row r="15" spans="1:5">
      <c r="A15" s="25" t="s">
        <v>99</v>
      </c>
      <c r="B15" s="29">
        <v>-238</v>
      </c>
      <c r="C15" s="29">
        <v>45</v>
      </c>
      <c r="D15" s="29">
        <v>-100</v>
      </c>
      <c r="E15" s="12"/>
    </row>
    <row r="16" spans="1:5">
      <c r="A16" s="25" t="s">
        <v>58</v>
      </c>
      <c r="B16" s="30">
        <v>0</v>
      </c>
      <c r="C16" s="29">
        <v>1353</v>
      </c>
      <c r="D16" s="30">
        <v>0</v>
      </c>
      <c r="E16" s="12"/>
    </row>
    <row r="17" spans="1:5">
      <c r="A17" s="25" t="s">
        <v>29</v>
      </c>
      <c r="B17" s="29">
        <v>-278</v>
      </c>
      <c r="C17" s="29">
        <v>-7</v>
      </c>
      <c r="D17" s="29">
        <v>47</v>
      </c>
      <c r="E17" s="12"/>
    </row>
    <row r="18" spans="1:5">
      <c r="A18" s="25" t="s">
        <v>100</v>
      </c>
      <c r="B18" s="6"/>
      <c r="C18" s="6"/>
      <c r="D18" s="6"/>
      <c r="E18" s="12"/>
    </row>
    <row r="19" spans="1:5">
      <c r="A19" s="25" t="s">
        <v>101</v>
      </c>
      <c r="B19" s="6"/>
      <c r="C19" s="6"/>
      <c r="D19" s="6"/>
      <c r="E19" s="12"/>
    </row>
    <row r="20" spans="1:5">
      <c r="A20" s="25" t="s">
        <v>30</v>
      </c>
      <c r="B20" s="29">
        <v>-6172</v>
      </c>
      <c r="C20" s="29">
        <v>822</v>
      </c>
      <c r="D20" s="29">
        <v>-2215</v>
      </c>
      <c r="E20" s="12"/>
    </row>
    <row r="21" spans="1:5">
      <c r="A21" s="25" t="s">
        <v>73</v>
      </c>
      <c r="B21" s="29">
        <v>-98</v>
      </c>
      <c r="C21" s="29">
        <v>-2554</v>
      </c>
      <c r="D21" s="29">
        <v>-774</v>
      </c>
      <c r="E21" s="12"/>
    </row>
    <row r="22" spans="1:5">
      <c r="A22" s="25" t="s">
        <v>102</v>
      </c>
      <c r="B22" s="29">
        <v>-1522</v>
      </c>
      <c r="C22" s="29">
        <v>-1517</v>
      </c>
      <c r="D22" s="29">
        <v>-1715</v>
      </c>
      <c r="E22" s="12"/>
    </row>
    <row r="23" spans="1:5">
      <c r="A23" s="25" t="s">
        <v>14</v>
      </c>
      <c r="B23" s="29">
        <v>1531</v>
      </c>
      <c r="C23" s="29">
        <v>-551</v>
      </c>
      <c r="D23" s="29">
        <v>568</v>
      </c>
      <c r="E23" s="12"/>
    </row>
    <row r="24" spans="1:5">
      <c r="A24" s="25" t="s">
        <v>77</v>
      </c>
      <c r="B24" s="29">
        <v>2025</v>
      </c>
      <c r="C24" s="29">
        <v>1341</v>
      </c>
      <c r="D24" s="29">
        <v>581</v>
      </c>
      <c r="E24" s="12"/>
    </row>
    <row r="25" spans="1:5">
      <c r="A25" s="25" t="s">
        <v>80</v>
      </c>
      <c r="B25" s="29">
        <v>514</v>
      </c>
      <c r="C25" s="29">
        <v>252</v>
      </c>
      <c r="D25" s="29">
        <v>192</v>
      </c>
      <c r="E25" s="12"/>
    </row>
    <row r="26" spans="1:5">
      <c r="A26" s="25" t="s">
        <v>31</v>
      </c>
      <c r="B26" s="29">
        <v>28090</v>
      </c>
      <c r="C26" s="29">
        <v>5641</v>
      </c>
      <c r="D26" s="29">
        <v>9108</v>
      </c>
      <c r="E26" s="12"/>
    </row>
    <row r="27" spans="1:5">
      <c r="A27" s="25" t="s">
        <v>103</v>
      </c>
      <c r="B27" s="6"/>
      <c r="C27" s="6"/>
      <c r="D27" s="6"/>
      <c r="E27" s="12"/>
    </row>
    <row r="28" spans="1:5">
      <c r="A28" s="25" t="s">
        <v>104</v>
      </c>
      <c r="B28" s="29">
        <v>9732</v>
      </c>
      <c r="C28" s="29">
        <v>19425</v>
      </c>
      <c r="D28" s="29">
        <v>15197</v>
      </c>
      <c r="E28" s="12"/>
    </row>
    <row r="29" spans="1:5">
      <c r="A29" s="25" t="s">
        <v>105</v>
      </c>
      <c r="B29" s="29">
        <v>50</v>
      </c>
      <c r="C29" s="29">
        <v>1806</v>
      </c>
      <c r="D29" s="29">
        <v>1023</v>
      </c>
      <c r="E29" s="12"/>
    </row>
    <row r="30" spans="1:5">
      <c r="A30" s="25" t="s">
        <v>106</v>
      </c>
      <c r="B30" s="29">
        <v>-18211</v>
      </c>
      <c r="C30" s="29">
        <v>-11897</v>
      </c>
      <c r="D30" s="29">
        <v>-24787</v>
      </c>
      <c r="E30" s="12"/>
    </row>
    <row r="31" spans="1:5">
      <c r="A31" s="25" t="s">
        <v>107</v>
      </c>
      <c r="B31" s="6"/>
      <c r="C31" s="6"/>
      <c r="D31" s="6"/>
      <c r="E31" s="12"/>
    </row>
    <row r="32" spans="1:5">
      <c r="A32" s="25" t="s">
        <v>108</v>
      </c>
      <c r="B32" s="29">
        <v>-1069</v>
      </c>
      <c r="C32" s="29">
        <v>-1833</v>
      </c>
      <c r="D32" s="29">
        <v>-976</v>
      </c>
      <c r="E32" s="12"/>
    </row>
    <row r="33" spans="1:5">
      <c r="A33" s="25" t="s">
        <v>109</v>
      </c>
      <c r="B33" s="29">
        <v>-83</v>
      </c>
      <c r="C33" s="29">
        <v>-49</v>
      </c>
      <c r="D33" s="29">
        <v>-263</v>
      </c>
      <c r="E33" s="12"/>
    </row>
    <row r="34" spans="1:5">
      <c r="A34" s="25" t="s">
        <v>110</v>
      </c>
      <c r="B34" s="29">
        <v>-985</v>
      </c>
      <c r="C34" s="29">
        <v>-77</v>
      </c>
      <c r="D34" s="29">
        <v>-24</v>
      </c>
      <c r="E34" s="12"/>
    </row>
    <row r="35" spans="1:5">
      <c r="A35" s="25" t="s">
        <v>111</v>
      </c>
      <c r="B35" s="29">
        <v>-10566</v>
      </c>
      <c r="C35" s="29">
        <v>7375</v>
      </c>
      <c r="D35" s="29">
        <v>-9830</v>
      </c>
      <c r="E35" s="12"/>
    </row>
    <row r="36" spans="1:5">
      <c r="A36" s="25" t="s">
        <v>112</v>
      </c>
      <c r="B36" s="6"/>
      <c r="C36" s="6"/>
      <c r="D36" s="6"/>
      <c r="E36" s="12"/>
    </row>
    <row r="37" spans="1:5">
      <c r="A37" s="25" t="s">
        <v>113</v>
      </c>
      <c r="B37" s="29">
        <v>403</v>
      </c>
      <c r="C37" s="29">
        <v>355</v>
      </c>
      <c r="D37" s="29">
        <v>281</v>
      </c>
      <c r="E37" s="12"/>
    </row>
    <row r="38" spans="1:5">
      <c r="A38" s="25" t="s">
        <v>114</v>
      </c>
      <c r="B38" s="29">
        <v>-9533</v>
      </c>
      <c r="C38" s="29">
        <v>-10039</v>
      </c>
      <c r="D38" s="30">
        <v>0</v>
      </c>
      <c r="E38" s="12"/>
    </row>
    <row r="39" spans="1:5">
      <c r="A39" s="25" t="s">
        <v>115</v>
      </c>
      <c r="B39" s="29">
        <v>-2783</v>
      </c>
      <c r="C39" s="29">
        <v>-1475</v>
      </c>
      <c r="D39" s="29">
        <v>-1904</v>
      </c>
      <c r="E39" s="12"/>
    </row>
    <row r="40" spans="1:5">
      <c r="A40" s="25" t="s">
        <v>116</v>
      </c>
      <c r="B40" s="29">
        <v>-1250</v>
      </c>
      <c r="C40" s="30">
        <v>0</v>
      </c>
      <c r="D40" s="29">
        <v>-1000</v>
      </c>
      <c r="E40" s="12"/>
    </row>
    <row r="41" spans="1:5">
      <c r="A41" s="25" t="s">
        <v>117</v>
      </c>
      <c r="B41" s="29">
        <v>-395</v>
      </c>
      <c r="C41" s="29">
        <v>-398</v>
      </c>
      <c r="D41" s="29">
        <v>-399</v>
      </c>
      <c r="E41" s="12"/>
    </row>
    <row r="42" spans="1:5">
      <c r="A42" s="25" t="s">
        <v>118</v>
      </c>
      <c r="B42" s="6"/>
      <c r="C42" s="6"/>
      <c r="D42" s="6"/>
      <c r="E42" s="12"/>
    </row>
    <row r="43" spans="1:5">
      <c r="A43" s="25" t="s">
        <v>108</v>
      </c>
      <c r="B43" s="29">
        <v>-74</v>
      </c>
      <c r="C43" s="29">
        <v>-58</v>
      </c>
      <c r="D43" s="29">
        <v>-83</v>
      </c>
      <c r="E43" s="12"/>
    </row>
    <row r="44" spans="1:5">
      <c r="A44" s="25" t="s">
        <v>119</v>
      </c>
      <c r="B44" s="30">
        <v>0</v>
      </c>
      <c r="C44" s="30">
        <v>0</v>
      </c>
      <c r="D44" s="29">
        <v>4977</v>
      </c>
      <c r="E44" s="12"/>
    </row>
    <row r="45" spans="1:5">
      <c r="A45" s="25" t="s">
        <v>29</v>
      </c>
      <c r="B45" s="29">
        <v>-1</v>
      </c>
      <c r="C45" s="29">
        <v>-2</v>
      </c>
      <c r="D45" s="29">
        <v>-7</v>
      </c>
      <c r="E45" s="12"/>
    </row>
    <row r="46" spans="1:5">
      <c r="A46" s="25" t="s">
        <v>120</v>
      </c>
      <c r="B46" s="29">
        <v>-13633</v>
      </c>
      <c r="C46" s="29">
        <v>-11617</v>
      </c>
      <c r="D46" s="29">
        <v>1865</v>
      </c>
      <c r="E46" s="12"/>
    </row>
    <row r="47" spans="1:5">
      <c r="A47" s="25" t="s">
        <v>121</v>
      </c>
      <c r="B47" s="29">
        <v>3891</v>
      </c>
      <c r="C47" s="29">
        <v>1399</v>
      </c>
      <c r="D47" s="29">
        <v>1143</v>
      </c>
      <c r="E47" s="12"/>
    </row>
    <row r="48" spans="1:5">
      <c r="A48" s="25" t="s">
        <v>122</v>
      </c>
      <c r="B48" s="29">
        <v>3389</v>
      </c>
      <c r="C48" s="29">
        <v>1990</v>
      </c>
      <c r="D48" s="29">
        <v>847</v>
      </c>
      <c r="E48" s="12"/>
    </row>
    <row r="49" spans="1:5">
      <c r="A49" s="25" t="s">
        <v>123</v>
      </c>
      <c r="B49" s="28">
        <v>7280</v>
      </c>
      <c r="C49" s="28">
        <v>3389</v>
      </c>
      <c r="D49" s="28">
        <v>1990</v>
      </c>
      <c r="E49" s="12"/>
    </row>
    <row r="50" spans="1:5">
      <c r="A50" s="25" t="s">
        <v>124</v>
      </c>
      <c r="B50" s="6"/>
      <c r="C50" s="6"/>
      <c r="D50" s="6"/>
      <c r="E50" s="12"/>
    </row>
    <row r="51" spans="1:5">
      <c r="A51" s="25" t="s">
        <v>32</v>
      </c>
      <c r="B51" s="28">
        <v>6549</v>
      </c>
      <c r="C51" s="28">
        <v>1404</v>
      </c>
      <c r="D51" s="28">
        <v>396</v>
      </c>
      <c r="E51" s="12"/>
    </row>
    <row r="52" spans="1:5">
      <c r="A52" s="25" t="s">
        <v>125</v>
      </c>
      <c r="B52" s="28">
        <v>252</v>
      </c>
      <c r="C52" s="28">
        <v>254</v>
      </c>
      <c r="D52" s="28">
        <v>246</v>
      </c>
      <c r="E52" s="12"/>
    </row>
    <row r="53" spans="1:5">
      <c r="A53" s="6"/>
      <c r="B53" s="6"/>
      <c r="C53" s="6"/>
      <c r="D53" s="6"/>
      <c r="E53" s="12"/>
    </row>
    <row r="54" spans="1:5">
      <c r="A54" s="6"/>
      <c r="B54" s="6"/>
      <c r="C54" s="6"/>
      <c r="D54" s="6"/>
      <c r="E54" s="12"/>
    </row>
    <row r="55" spans="1:5">
      <c r="A55" s="25"/>
      <c r="B55" s="6"/>
      <c r="C55" s="6"/>
      <c r="D55" s="6"/>
      <c r="E55" s="12"/>
    </row>
    <row r="56" spans="1:5">
      <c r="A56" s="25"/>
      <c r="B56" s="29"/>
      <c r="C56" s="29"/>
      <c r="D56" s="29"/>
      <c r="E56" s="12"/>
    </row>
    <row r="57" spans="1:5">
      <c r="A57" s="25"/>
      <c r="B57" s="29"/>
      <c r="C57" s="29"/>
      <c r="D57" s="29"/>
      <c r="E57" s="12"/>
    </row>
    <row r="58" spans="1:5">
      <c r="A58" s="49"/>
      <c r="B58" s="50"/>
      <c r="C58" s="50"/>
      <c r="D58" s="50"/>
    </row>
    <row r="59" spans="1:5">
      <c r="A59" s="33"/>
      <c r="B59" s="33"/>
      <c r="C59" s="33"/>
      <c r="D59" s="33"/>
    </row>
    <row r="60" spans="1:5">
      <c r="A60" s="32"/>
      <c r="B60" s="32"/>
      <c r="C60" s="32"/>
      <c r="D60" s="33"/>
    </row>
    <row r="61" spans="1:5">
      <c r="A61" s="32"/>
      <c r="B61" s="32"/>
      <c r="C61" s="32"/>
      <c r="D61" s="32"/>
    </row>
    <row r="62" spans="1:5">
      <c r="A62" s="32"/>
      <c r="B62" s="33"/>
      <c r="C62" s="33"/>
      <c r="D62" s="33"/>
    </row>
    <row r="63" spans="1:5">
      <c r="A63" s="32"/>
      <c r="B63" s="34"/>
      <c r="C63" s="34"/>
      <c r="D63" s="34"/>
    </row>
    <row r="64" spans="1:5">
      <c r="A64" s="32"/>
      <c r="B64" s="33"/>
      <c r="C64" s="33"/>
      <c r="D64" s="33"/>
    </row>
    <row r="65" spans="1:4">
      <c r="A65" s="32"/>
      <c r="B65" s="33"/>
      <c r="C65" s="33"/>
      <c r="D65" s="33"/>
    </row>
    <row r="66" spans="1:4">
      <c r="A66" s="32"/>
      <c r="B66" s="34"/>
      <c r="C66" s="34"/>
      <c r="D66" s="34"/>
    </row>
    <row r="67" spans="1:4">
      <c r="A67" s="32"/>
      <c r="B67" s="33"/>
      <c r="C67" s="33"/>
      <c r="D67" s="33"/>
    </row>
    <row r="68" spans="1:4">
      <c r="A68" s="32"/>
      <c r="B68" s="34"/>
      <c r="C68" s="34"/>
      <c r="D68" s="34"/>
    </row>
    <row r="69" spans="1:4">
      <c r="A69" s="32"/>
      <c r="B69" s="33"/>
      <c r="C69" s="33"/>
      <c r="D69" s="33"/>
    </row>
    <row r="70" spans="1:4">
      <c r="A70" s="32"/>
      <c r="B70" s="34"/>
      <c r="C70" s="34"/>
      <c r="D70" s="51"/>
    </row>
    <row r="71" spans="1:4">
      <c r="A71" s="32"/>
      <c r="B71" s="33"/>
      <c r="C71" s="33"/>
      <c r="D71" s="33"/>
    </row>
    <row r="72" spans="1:4">
      <c r="A72" s="32"/>
      <c r="B72" s="34"/>
      <c r="C72" s="34"/>
      <c r="D72" s="34"/>
    </row>
    <row r="73" spans="1:4">
      <c r="A73" s="33"/>
      <c r="B73" s="33"/>
      <c r="C73" s="33"/>
      <c r="D73" s="33"/>
    </row>
  </sheetData>
  <mergeCells count="1">
    <mergeCell ref="A1:E1"/>
  </mergeCells>
  <pageMargins left="0.7" right="0.7" top="0.75" bottom="0.75" header="0.3" footer="0.3"/>
  <pageSetup scale="84" orientation="portrait" r:id="rId1"/>
  <headerFooter>
    <oddFooter>&amp;L&amp;Z&amp;F&amp;A&amp;R&amp;D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9"/>
  <sheetViews>
    <sheetView workbookViewId="0">
      <selection activeCell="C11" sqref="C11"/>
    </sheetView>
  </sheetViews>
  <sheetFormatPr defaultRowHeight="15"/>
  <cols>
    <col min="1" max="1" width="40.140625" customWidth="1"/>
    <col min="2" max="7" width="16.5703125" style="58" customWidth="1"/>
    <col min="8" max="8" width="9.140625" style="58"/>
  </cols>
  <sheetData>
    <row r="1" spans="1:8">
      <c r="A1" s="107" t="s">
        <v>48</v>
      </c>
      <c r="B1" s="108" t="s">
        <v>0</v>
      </c>
      <c r="C1" s="52"/>
      <c r="D1" s="52"/>
      <c r="E1" s="52"/>
      <c r="F1" s="52"/>
      <c r="G1" s="52"/>
      <c r="H1" s="52"/>
    </row>
    <row r="2" spans="1:8">
      <c r="A2" s="107" t="s">
        <v>126</v>
      </c>
      <c r="B2" s="108" t="s">
        <v>0</v>
      </c>
      <c r="C2" s="52"/>
      <c r="D2" s="52"/>
      <c r="E2" s="52"/>
      <c r="F2" s="52"/>
      <c r="G2" s="52"/>
      <c r="H2" s="52"/>
    </row>
    <row r="3" spans="1:8" ht="25.5">
      <c r="A3" s="3" t="s">
        <v>0</v>
      </c>
      <c r="B3" s="53" t="s">
        <v>127</v>
      </c>
      <c r="C3" s="53" t="s">
        <v>0</v>
      </c>
      <c r="D3" s="53" t="s">
        <v>34</v>
      </c>
      <c r="E3" s="53" t="s">
        <v>0</v>
      </c>
      <c r="F3" s="53" t="s">
        <v>33</v>
      </c>
      <c r="G3" s="52"/>
      <c r="H3" s="52"/>
    </row>
    <row r="4" spans="1:8" ht="38.25">
      <c r="A4" s="3" t="s">
        <v>0</v>
      </c>
      <c r="B4" s="53" t="s">
        <v>128</v>
      </c>
      <c r="C4" s="53" t="s">
        <v>0</v>
      </c>
      <c r="D4" s="53" t="s">
        <v>129</v>
      </c>
      <c r="E4" s="53" t="s">
        <v>130</v>
      </c>
      <c r="F4" s="53" t="s">
        <v>131</v>
      </c>
      <c r="G4" s="53" t="s">
        <v>35</v>
      </c>
      <c r="H4" s="53" t="s">
        <v>132</v>
      </c>
    </row>
    <row r="5" spans="1:8">
      <c r="A5" s="3" t="s">
        <v>0</v>
      </c>
      <c r="B5" s="53" t="s">
        <v>36</v>
      </c>
      <c r="C5" s="53" t="s">
        <v>133</v>
      </c>
      <c r="D5" s="53" t="s">
        <v>134</v>
      </c>
      <c r="E5" s="53" t="s">
        <v>135</v>
      </c>
      <c r="F5" s="53" t="s">
        <v>136</v>
      </c>
      <c r="G5" s="53" t="s">
        <v>37</v>
      </c>
      <c r="H5" s="53" t="s">
        <v>38</v>
      </c>
    </row>
    <row r="6" spans="1:8">
      <c r="A6" s="3" t="s">
        <v>50</v>
      </c>
      <c r="B6" s="52"/>
      <c r="C6" s="52"/>
      <c r="D6" s="52"/>
      <c r="E6" s="52"/>
      <c r="F6" s="52"/>
      <c r="G6" s="52"/>
      <c r="H6" s="52"/>
    </row>
    <row r="7" spans="1:8">
      <c r="A7" s="4"/>
      <c r="B7" s="52"/>
      <c r="C7" s="52"/>
      <c r="D7" s="52"/>
      <c r="E7" s="52"/>
      <c r="F7" s="52"/>
      <c r="G7" s="52"/>
      <c r="H7" s="52"/>
    </row>
    <row r="8" spans="1:8">
      <c r="A8" s="3" t="s">
        <v>137</v>
      </c>
      <c r="B8" s="54">
        <v>2479</v>
      </c>
      <c r="C8" s="53" t="s">
        <v>138</v>
      </c>
      <c r="D8" s="55">
        <v>8719</v>
      </c>
      <c r="E8" s="55">
        <v>-10756</v>
      </c>
      <c r="F8" s="55">
        <v>19</v>
      </c>
      <c r="G8" s="55">
        <v>18908</v>
      </c>
      <c r="H8" s="55">
        <v>16893</v>
      </c>
    </row>
    <row r="9" spans="1:8">
      <c r="A9" s="3" t="s">
        <v>23</v>
      </c>
      <c r="B9" s="56">
        <v>0</v>
      </c>
      <c r="C9" s="56">
        <v>0</v>
      </c>
      <c r="D9" s="56">
        <v>0</v>
      </c>
      <c r="E9" s="56">
        <v>0</v>
      </c>
      <c r="F9" s="56">
        <v>0</v>
      </c>
      <c r="G9" s="54">
        <v>9752</v>
      </c>
      <c r="H9" s="54">
        <v>9752</v>
      </c>
    </row>
    <row r="10" spans="1:8">
      <c r="A10" s="3" t="s">
        <v>40</v>
      </c>
      <c r="B10" s="56">
        <v>0</v>
      </c>
      <c r="C10" s="56">
        <v>0</v>
      </c>
      <c r="D10" s="56">
        <v>0</v>
      </c>
      <c r="E10" s="56">
        <v>0</v>
      </c>
      <c r="F10" s="54">
        <v>-30</v>
      </c>
      <c r="G10" s="56">
        <v>0</v>
      </c>
      <c r="H10" s="54">
        <v>-30</v>
      </c>
    </row>
    <row r="11" spans="1:8">
      <c r="A11" s="3" t="s">
        <v>139</v>
      </c>
      <c r="B11" s="52"/>
      <c r="C11" s="52"/>
      <c r="D11" s="52"/>
      <c r="E11" s="52"/>
      <c r="F11" s="52"/>
      <c r="G11" s="52"/>
      <c r="H11" s="52"/>
    </row>
    <row r="12" spans="1:8">
      <c r="A12" s="3" t="s">
        <v>140</v>
      </c>
      <c r="B12" s="54">
        <v>35</v>
      </c>
      <c r="C12" s="56">
        <v>0</v>
      </c>
      <c r="D12" s="54">
        <v>281</v>
      </c>
      <c r="E12" s="56">
        <v>0</v>
      </c>
      <c r="F12" s="56">
        <v>0</v>
      </c>
      <c r="G12" s="56">
        <v>0</v>
      </c>
      <c r="H12" s="54">
        <v>281</v>
      </c>
    </row>
    <row r="13" spans="1:8">
      <c r="A13" s="3" t="s">
        <v>141</v>
      </c>
      <c r="B13" s="52"/>
      <c r="C13" s="52"/>
      <c r="D13" s="52"/>
      <c r="E13" s="52"/>
      <c r="F13" s="52"/>
      <c r="G13" s="52"/>
      <c r="H13" s="52"/>
    </row>
    <row r="14" spans="1:8">
      <c r="A14" s="3" t="s">
        <v>142</v>
      </c>
      <c r="B14" s="54">
        <v>-8</v>
      </c>
      <c r="C14" s="56">
        <v>0</v>
      </c>
      <c r="D14" s="54">
        <v>-614</v>
      </c>
      <c r="E14" s="54">
        <v>-1290</v>
      </c>
      <c r="F14" s="56">
        <v>0</v>
      </c>
      <c r="G14" s="56">
        <v>0</v>
      </c>
      <c r="H14" s="54">
        <v>-1904</v>
      </c>
    </row>
    <row r="15" spans="1:8">
      <c r="A15" s="4"/>
      <c r="B15" s="52"/>
      <c r="C15" s="52"/>
      <c r="D15" s="52"/>
      <c r="E15" s="52"/>
      <c r="F15" s="52"/>
      <c r="G15" s="52"/>
      <c r="H15" s="52"/>
    </row>
    <row r="16" spans="1:8">
      <c r="A16" s="3" t="s">
        <v>143</v>
      </c>
      <c r="B16" s="52"/>
      <c r="C16" s="52"/>
      <c r="D16" s="52"/>
      <c r="E16" s="52"/>
      <c r="F16" s="52"/>
      <c r="G16" s="52"/>
      <c r="H16" s="52"/>
    </row>
    <row r="17" spans="1:8">
      <c r="A17" s="3" t="s">
        <v>144</v>
      </c>
      <c r="B17" s="56">
        <v>0</v>
      </c>
      <c r="C17" s="56">
        <v>0</v>
      </c>
      <c r="D17" s="56">
        <v>0</v>
      </c>
      <c r="E17" s="56">
        <v>0</v>
      </c>
      <c r="F17" s="56">
        <v>0</v>
      </c>
      <c r="G17" s="54">
        <v>-399</v>
      </c>
      <c r="H17" s="54">
        <v>-399</v>
      </c>
    </row>
    <row r="18" spans="1:8">
      <c r="A18" s="3" t="s">
        <v>145</v>
      </c>
      <c r="B18" s="52"/>
      <c r="C18" s="52"/>
      <c r="D18" s="52"/>
      <c r="E18" s="52"/>
      <c r="F18" s="52"/>
      <c r="G18" s="52"/>
      <c r="H18" s="52"/>
    </row>
    <row r="19" spans="1:8">
      <c r="A19" s="3" t="s">
        <v>146</v>
      </c>
      <c r="B19" s="52"/>
      <c r="C19" s="52"/>
      <c r="D19" s="52"/>
      <c r="E19" s="52"/>
      <c r="F19" s="52"/>
      <c r="G19" s="52"/>
      <c r="H19" s="52"/>
    </row>
    <row r="20" spans="1:8">
      <c r="A20" s="3" t="s">
        <v>147</v>
      </c>
      <c r="B20" s="56">
        <v>0</v>
      </c>
      <c r="C20" s="56">
        <v>0</v>
      </c>
      <c r="D20" s="54">
        <v>18</v>
      </c>
      <c r="E20" s="56">
        <v>0</v>
      </c>
      <c r="F20" s="56">
        <v>0</v>
      </c>
      <c r="G20" s="56">
        <v>0</v>
      </c>
      <c r="H20" s="54">
        <v>18</v>
      </c>
    </row>
    <row r="21" spans="1:8">
      <c r="A21" s="3" t="s">
        <v>148</v>
      </c>
      <c r="B21" s="56">
        <v>0</v>
      </c>
      <c r="C21" s="56">
        <v>0</v>
      </c>
      <c r="D21" s="54">
        <v>2001</v>
      </c>
      <c r="E21" s="56">
        <v>0</v>
      </c>
      <c r="F21" s="56">
        <v>0</v>
      </c>
      <c r="G21" s="56">
        <v>0</v>
      </c>
      <c r="H21" s="54">
        <v>2001</v>
      </c>
    </row>
    <row r="22" spans="1:8">
      <c r="A22" s="3" t="s">
        <v>149</v>
      </c>
      <c r="B22" s="56">
        <v>0</v>
      </c>
      <c r="C22" s="56">
        <v>0</v>
      </c>
      <c r="D22" s="54">
        <v>-20</v>
      </c>
      <c r="E22" s="54">
        <v>12046</v>
      </c>
      <c r="F22" s="56">
        <v>0</v>
      </c>
      <c r="G22" s="54">
        <v>-12026</v>
      </c>
      <c r="H22" s="56">
        <v>0</v>
      </c>
    </row>
    <row r="23" spans="1:8">
      <c r="A23" s="3" t="s">
        <v>150</v>
      </c>
      <c r="B23" s="54">
        <v>2506</v>
      </c>
      <c r="C23" s="54">
        <v>3</v>
      </c>
      <c r="D23" s="54">
        <v>10385</v>
      </c>
      <c r="E23" s="56">
        <v>0</v>
      </c>
      <c r="F23" s="54">
        <v>-11</v>
      </c>
      <c r="G23" s="54">
        <v>16235</v>
      </c>
      <c r="H23" s="54">
        <v>26612</v>
      </c>
    </row>
    <row r="24" spans="1:8">
      <c r="A24" s="3" t="s">
        <v>23</v>
      </c>
      <c r="B24" s="56">
        <v>0</v>
      </c>
      <c r="C24" s="56">
        <v>0</v>
      </c>
      <c r="D24" s="56">
        <v>0</v>
      </c>
      <c r="E24" s="56">
        <v>0</v>
      </c>
      <c r="F24" s="56">
        <v>0</v>
      </c>
      <c r="G24" s="54">
        <v>4368</v>
      </c>
      <c r="H24" s="54">
        <v>4368</v>
      </c>
    </row>
    <row r="25" spans="1:8">
      <c r="A25" s="3" t="s">
        <v>40</v>
      </c>
      <c r="B25" s="56">
        <v>0</v>
      </c>
      <c r="C25" s="56">
        <v>0</v>
      </c>
      <c r="D25" s="56">
        <v>0</v>
      </c>
      <c r="E25" s="56">
        <v>0</v>
      </c>
      <c r="F25" s="54">
        <v>-32</v>
      </c>
      <c r="G25" s="56">
        <v>0</v>
      </c>
      <c r="H25" s="54">
        <v>-32</v>
      </c>
    </row>
    <row r="26" spans="1:8">
      <c r="A26" s="3" t="s">
        <v>139</v>
      </c>
      <c r="B26" s="52"/>
      <c r="C26" s="52"/>
      <c r="D26" s="52"/>
      <c r="E26" s="52"/>
      <c r="F26" s="52"/>
      <c r="G26" s="52"/>
      <c r="H26" s="52"/>
    </row>
    <row r="27" spans="1:8">
      <c r="A27" s="3" t="s">
        <v>140</v>
      </c>
      <c r="B27" s="54">
        <v>31</v>
      </c>
      <c r="C27" s="56">
        <v>0</v>
      </c>
      <c r="D27" s="54">
        <v>355</v>
      </c>
      <c r="E27" s="56">
        <v>0</v>
      </c>
      <c r="F27" s="56">
        <v>0</v>
      </c>
      <c r="G27" s="56">
        <v>0</v>
      </c>
      <c r="H27" s="54">
        <v>355</v>
      </c>
    </row>
    <row r="28" spans="1:8">
      <c r="A28" s="3" t="s">
        <v>141</v>
      </c>
      <c r="B28" s="52"/>
      <c r="C28" s="52"/>
      <c r="D28" s="52"/>
      <c r="E28" s="52"/>
      <c r="F28" s="52"/>
      <c r="G28" s="52"/>
      <c r="H28" s="52"/>
    </row>
    <row r="29" spans="1:8">
      <c r="A29" s="3" t="s">
        <v>142</v>
      </c>
      <c r="B29" s="54">
        <v>-8</v>
      </c>
      <c r="C29" s="56">
        <v>0</v>
      </c>
      <c r="D29" s="54">
        <v>-1475</v>
      </c>
      <c r="E29" s="56">
        <v>0</v>
      </c>
      <c r="F29" s="56">
        <v>0</v>
      </c>
      <c r="G29" s="56">
        <v>0</v>
      </c>
      <c r="H29" s="54">
        <v>-1475</v>
      </c>
    </row>
    <row r="30" spans="1:8">
      <c r="A30" s="3" t="s">
        <v>151</v>
      </c>
      <c r="B30" s="54">
        <v>-63</v>
      </c>
      <c r="C30" s="54">
        <v>-1</v>
      </c>
      <c r="D30" s="54">
        <v>-4</v>
      </c>
      <c r="E30" s="56">
        <v>0</v>
      </c>
      <c r="F30" s="56">
        <v>0</v>
      </c>
      <c r="G30" s="54">
        <v>-10034</v>
      </c>
      <c r="H30" s="54">
        <v>-10039</v>
      </c>
    </row>
    <row r="31" spans="1:8">
      <c r="A31" s="3" t="s">
        <v>143</v>
      </c>
      <c r="B31" s="52"/>
      <c r="C31" s="52"/>
      <c r="D31" s="52"/>
      <c r="E31" s="52"/>
      <c r="F31" s="52"/>
      <c r="G31" s="52"/>
      <c r="H31" s="52"/>
    </row>
    <row r="32" spans="1:8">
      <c r="A32" s="3" t="s">
        <v>144</v>
      </c>
      <c r="B32" s="56">
        <v>0</v>
      </c>
      <c r="C32" s="56">
        <v>0</v>
      </c>
      <c r="D32" s="56">
        <v>0</v>
      </c>
      <c r="E32" s="56">
        <v>0</v>
      </c>
      <c r="F32" s="56">
        <v>0</v>
      </c>
      <c r="G32" s="54">
        <v>-398</v>
      </c>
      <c r="H32" s="54">
        <v>-398</v>
      </c>
    </row>
    <row r="33" spans="1:8">
      <c r="A33" s="4"/>
      <c r="B33" s="52"/>
      <c r="C33" s="52"/>
      <c r="D33" s="52"/>
      <c r="E33" s="52"/>
      <c r="F33" s="52"/>
      <c r="G33" s="52"/>
      <c r="H33" s="52"/>
    </row>
    <row r="34" spans="1:8">
      <c r="A34" s="3" t="s">
        <v>148</v>
      </c>
      <c r="B34" s="56">
        <v>0</v>
      </c>
      <c r="C34" s="56">
        <v>0</v>
      </c>
      <c r="D34" s="54">
        <v>2710</v>
      </c>
      <c r="E34" s="56">
        <v>0</v>
      </c>
      <c r="F34" s="56">
        <v>0</v>
      </c>
      <c r="G34" s="56">
        <v>0</v>
      </c>
      <c r="H34" s="54">
        <v>2710</v>
      </c>
    </row>
    <row r="35" spans="1:8">
      <c r="A35" s="4"/>
      <c r="B35" s="52"/>
      <c r="C35" s="52"/>
      <c r="D35" s="52"/>
      <c r="E35" s="52"/>
      <c r="F35" s="52"/>
      <c r="G35" s="52"/>
      <c r="H35" s="52"/>
    </row>
    <row r="36" spans="1:8">
      <c r="A36" s="3" t="s">
        <v>152</v>
      </c>
      <c r="B36" s="54">
        <v>2466</v>
      </c>
      <c r="C36" s="54">
        <v>2</v>
      </c>
      <c r="D36" s="54">
        <v>11971</v>
      </c>
      <c r="E36" s="56">
        <v>0</v>
      </c>
      <c r="F36" s="54">
        <v>-43</v>
      </c>
      <c r="G36" s="54">
        <v>10171</v>
      </c>
      <c r="H36" s="54">
        <v>22101</v>
      </c>
    </row>
    <row r="37" spans="1:8">
      <c r="A37" s="3" t="s">
        <v>23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4">
        <v>29760</v>
      </c>
      <c r="H37" s="54">
        <v>29760</v>
      </c>
    </row>
    <row r="38" spans="1:8">
      <c r="A38" s="3" t="s">
        <v>39</v>
      </c>
      <c r="B38" s="56">
        <v>0</v>
      </c>
      <c r="C38" s="56">
        <v>0</v>
      </c>
      <c r="D38" s="56">
        <v>0</v>
      </c>
      <c r="E38" s="56">
        <v>0</v>
      </c>
      <c r="F38" s="54">
        <v>70</v>
      </c>
      <c r="G38" s="53" t="s">
        <v>0</v>
      </c>
      <c r="H38" s="54">
        <v>70</v>
      </c>
    </row>
    <row r="39" spans="1:8">
      <c r="A39" s="3" t="s">
        <v>139</v>
      </c>
      <c r="B39" s="52"/>
      <c r="C39" s="52"/>
      <c r="D39" s="52"/>
      <c r="E39" s="52"/>
      <c r="F39" s="52"/>
      <c r="G39" s="52"/>
      <c r="H39" s="52"/>
    </row>
    <row r="40" spans="1:8">
      <c r="A40" s="3" t="s">
        <v>140</v>
      </c>
      <c r="B40" s="54">
        <v>26</v>
      </c>
      <c r="C40" s="56">
        <v>0</v>
      </c>
      <c r="D40" s="54">
        <v>403</v>
      </c>
      <c r="E40" s="56">
        <v>0</v>
      </c>
      <c r="F40" s="56">
        <v>0</v>
      </c>
      <c r="G40" s="56">
        <v>0</v>
      </c>
      <c r="H40" s="54">
        <v>403</v>
      </c>
    </row>
    <row r="41" spans="1:8">
      <c r="A41" s="3" t="s">
        <v>141</v>
      </c>
      <c r="B41" s="52"/>
      <c r="C41" s="52"/>
      <c r="D41" s="52"/>
      <c r="E41" s="52"/>
      <c r="F41" s="52"/>
      <c r="G41" s="52"/>
      <c r="H41" s="52"/>
    </row>
    <row r="42" spans="1:8">
      <c r="A42" s="3" t="s">
        <v>142</v>
      </c>
      <c r="B42" s="54">
        <v>-7</v>
      </c>
      <c r="C42" s="56">
        <v>0</v>
      </c>
      <c r="D42" s="54">
        <v>-2783</v>
      </c>
      <c r="E42" s="56">
        <v>0</v>
      </c>
      <c r="F42" s="56">
        <v>0</v>
      </c>
      <c r="G42" s="56">
        <v>0</v>
      </c>
      <c r="H42" s="54">
        <v>-2783</v>
      </c>
    </row>
    <row r="43" spans="1:8">
      <c r="A43" s="3" t="s">
        <v>151</v>
      </c>
      <c r="B43" s="54">
        <v>-21</v>
      </c>
      <c r="C43" s="56">
        <v>0</v>
      </c>
      <c r="D43" s="54">
        <v>-27</v>
      </c>
      <c r="E43" s="56">
        <v>0</v>
      </c>
      <c r="F43" s="56">
        <v>0</v>
      </c>
      <c r="G43" s="54">
        <v>-9719</v>
      </c>
      <c r="H43" s="54">
        <v>-9746</v>
      </c>
    </row>
    <row r="44" spans="1:8">
      <c r="A44" s="3" t="s">
        <v>143</v>
      </c>
      <c r="B44" s="52"/>
      <c r="C44" s="52"/>
      <c r="D44" s="52"/>
      <c r="E44" s="52"/>
      <c r="F44" s="52"/>
      <c r="G44" s="52"/>
      <c r="H44" s="52"/>
    </row>
    <row r="45" spans="1:8">
      <c r="A45" s="3" t="s">
        <v>144</v>
      </c>
      <c r="B45" s="56">
        <v>0</v>
      </c>
      <c r="C45" s="56">
        <v>0</v>
      </c>
      <c r="D45" s="56">
        <v>0</v>
      </c>
      <c r="E45" s="56">
        <v>0</v>
      </c>
      <c r="F45" s="56">
        <v>0</v>
      </c>
      <c r="G45" s="54">
        <v>-395</v>
      </c>
      <c r="H45" s="54">
        <v>-395</v>
      </c>
    </row>
    <row r="46" spans="1:8">
      <c r="A46" s="3" t="s">
        <v>148</v>
      </c>
      <c r="B46" s="56">
        <v>0</v>
      </c>
      <c r="C46" s="56">
        <v>0</v>
      </c>
      <c r="D46" s="54">
        <v>3568</v>
      </c>
      <c r="E46" s="56">
        <v>0</v>
      </c>
      <c r="F46" s="56">
        <v>0</v>
      </c>
      <c r="G46" s="56">
        <v>0</v>
      </c>
      <c r="H46" s="54">
        <v>3568</v>
      </c>
    </row>
    <row r="47" spans="1:8">
      <c r="A47" s="3" t="s">
        <v>153</v>
      </c>
      <c r="B47" s="54">
        <v>2464</v>
      </c>
      <c r="C47" s="53" t="s">
        <v>154</v>
      </c>
      <c r="D47" s="55">
        <v>13132</v>
      </c>
      <c r="E47" s="57">
        <v>0</v>
      </c>
      <c r="F47" s="55">
        <v>27</v>
      </c>
      <c r="G47" s="55">
        <v>29817</v>
      </c>
      <c r="H47" s="55">
        <v>42978</v>
      </c>
    </row>
    <row r="48" spans="1:8">
      <c r="A48" s="4"/>
      <c r="B48" s="52"/>
      <c r="C48" s="52"/>
      <c r="D48" s="52"/>
      <c r="E48" s="52"/>
      <c r="F48" s="52"/>
      <c r="G48" s="52"/>
      <c r="H48" s="52"/>
    </row>
    <row r="49" spans="1:8">
      <c r="A49" s="4"/>
      <c r="B49" s="52"/>
      <c r="C49" s="52"/>
      <c r="D49" s="52"/>
      <c r="E49" s="52"/>
      <c r="F49" s="52"/>
      <c r="G49" s="52"/>
      <c r="H49" s="52"/>
    </row>
  </sheetData>
  <mergeCells count="2">
    <mergeCell ref="A1:B1"/>
    <mergeCell ref="A2:B2"/>
  </mergeCells>
  <pageMargins left="0.7" right="0.7" top="0.75" bottom="0.75" header="0.3" footer="0.3"/>
  <pageSetup scale="71" orientation="landscape" r:id="rId1"/>
  <headerFooter>
    <oddFooter>&amp;L&amp;Z&amp;F&amp;A&amp;R&amp;D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62F0-E0D6-4123-AC8F-7C8C9B70CDBE}">
  <dimension ref="B1:C48"/>
  <sheetViews>
    <sheetView workbookViewId="0">
      <selection activeCell="Q21" sqref="Q21"/>
    </sheetView>
  </sheetViews>
  <sheetFormatPr defaultColWidth="9.140625" defaultRowHeight="12.75"/>
  <cols>
    <col min="1" max="1" width="9.140625" style="60"/>
    <col min="2" max="2" width="5.5703125" style="60" customWidth="1"/>
    <col min="3" max="3" width="28.85546875" style="60" customWidth="1"/>
    <col min="4" max="4" width="9.140625" style="60"/>
    <col min="5" max="5" width="9.7109375" style="60" customWidth="1"/>
    <col min="6" max="6" width="4.5703125" style="60" customWidth="1"/>
    <col min="7" max="7" width="16.85546875" style="60" customWidth="1"/>
    <col min="8" max="8" width="4.5703125" style="60" customWidth="1"/>
    <col min="9" max="9" width="6.140625" style="60" customWidth="1"/>
    <col min="10" max="16384" width="9.140625" style="60"/>
  </cols>
  <sheetData>
    <row r="1" spans="2:3" ht="15">
      <c r="B1" s="59" t="s">
        <v>155</v>
      </c>
      <c r="C1" s="59"/>
    </row>
    <row r="43" spans="3:3">
      <c r="C43" s="60" t="s">
        <v>156</v>
      </c>
    </row>
    <row r="45" spans="3:3">
      <c r="C45" s="60" t="s">
        <v>156</v>
      </c>
    </row>
    <row r="46" spans="3:3">
      <c r="C46" s="60" t="s">
        <v>156</v>
      </c>
    </row>
    <row r="48" spans="3:3">
      <c r="C48" s="60" t="s">
        <v>156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3A8D-FC6B-47E8-A1C2-8568C3D6C819}">
  <dimension ref="A1:I39"/>
  <sheetViews>
    <sheetView workbookViewId="0">
      <selection activeCell="J28" sqref="J28"/>
    </sheetView>
  </sheetViews>
  <sheetFormatPr defaultColWidth="9.140625" defaultRowHeight="12.75"/>
  <cols>
    <col min="1" max="1" width="5.5703125" style="62" customWidth="1"/>
    <col min="2" max="2" width="27.140625" style="101" customWidth="1"/>
    <col min="3" max="4" width="7.7109375" style="62" customWidth="1"/>
    <col min="5" max="5" width="4.5703125" style="62" customWidth="1"/>
    <col min="6" max="6" width="11.7109375" style="62" customWidth="1"/>
    <col min="7" max="7" width="2.5703125" style="63" customWidth="1"/>
    <col min="8" max="8" width="61.7109375" style="62" customWidth="1"/>
    <col min="9" max="16384" width="9.140625" style="62"/>
  </cols>
  <sheetData>
    <row r="1" spans="1:9" ht="15">
      <c r="A1" s="59" t="s">
        <v>155</v>
      </c>
      <c r="B1" s="61"/>
    </row>
    <row r="3" spans="1:9" ht="25.5">
      <c r="A3" s="64"/>
      <c r="B3" s="65" t="s">
        <v>157</v>
      </c>
      <c r="C3" s="66"/>
      <c r="D3" s="66"/>
      <c r="E3" s="66"/>
      <c r="F3" s="67"/>
      <c r="G3" s="68"/>
      <c r="H3" s="69"/>
      <c r="I3" s="70"/>
    </row>
    <row r="4" spans="1:9">
      <c r="A4" s="64"/>
      <c r="B4" s="71"/>
      <c r="C4" s="72" t="s">
        <v>158</v>
      </c>
      <c r="D4" s="66"/>
      <c r="E4" s="66"/>
      <c r="F4" s="67"/>
      <c r="G4" s="68"/>
      <c r="H4" s="69"/>
      <c r="I4" s="70"/>
    </row>
    <row r="5" spans="1:9">
      <c r="A5" s="64"/>
      <c r="B5" s="71" t="s">
        <v>159</v>
      </c>
      <c r="C5" s="73"/>
      <c r="D5" s="73"/>
      <c r="E5" s="66"/>
      <c r="F5" s="67"/>
      <c r="G5" s="68"/>
      <c r="H5" s="69"/>
      <c r="I5" s="70"/>
    </row>
    <row r="6" spans="1:9">
      <c r="A6" s="64"/>
      <c r="B6" s="71"/>
      <c r="C6" s="73"/>
      <c r="D6" s="73"/>
      <c r="E6" s="66"/>
      <c r="F6" s="67"/>
      <c r="G6" s="68"/>
      <c r="H6" s="69"/>
      <c r="I6" s="70"/>
    </row>
    <row r="7" spans="1:9">
      <c r="A7" s="64"/>
      <c r="B7" s="74" t="s">
        <v>160</v>
      </c>
      <c r="C7" s="75" t="s">
        <v>161</v>
      </c>
      <c r="D7" s="75" t="s">
        <v>162</v>
      </c>
      <c r="E7" s="66"/>
      <c r="F7" s="76" t="s">
        <v>163</v>
      </c>
      <c r="G7" s="77"/>
      <c r="H7" s="78" t="s">
        <v>164</v>
      </c>
    </row>
    <row r="8" spans="1:9" ht="13.5" thickBot="1">
      <c r="A8" s="64">
        <v>1</v>
      </c>
      <c r="B8" s="71" t="s">
        <v>165</v>
      </c>
      <c r="C8" s="79">
        <v>325</v>
      </c>
      <c r="D8" s="79">
        <v>509</v>
      </c>
      <c r="E8" s="66"/>
      <c r="F8" s="80"/>
      <c r="G8" s="81"/>
      <c r="H8" s="82"/>
    </row>
    <row r="9" spans="1:9">
      <c r="A9" s="64">
        <f t="shared" ref="A9:A38" si="0">+A8+1</f>
        <v>2</v>
      </c>
      <c r="B9" s="71" t="s">
        <v>166</v>
      </c>
      <c r="C9" s="83"/>
      <c r="D9" s="83"/>
      <c r="E9" s="66"/>
      <c r="F9" s="84"/>
      <c r="G9" s="85"/>
      <c r="H9" s="82"/>
    </row>
    <row r="10" spans="1:9">
      <c r="A10" s="64">
        <f t="shared" si="0"/>
        <v>3</v>
      </c>
      <c r="B10" s="71" t="s">
        <v>167</v>
      </c>
      <c r="C10" s="67">
        <v>188</v>
      </c>
      <c r="D10" s="67">
        <v>300</v>
      </c>
      <c r="E10" s="66"/>
      <c r="F10" s="80"/>
      <c r="G10" s="81"/>
      <c r="H10" s="82"/>
    </row>
    <row r="11" spans="1:9">
      <c r="A11" s="64">
        <f t="shared" si="0"/>
        <v>4</v>
      </c>
      <c r="B11" s="71" t="s">
        <v>168</v>
      </c>
      <c r="C11" s="67">
        <v>44</v>
      </c>
      <c r="D11" s="67">
        <v>57</v>
      </c>
      <c r="E11" s="66"/>
      <c r="F11" s="86"/>
      <c r="G11" s="85"/>
      <c r="H11" s="82"/>
    </row>
    <row r="12" spans="1:9">
      <c r="A12" s="64">
        <f t="shared" si="0"/>
        <v>5</v>
      </c>
      <c r="B12" s="71" t="s">
        <v>169</v>
      </c>
      <c r="C12" s="67">
        <v>15</v>
      </c>
      <c r="D12" s="67">
        <v>19</v>
      </c>
      <c r="E12" s="66"/>
      <c r="F12" s="86"/>
      <c r="G12" s="87"/>
      <c r="H12" s="82"/>
    </row>
    <row r="13" spans="1:9" ht="13.5" thickBot="1">
      <c r="A13" s="64">
        <f t="shared" si="0"/>
        <v>6</v>
      </c>
      <c r="B13" s="71" t="s">
        <v>170</v>
      </c>
      <c r="C13" s="88">
        <v>11</v>
      </c>
      <c r="D13" s="88">
        <v>17</v>
      </c>
      <c r="E13" s="66"/>
      <c r="F13" s="86"/>
      <c r="G13" s="85"/>
      <c r="H13" s="82"/>
    </row>
    <row r="14" spans="1:9">
      <c r="A14" s="64">
        <f t="shared" si="0"/>
        <v>7</v>
      </c>
      <c r="B14" s="89" t="s">
        <v>171</v>
      </c>
      <c r="C14" s="90">
        <f>SUM(C10:C13)</f>
        <v>258</v>
      </c>
      <c r="D14" s="90">
        <f>SUM(D10:D13)</f>
        <v>393</v>
      </c>
      <c r="E14" s="66"/>
      <c r="F14" s="86"/>
      <c r="G14" s="81"/>
      <c r="H14" s="82"/>
    </row>
    <row r="15" spans="1:9">
      <c r="A15" s="64">
        <f t="shared" si="0"/>
        <v>8</v>
      </c>
      <c r="B15" s="89" t="s">
        <v>172</v>
      </c>
      <c r="C15" s="67">
        <f>+C8-C14</f>
        <v>67</v>
      </c>
      <c r="D15" s="67">
        <f>+D8-D14</f>
        <v>116</v>
      </c>
      <c r="E15" s="66"/>
      <c r="F15" s="86"/>
      <c r="G15" s="81"/>
      <c r="H15" s="82"/>
    </row>
    <row r="16" spans="1:9">
      <c r="A16" s="64">
        <f t="shared" si="0"/>
        <v>9</v>
      </c>
      <c r="B16" s="71" t="s">
        <v>173</v>
      </c>
      <c r="C16" s="67">
        <v>15</v>
      </c>
      <c r="D16" s="67">
        <v>28</v>
      </c>
      <c r="E16" s="66"/>
      <c r="F16" s="86"/>
      <c r="G16" s="85"/>
      <c r="H16" s="82"/>
    </row>
    <row r="17" spans="1:8" ht="13.5" thickBot="1">
      <c r="A17" s="64">
        <f t="shared" si="0"/>
        <v>10</v>
      </c>
      <c r="B17" s="89" t="s">
        <v>174</v>
      </c>
      <c r="C17" s="91">
        <f>+C15-C16</f>
        <v>52</v>
      </c>
      <c r="D17" s="91">
        <f>+D15-D16</f>
        <v>88</v>
      </c>
      <c r="E17" s="66"/>
      <c r="F17" s="86"/>
      <c r="G17" s="81"/>
      <c r="H17" s="82"/>
    </row>
    <row r="18" spans="1:8" ht="13.5" thickTop="1">
      <c r="A18" s="64">
        <f t="shared" si="0"/>
        <v>11</v>
      </c>
      <c r="B18" s="71"/>
      <c r="C18" s="67"/>
      <c r="D18" s="67"/>
      <c r="E18" s="66"/>
      <c r="F18" s="84"/>
      <c r="G18" s="85"/>
      <c r="H18" s="82"/>
    </row>
    <row r="19" spans="1:8">
      <c r="A19" s="64">
        <f t="shared" si="0"/>
        <v>12</v>
      </c>
      <c r="B19" s="71"/>
      <c r="C19" s="67"/>
      <c r="D19" s="67"/>
      <c r="E19" s="66"/>
      <c r="F19" s="84"/>
      <c r="G19" s="85"/>
      <c r="H19" s="82"/>
    </row>
    <row r="20" spans="1:8">
      <c r="A20" s="64">
        <f t="shared" si="0"/>
        <v>13</v>
      </c>
      <c r="B20" s="74" t="s">
        <v>175</v>
      </c>
      <c r="C20" s="92" t="s">
        <v>161</v>
      </c>
      <c r="D20" s="92" t="s">
        <v>162</v>
      </c>
      <c r="E20" s="66"/>
      <c r="F20" s="76" t="s">
        <v>163</v>
      </c>
      <c r="G20" s="85"/>
      <c r="H20" s="82"/>
    </row>
    <row r="21" spans="1:8">
      <c r="A21" s="64">
        <f t="shared" si="0"/>
        <v>14</v>
      </c>
      <c r="B21" s="71" t="s">
        <v>176</v>
      </c>
      <c r="C21" s="67"/>
      <c r="D21" s="67"/>
      <c r="E21" s="66"/>
      <c r="F21" s="84"/>
      <c r="G21" s="85"/>
      <c r="H21" s="82"/>
    </row>
    <row r="22" spans="1:8">
      <c r="A22" s="64">
        <f t="shared" si="0"/>
        <v>15</v>
      </c>
      <c r="B22" s="71" t="s">
        <v>177</v>
      </c>
      <c r="C22" s="93">
        <v>8</v>
      </c>
      <c r="D22" s="93">
        <v>13</v>
      </c>
      <c r="E22" s="66"/>
      <c r="F22" s="86"/>
      <c r="G22" s="85"/>
      <c r="H22" s="94"/>
    </row>
    <row r="23" spans="1:8">
      <c r="A23" s="64">
        <f t="shared" si="0"/>
        <v>16</v>
      </c>
      <c r="B23" s="71" t="s">
        <v>178</v>
      </c>
      <c r="C23" s="93">
        <v>48</v>
      </c>
      <c r="D23" s="93">
        <v>81</v>
      </c>
      <c r="E23" s="66"/>
      <c r="F23" s="86"/>
      <c r="G23" s="85"/>
      <c r="H23" s="82"/>
    </row>
    <row r="24" spans="1:8" ht="13.5" thickBot="1">
      <c r="A24" s="64">
        <f t="shared" si="0"/>
        <v>17</v>
      </c>
      <c r="B24" s="71" t="s">
        <v>73</v>
      </c>
      <c r="C24" s="95">
        <v>48</v>
      </c>
      <c r="D24" s="95">
        <v>89</v>
      </c>
      <c r="E24" s="66"/>
      <c r="F24" s="86"/>
      <c r="G24" s="85"/>
      <c r="H24" s="82"/>
    </row>
    <row r="25" spans="1:8">
      <c r="A25" s="64">
        <f t="shared" si="0"/>
        <v>18</v>
      </c>
      <c r="B25" s="71" t="s">
        <v>179</v>
      </c>
      <c r="C25" s="93">
        <f>SUM(C22:C24)</f>
        <v>104</v>
      </c>
      <c r="D25" s="93">
        <f>SUM(D22:D24)</f>
        <v>183</v>
      </c>
      <c r="E25" s="66"/>
      <c r="F25" s="86"/>
      <c r="G25" s="96"/>
      <c r="H25" s="82"/>
    </row>
    <row r="26" spans="1:8">
      <c r="A26" s="64">
        <f t="shared" si="0"/>
        <v>19</v>
      </c>
      <c r="B26" s="71" t="s">
        <v>180</v>
      </c>
      <c r="C26" s="93">
        <v>387</v>
      </c>
      <c r="D26" s="93">
        <v>409</v>
      </c>
      <c r="E26" s="66"/>
      <c r="F26" s="86"/>
      <c r="G26" s="85"/>
      <c r="H26" s="82"/>
    </row>
    <row r="27" spans="1:8" ht="13.5" thickBot="1">
      <c r="A27" s="64">
        <f t="shared" si="0"/>
        <v>20</v>
      </c>
      <c r="B27" s="71" t="s">
        <v>181</v>
      </c>
      <c r="C27" s="93">
        <v>-69</v>
      </c>
      <c r="D27" s="93">
        <v>-90</v>
      </c>
      <c r="E27" s="66"/>
      <c r="F27" s="86"/>
      <c r="G27" s="85"/>
      <c r="H27" s="82"/>
    </row>
    <row r="28" spans="1:8" ht="13.5" thickBot="1">
      <c r="A28" s="64">
        <f t="shared" si="0"/>
        <v>21</v>
      </c>
      <c r="B28" s="71" t="s">
        <v>182</v>
      </c>
      <c r="C28" s="97">
        <f>SUM(C26:C27)</f>
        <v>318</v>
      </c>
      <c r="D28" s="97">
        <f>SUM(D26:D27)</f>
        <v>319</v>
      </c>
      <c r="E28" s="66"/>
      <c r="F28" s="86"/>
      <c r="G28" s="81"/>
      <c r="H28" s="82"/>
    </row>
    <row r="29" spans="1:8" ht="13.5" thickBot="1">
      <c r="A29" s="64">
        <f t="shared" si="0"/>
        <v>22</v>
      </c>
      <c r="B29" s="71" t="s">
        <v>183</v>
      </c>
      <c r="C29" s="98">
        <f>+C25+C28</f>
        <v>422</v>
      </c>
      <c r="D29" s="98">
        <f>+D25+D28</f>
        <v>502</v>
      </c>
      <c r="E29" s="66"/>
      <c r="F29" s="86"/>
      <c r="G29" s="81"/>
      <c r="H29" s="82"/>
    </row>
    <row r="30" spans="1:8" ht="13.5" thickTop="1">
      <c r="A30" s="64">
        <f t="shared" si="0"/>
        <v>23</v>
      </c>
      <c r="B30" s="71" t="s">
        <v>184</v>
      </c>
      <c r="C30" s="93"/>
      <c r="D30" s="93"/>
      <c r="E30" s="66"/>
      <c r="F30" s="84"/>
      <c r="G30" s="85"/>
      <c r="H30" s="82"/>
    </row>
    <row r="31" spans="1:8">
      <c r="A31" s="64">
        <f t="shared" si="0"/>
        <v>24</v>
      </c>
      <c r="B31" s="71" t="s">
        <v>185</v>
      </c>
      <c r="C31" s="93">
        <v>11</v>
      </c>
      <c r="D31" s="93">
        <v>21</v>
      </c>
      <c r="E31" s="66"/>
      <c r="F31" s="86"/>
      <c r="G31" s="85"/>
      <c r="H31" s="82"/>
    </row>
    <row r="32" spans="1:8" ht="13.5" thickBot="1">
      <c r="A32" s="64">
        <f t="shared" si="0"/>
        <v>25</v>
      </c>
      <c r="B32" s="71" t="s">
        <v>186</v>
      </c>
      <c r="C32" s="88">
        <f>SUM(C31:C31)</f>
        <v>11</v>
      </c>
      <c r="D32" s="88">
        <f>SUM(D31:D31)</f>
        <v>21</v>
      </c>
      <c r="E32" s="66"/>
      <c r="F32" s="86"/>
      <c r="G32" s="96"/>
      <c r="H32" s="82"/>
    </row>
    <row r="33" spans="1:8" ht="13.5" thickBot="1">
      <c r="A33" s="64">
        <f t="shared" si="0"/>
        <v>26</v>
      </c>
      <c r="B33" s="71" t="s">
        <v>187</v>
      </c>
      <c r="C33" s="95">
        <v>100</v>
      </c>
      <c r="D33" s="95">
        <v>150</v>
      </c>
      <c r="E33" s="66"/>
      <c r="F33" s="86"/>
      <c r="G33" s="85"/>
      <c r="H33" s="82"/>
    </row>
    <row r="34" spans="1:8" ht="13.5" thickBot="1">
      <c r="A34" s="64">
        <f t="shared" si="0"/>
        <v>27</v>
      </c>
      <c r="B34" s="71" t="s">
        <v>188</v>
      </c>
      <c r="C34" s="97">
        <f>+C32+C33</f>
        <v>111</v>
      </c>
      <c r="D34" s="97">
        <f>+D32+D33</f>
        <v>171</v>
      </c>
      <c r="E34" s="66"/>
      <c r="F34" s="86"/>
      <c r="G34" s="96"/>
      <c r="H34" s="82"/>
    </row>
    <row r="35" spans="1:8">
      <c r="A35" s="64">
        <f t="shared" si="0"/>
        <v>28</v>
      </c>
      <c r="B35" s="71" t="s">
        <v>189</v>
      </c>
      <c r="C35" s="93">
        <v>160</v>
      </c>
      <c r="D35" s="93">
        <v>160</v>
      </c>
      <c r="E35" s="66"/>
      <c r="F35" s="99"/>
      <c r="G35" s="85"/>
      <c r="H35" s="82"/>
    </row>
    <row r="36" spans="1:8" ht="13.5" thickBot="1">
      <c r="A36" s="64">
        <f t="shared" si="0"/>
        <v>29</v>
      </c>
      <c r="B36" s="71" t="s">
        <v>19</v>
      </c>
      <c r="C36" s="95">
        <v>151</v>
      </c>
      <c r="D36" s="95">
        <v>171</v>
      </c>
      <c r="E36" s="66"/>
      <c r="F36" s="86"/>
      <c r="G36" s="85"/>
      <c r="H36" s="82"/>
    </row>
    <row r="37" spans="1:8" ht="13.5" thickBot="1">
      <c r="A37" s="64">
        <f t="shared" si="0"/>
        <v>30</v>
      </c>
      <c r="B37" s="71" t="s">
        <v>190</v>
      </c>
      <c r="C37" s="97">
        <f>+C36+C35</f>
        <v>311</v>
      </c>
      <c r="D37" s="97">
        <f>+D36+D35</f>
        <v>331</v>
      </c>
      <c r="E37" s="66"/>
      <c r="F37" s="99"/>
      <c r="G37" s="96"/>
      <c r="H37" s="100"/>
    </row>
    <row r="38" spans="1:8" ht="13.5" thickBot="1">
      <c r="A38" s="64">
        <f t="shared" si="0"/>
        <v>31</v>
      </c>
      <c r="B38" s="71" t="s">
        <v>191</v>
      </c>
      <c r="C38" s="98">
        <f>+C29</f>
        <v>422</v>
      </c>
      <c r="D38" s="98">
        <f>+D29</f>
        <v>502</v>
      </c>
      <c r="E38" s="66"/>
      <c r="F38" s="86"/>
      <c r="G38" s="96"/>
      <c r="H38" s="82"/>
    </row>
    <row r="39" spans="1:8" ht="13.5" thickTop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Nvidia Balance sheet</vt:lpstr>
      <vt:lpstr>Nvidia Income statement</vt:lpstr>
      <vt:lpstr>NvidiaStatement of cash flows</vt:lpstr>
      <vt:lpstr>Nvidia Stockholders equity</vt:lpstr>
      <vt:lpstr>Part 5, Wirtel assumptions</vt:lpstr>
      <vt:lpstr>Part 5. Wirtel answer template</vt:lpstr>
      <vt:lpstr>'Nvidia Balance sheet'!Print_Area</vt:lpstr>
      <vt:lpstr>'Nvidia Income statement'!Print_Area</vt:lpstr>
    </vt:vector>
  </TitlesOfParts>
  <Company>Washington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King</dc:creator>
  <cp:lastModifiedBy>Morman, Brian</cp:lastModifiedBy>
  <cp:lastPrinted>2024-03-04T22:48:54Z</cp:lastPrinted>
  <dcterms:created xsi:type="dcterms:W3CDTF">2023-03-18T20:20:23Z</dcterms:created>
  <dcterms:modified xsi:type="dcterms:W3CDTF">2024-10-31T12:34:18Z</dcterms:modified>
</cp:coreProperties>
</file>