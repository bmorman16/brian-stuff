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z173f\Documents\Personal\EMBA\CostAccounting\"/>
    </mc:Choice>
  </mc:AlternateContent>
  <xr:revisionPtr revIDLastSave="0" documentId="13_ncr:1_{424155F1-3F34-42A6-A740-6B16C8F5ACE3}" xr6:coauthVersionLast="47" xr6:coauthVersionMax="47" xr10:uidLastSave="{00000000-0000-0000-0000-000000000000}"/>
  <bookViews>
    <workbookView xWindow="-96" yWindow="-96" windowWidth="23232" windowHeight="12552" xr2:uid="{BEBCA125-6BE4-436B-8326-D901C82F02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C17" i="1"/>
  <c r="C16" i="1"/>
  <c r="C15" i="1"/>
  <c r="C11" i="1"/>
</calcChain>
</file>

<file path=xl/sharedStrings.xml><?xml version="1.0" encoding="utf-8"?>
<sst xmlns="http://schemas.openxmlformats.org/spreadsheetml/2006/main" count="29" uniqueCount="29">
  <si>
    <t>BEP N* = Fixed cost / (Sales price - Variable cost) = Fixed Cost / Contribution Margin
Profit = %sale through x N* x price - (variable cost x N*) - fixed costs</t>
  </si>
  <si>
    <t>Unit capacity</t>
  </si>
  <si>
    <t xml:space="preserve">Standard capacity </t>
  </si>
  <si>
    <t>Fixed  Cost</t>
  </si>
  <si>
    <t>(up to unit capacity 10k)</t>
  </si>
  <si>
    <t>Variable cost</t>
  </si>
  <si>
    <t>(up to standard capacity 8k)</t>
  </si>
  <si>
    <t xml:space="preserve">Price </t>
  </si>
  <si>
    <t xml:space="preserve"> $21 - $23</t>
  </si>
  <si>
    <t>Variable cost OT1</t>
  </si>
  <si>
    <t>Variable cost OT2</t>
  </si>
  <si>
    <t>Variable cost OT3</t>
  </si>
  <si>
    <t>(8k to 8.5k)</t>
  </si>
  <si>
    <t>(8.5 to 9k)</t>
  </si>
  <si>
    <t>(9k to 10k)</t>
  </si>
  <si>
    <t>New price</t>
  </si>
  <si>
    <t>Not relavent to the questions</t>
  </si>
  <si>
    <t>BEP N*</t>
  </si>
  <si>
    <t>BEP at new price 80% capacity</t>
  </si>
  <si>
    <t xml:space="preserve"> Profit = 0 = Revenue - Variable Cost - Fixed Costs</t>
  </si>
  <si>
    <t xml:space="preserve">=C12/(C18-C13) -&gt; </t>
  </si>
  <si>
    <t>5% window</t>
  </si>
  <si>
    <t>5 % window</t>
  </si>
  <si>
    <t>10% window</t>
  </si>
  <si>
    <t>0 = C18*N - [(.8*C13*N) + (.05*C15*N) + (.05*C16*N) + (.1*C17*N)] - C12</t>
  </si>
  <si>
    <t>0 = 19N - [(.8*15N) + (.05*17.25N)+(.05*18N)+(.1*19.5N)] - 40000</t>
  </si>
  <si>
    <t>0 = 19N - 15.7125N -40000</t>
  </si>
  <si>
    <t>0= 3.2875N - 40000</t>
  </si>
  <si>
    <t xml:space="preserve"> N  = 12167.300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</si>
</sst>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FCD4E-94A0-4704-8E60-C2A14CF222EC}">
  <dimension ref="A1:K26"/>
  <sheetViews>
    <sheetView tabSelected="1" workbookViewId="0">
      <selection sqref="A1:K8"/>
    </sheetView>
  </sheetViews>
  <sheetFormatPr defaultRowHeight="14.4" x14ac:dyDescent="0.3"/>
  <cols>
    <col min="1" max="1" width="42.77734375" bestFit="1" customWidth="1"/>
    <col min="2" max="2" width="16.5546875" bestFit="1" customWidth="1"/>
    <col min="4" max="4" width="25.77734375" bestFit="1" customWidth="1"/>
  </cols>
  <sheetData>
    <row r="1" spans="1:11" x14ac:dyDescent="0.3">
      <c r="A1" s="2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</row>
    <row r="2" spans="1:1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10" spans="1:11" x14ac:dyDescent="0.3">
      <c r="A10" t="s">
        <v>1</v>
      </c>
      <c r="C10">
        <v>10000</v>
      </c>
    </row>
    <row r="11" spans="1:11" x14ac:dyDescent="0.3">
      <c r="A11" t="s">
        <v>2</v>
      </c>
      <c r="C11">
        <f>0.8*C10</f>
        <v>8000</v>
      </c>
    </row>
    <row r="12" spans="1:11" x14ac:dyDescent="0.3">
      <c r="A12" t="s">
        <v>3</v>
      </c>
      <c r="C12">
        <v>40000</v>
      </c>
      <c r="D12" t="s">
        <v>4</v>
      </c>
    </row>
    <row r="13" spans="1:11" x14ac:dyDescent="0.3">
      <c r="A13" t="s">
        <v>5</v>
      </c>
      <c r="C13">
        <v>15</v>
      </c>
      <c r="D13" t="s">
        <v>6</v>
      </c>
    </row>
    <row r="14" spans="1:11" x14ac:dyDescent="0.3">
      <c r="A14" t="s">
        <v>7</v>
      </c>
      <c r="C14" s="1" t="s">
        <v>8</v>
      </c>
      <c r="D14" t="s">
        <v>16</v>
      </c>
    </row>
    <row r="15" spans="1:11" x14ac:dyDescent="0.3">
      <c r="A15" t="s">
        <v>9</v>
      </c>
      <c r="B15" t="s">
        <v>21</v>
      </c>
      <c r="C15">
        <f>C13*1.15</f>
        <v>17.25</v>
      </c>
      <c r="D15" t="s">
        <v>12</v>
      </c>
    </row>
    <row r="16" spans="1:11" x14ac:dyDescent="0.3">
      <c r="A16" t="s">
        <v>10</v>
      </c>
      <c r="B16" t="s">
        <v>22</v>
      </c>
      <c r="C16">
        <f>C13*1.2</f>
        <v>18</v>
      </c>
      <c r="D16" t="s">
        <v>13</v>
      </c>
    </row>
    <row r="17" spans="1:4" x14ac:dyDescent="0.3">
      <c r="A17" t="s">
        <v>11</v>
      </c>
      <c r="B17" t="s">
        <v>23</v>
      </c>
      <c r="C17">
        <f>C13*1.3</f>
        <v>19.5</v>
      </c>
      <c r="D17" t="s">
        <v>14</v>
      </c>
    </row>
    <row r="18" spans="1:4" x14ac:dyDescent="0.3">
      <c r="A18" t="s">
        <v>15</v>
      </c>
      <c r="C18">
        <v>19</v>
      </c>
    </row>
    <row r="20" spans="1:4" x14ac:dyDescent="0.3">
      <c r="A20" t="s">
        <v>17</v>
      </c>
      <c r="B20" s="1" t="s">
        <v>20</v>
      </c>
      <c r="C20">
        <f>C12/(C18-C13)</f>
        <v>10000</v>
      </c>
      <c r="D20" t="s">
        <v>18</v>
      </c>
    </row>
    <row r="21" spans="1:4" x14ac:dyDescent="0.3">
      <c r="A21" s="1" t="s">
        <v>19</v>
      </c>
      <c r="B21" s="1"/>
    </row>
    <row r="22" spans="1:4" x14ac:dyDescent="0.3">
      <c r="A22" s="1" t="s">
        <v>24</v>
      </c>
    </row>
    <row r="23" spans="1:4" x14ac:dyDescent="0.3">
      <c r="A23" s="1" t="s">
        <v>25</v>
      </c>
    </row>
    <row r="24" spans="1:4" x14ac:dyDescent="0.3">
      <c r="A24" s="1" t="s">
        <v>26</v>
      </c>
    </row>
    <row r="25" spans="1:4" x14ac:dyDescent="0.3">
      <c r="A25" s="1" t="s">
        <v>27</v>
      </c>
    </row>
    <row r="26" spans="1:4" x14ac:dyDescent="0.3">
      <c r="A26" s="1" t="s">
        <v>28</v>
      </c>
    </row>
  </sheetData>
  <mergeCells count="1">
    <mergeCell ref="A1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Morman (US), Brian J</dc:creator>
  <cp:lastModifiedBy>Morman (US), Brian J</cp:lastModifiedBy>
  <dcterms:created xsi:type="dcterms:W3CDTF">2025-02-21T12:23:16Z</dcterms:created>
  <dcterms:modified xsi:type="dcterms:W3CDTF">2025-02-25T14:26:04Z</dcterms:modified>
</cp:coreProperties>
</file>