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ocuments\Personal\EMBA\CostAccounting\"/>
    </mc:Choice>
  </mc:AlternateContent>
  <xr:revisionPtr revIDLastSave="0" documentId="13_ncr:1_{61A23EF4-EF9A-4E88-85E0-813D7CC73972}" xr6:coauthVersionLast="47" xr6:coauthVersionMax="47" xr10:uidLastSave="{00000000-0000-0000-0000-000000000000}"/>
  <bookViews>
    <workbookView xWindow="-108" yWindow="-108" windowWidth="23256" windowHeight="12576" activeTab="2" xr2:uid="{E9CEB8A0-89FB-4C6A-B84E-0CAAA0E19DF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E11" i="2"/>
  <c r="E5" i="2"/>
  <c r="G10" i="2"/>
  <c r="G5" i="2"/>
  <c r="G9" i="2"/>
  <c r="G8" i="2"/>
  <c r="G7" i="2"/>
  <c r="G6" i="2"/>
  <c r="E10" i="2"/>
  <c r="E9" i="2"/>
  <c r="E8" i="2"/>
  <c r="E7" i="2"/>
  <c r="E6" i="2"/>
  <c r="J3" i="1"/>
  <c r="J2" i="1"/>
  <c r="I3" i="1"/>
  <c r="I2" i="1"/>
</calcChain>
</file>

<file path=xl/sharedStrings.xml><?xml version="1.0" encoding="utf-8"?>
<sst xmlns="http://schemas.openxmlformats.org/spreadsheetml/2006/main" count="72" uniqueCount="47">
  <si>
    <t>Product Model</t>
  </si>
  <si>
    <t>Total</t>
  </si>
  <si>
    <t>B-10</t>
  </si>
  <si>
    <t>C-20</t>
  </si>
  <si>
    <t xml:space="preserve">Sales </t>
  </si>
  <si>
    <t xml:space="preserve">Cost of goods sold </t>
  </si>
  <si>
    <t xml:space="preserve">Gross margin </t>
  </si>
  <si>
    <t xml:space="preserve">Less selling and administrative expenses </t>
  </si>
  <si>
    <t xml:space="preserve">Net income </t>
  </si>
  <si>
    <t xml:space="preserve">Number of units produced and sold </t>
  </si>
  <si>
    <t xml:space="preserve">      –     </t>
  </si>
  <si>
    <t xml:space="preserve">Net income per unit </t>
  </si>
  <si>
    <t>Hours per unit</t>
  </si>
  <si>
    <t>Model</t>
  </si>
  <si>
    <t>Total HRSMFG OHD</t>
  </si>
  <si>
    <t>Direct Labor Hours</t>
  </si>
  <si>
    <t>OHD Cost per Labor hour</t>
  </si>
  <si>
    <t>Expected Activity-Cost Driver Units</t>
  </si>
  <si>
    <t>Activity Center (and Cost Driver)</t>
  </si>
  <si>
    <t>Estimated</t>
  </si>
  <si>
    <t>Overhead</t>
  </si>
  <si>
    <t>Costs</t>
  </si>
  <si>
    <t xml:space="preserve">Machine setups (number of setups) </t>
  </si>
  <si>
    <t>Quality control (number of inspections)</t>
  </si>
  <si>
    <t xml:space="preserve">Purchase orders (number of orders) </t>
  </si>
  <si>
    <t xml:space="preserve">Soldering (number of solder points) </t>
  </si>
  <si>
    <t xml:space="preserve">Shipments (number of shipments) </t>
  </si>
  <si>
    <t xml:space="preserve">Machine related (machine-hours) </t>
  </si>
  <si>
    <t>B-10 Per Unit Allocation</t>
  </si>
  <si>
    <t>C-20 Per Unit Allocation</t>
  </si>
  <si>
    <t>HAMMER PRODUCTS, INC.</t>
  </si>
  <si>
    <t>Income Statement</t>
  </si>
  <si>
    <t>Unit Product Cost</t>
  </si>
  <si>
    <t>Direct Materials</t>
  </si>
  <si>
    <t>1 lb. of Alpha @ $10 per lb.</t>
  </si>
  <si>
    <t>Direct Labor</t>
  </si>
  <si>
    <t>1.6 hrs. @ $12.50 per hr.</t>
  </si>
  <si>
    <t>Variable Overhead</t>
  </si>
  <si>
    <t>@ 40% of Direct Labor</t>
  </si>
  <si>
    <t>Fixed Overhead</t>
  </si>
  <si>
    <t>$250,000/40,000 units</t>
  </si>
  <si>
    <t>Total Cost Per Unit</t>
  </si>
  <si>
    <t>1 lb. of Beta @ 12 per lb.</t>
  </si>
  <si>
    <t>1.2 hours @ $12.50 per hour</t>
  </si>
  <si>
    <t>$300,000/40,000 units</t>
  </si>
  <si>
    <t>Total Cost per unit</t>
  </si>
  <si>
    <t>Alpha value on its own is $12 per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</si>
</sst>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Times New Roman"/>
      <family val="1"/>
    </font>
    <font>
      <u val="double"/>
      <sz val="12"/>
      <color theme="1"/>
      <name val="Times New Roman"/>
      <family val="1"/>
    </font>
    <font>
      <b/>
      <u val="double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6" fontId="2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6" fontId="5" fillId="0" borderId="0" xfId="0" applyNumberFormat="1" applyFont="1" applyAlignment="1">
      <alignment vertical="center" wrapText="1"/>
    </xf>
    <xf numFmtId="8" fontId="0" fillId="0" borderId="0" xfId="0" applyNumberFormat="1"/>
    <xf numFmtId="8" fontId="2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4" fontId="0" fillId="0" borderId="0" xfId="2" applyFont="1"/>
    <xf numFmtId="44" fontId="0" fillId="0" borderId="0" xfId="0" applyNumberFormat="1"/>
    <xf numFmtId="0" fontId="3" fillId="0" borderId="0" xfId="0" applyFont="1" applyAlignment="1">
      <alignment vertical="center" wrapText="1"/>
    </xf>
    <xf numFmtId="6" fontId="2" fillId="0" borderId="0" xfId="0" applyNumberFormat="1" applyFont="1" applyAlignment="1">
      <alignment horizontal="right" vertical="center" wrapText="1"/>
    </xf>
    <xf numFmtId="6" fontId="4" fillId="0" borderId="0" xfId="0" applyNumberFormat="1" applyFont="1" applyAlignment="1">
      <alignment horizontal="right" vertical="center" wrapText="1"/>
    </xf>
    <xf numFmtId="6" fontId="6" fillId="0" borderId="0" xfId="0" applyNumberFormat="1" applyFont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43" fontId="2" fillId="0" borderId="0" xfId="1" applyFont="1" applyAlignment="1">
      <alignment vertical="center" wrapText="1"/>
    </xf>
    <xf numFmtId="44" fontId="2" fillId="0" borderId="0" xfId="2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4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8" fontId="3" fillId="0" borderId="0" xfId="0" applyNumberFormat="1" applyFont="1" applyAlignment="1">
      <alignment vertical="center"/>
    </xf>
    <xf numFmtId="0" fontId="2" fillId="0" borderId="0" xfId="0" applyFont="1" applyAlignment="1">
      <alignment horizontal="justify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F42C-5A4E-4792-9DB5-B7E76D263C40}">
  <dimension ref="A1:J10"/>
  <sheetViews>
    <sheetView workbookViewId="0">
      <selection activeCell="F1" sqref="F1:J3"/>
    </sheetView>
  </sheetViews>
  <sheetFormatPr defaultRowHeight="14.4" x14ac:dyDescent="0.3"/>
  <cols>
    <col min="1" max="1" width="16.77734375" customWidth="1"/>
    <col min="2" max="3" width="12.77734375" bestFit="1" customWidth="1"/>
    <col min="4" max="4" width="11.5546875" bestFit="1" customWidth="1"/>
    <col min="6" max="6" width="17.33203125" bestFit="1" customWidth="1"/>
    <col min="8" max="8" width="13.21875" bestFit="1" customWidth="1"/>
    <col min="9" max="9" width="17.109375" bestFit="1" customWidth="1"/>
    <col min="10" max="10" width="22.33203125" bestFit="1" customWidth="1"/>
  </cols>
  <sheetData>
    <row r="1" spans="1:10" ht="16.2" thickBot="1" x14ac:dyDescent="0.35">
      <c r="A1" s="1"/>
      <c r="B1" s="1"/>
      <c r="C1" s="9" t="s">
        <v>0</v>
      </c>
      <c r="D1" s="9"/>
      <c r="F1" t="s">
        <v>14</v>
      </c>
      <c r="G1" t="s">
        <v>13</v>
      </c>
      <c r="H1" t="s">
        <v>12</v>
      </c>
      <c r="I1" t="s">
        <v>15</v>
      </c>
      <c r="J1" t="s">
        <v>16</v>
      </c>
    </row>
    <row r="2" spans="1:10" ht="15.6" x14ac:dyDescent="0.3">
      <c r="A2" s="1"/>
      <c r="B2" s="2" t="s">
        <v>1</v>
      </c>
      <c r="C2" s="2" t="s">
        <v>2</v>
      </c>
      <c r="D2" s="2" t="s">
        <v>3</v>
      </c>
      <c r="F2" s="10">
        <v>3600000</v>
      </c>
      <c r="G2" s="2" t="s">
        <v>2</v>
      </c>
      <c r="H2">
        <v>1</v>
      </c>
      <c r="I2">
        <f>H2*C8</f>
        <v>60000</v>
      </c>
      <c r="J2" s="11">
        <f>F2/I2</f>
        <v>60</v>
      </c>
    </row>
    <row r="3" spans="1:10" ht="15.6" x14ac:dyDescent="0.3">
      <c r="A3" s="1" t="s">
        <v>4</v>
      </c>
      <c r="B3" s="3">
        <v>14500000</v>
      </c>
      <c r="C3" s="3">
        <v>12000000</v>
      </c>
      <c r="D3" s="3">
        <v>2500000</v>
      </c>
      <c r="G3" t="s">
        <v>3</v>
      </c>
      <c r="H3">
        <v>1.5</v>
      </c>
      <c r="I3">
        <f>H3*D8</f>
        <v>15000</v>
      </c>
      <c r="J3" s="11">
        <f>F2/I3</f>
        <v>240</v>
      </c>
    </row>
    <row r="4" spans="1:10" ht="46.8" x14ac:dyDescent="0.3">
      <c r="A4" s="1" t="s">
        <v>5</v>
      </c>
      <c r="B4" s="4">
        <v>9000000</v>
      </c>
      <c r="C4" s="4">
        <v>7200000</v>
      </c>
      <c r="D4" s="4">
        <v>1800000</v>
      </c>
    </row>
    <row r="5" spans="1:10" ht="31.2" x14ac:dyDescent="0.3">
      <c r="A5" s="1" t="s">
        <v>6</v>
      </c>
      <c r="B5" s="5">
        <v>5500000</v>
      </c>
      <c r="C5" s="5">
        <v>4800000</v>
      </c>
      <c r="D5" s="5">
        <v>700000</v>
      </c>
    </row>
    <row r="6" spans="1:10" ht="93.6" x14ac:dyDescent="0.3">
      <c r="A6" s="1" t="s">
        <v>7</v>
      </c>
      <c r="B6" s="4">
        <v>4900000</v>
      </c>
      <c r="C6" s="4">
        <v>4600000</v>
      </c>
      <c r="D6" s="4">
        <v>300000</v>
      </c>
    </row>
    <row r="7" spans="1:10" ht="31.2" x14ac:dyDescent="0.3">
      <c r="A7" s="1" t="s">
        <v>8</v>
      </c>
      <c r="B7" s="6">
        <v>600000</v>
      </c>
      <c r="C7" s="6">
        <v>200000</v>
      </c>
      <c r="D7" s="6">
        <v>400000</v>
      </c>
    </row>
    <row r="8" spans="1:10" ht="78" x14ac:dyDescent="0.3">
      <c r="A8" s="1" t="s">
        <v>9</v>
      </c>
      <c r="B8" s="1" t="s">
        <v>10</v>
      </c>
      <c r="C8" s="5">
        <v>60000</v>
      </c>
      <c r="D8" s="5">
        <v>10000</v>
      </c>
    </row>
    <row r="9" spans="1:10" ht="31.2" x14ac:dyDescent="0.3">
      <c r="A9" s="1" t="s">
        <v>11</v>
      </c>
      <c r="B9" s="1" t="s">
        <v>10</v>
      </c>
      <c r="C9" s="8">
        <v>3.33</v>
      </c>
      <c r="D9" s="8">
        <v>40</v>
      </c>
    </row>
    <row r="10" spans="1:10" ht="15.6" x14ac:dyDescent="0.3">
      <c r="A10" s="1"/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BEDD-CBE7-4AB3-99F5-EC2B363CE03D}">
  <dimension ref="A1:M12"/>
  <sheetViews>
    <sheetView workbookViewId="0">
      <selection activeCell="E5" sqref="E5"/>
    </sheetView>
  </sheetViews>
  <sheetFormatPr defaultRowHeight="14.4" x14ac:dyDescent="0.3"/>
  <cols>
    <col min="1" max="1" width="26.109375" customWidth="1"/>
    <col min="2" max="2" width="20.5546875" customWidth="1"/>
    <col min="3" max="3" width="14.33203125" customWidth="1"/>
    <col min="4" max="5" width="13.21875" customWidth="1"/>
    <col min="6" max="6" width="10.5546875" customWidth="1"/>
    <col min="7" max="7" width="12.88671875" customWidth="1"/>
    <col min="10" max="10" width="15.44140625" customWidth="1"/>
    <col min="11" max="12" width="12.77734375" bestFit="1" customWidth="1"/>
    <col min="13" max="13" width="11.5546875" bestFit="1" customWidth="1"/>
    <col min="15" max="15" width="20" customWidth="1"/>
    <col min="16" max="16" width="12.21875" bestFit="1" customWidth="1"/>
  </cols>
  <sheetData>
    <row r="1" spans="1:13" ht="28.2" customHeight="1" x14ac:dyDescent="0.3">
      <c r="A1" s="1"/>
      <c r="B1" s="1"/>
      <c r="C1" s="16" t="s">
        <v>17</v>
      </c>
      <c r="D1" s="16"/>
      <c r="E1" s="16"/>
      <c r="F1" s="16"/>
      <c r="G1" s="16"/>
      <c r="J1" s="19" t="s">
        <v>30</v>
      </c>
      <c r="K1" s="19"/>
      <c r="L1" s="19"/>
      <c r="M1" s="19"/>
    </row>
    <row r="2" spans="1:13" ht="15.6" customHeight="1" x14ac:dyDescent="0.3">
      <c r="A2" s="12"/>
      <c r="B2" s="2" t="s">
        <v>19</v>
      </c>
      <c r="C2" s="2"/>
      <c r="D2" s="2"/>
      <c r="E2" s="2"/>
      <c r="F2" s="2"/>
      <c r="J2" s="19" t="s">
        <v>31</v>
      </c>
      <c r="K2" s="19"/>
      <c r="L2" s="19"/>
      <c r="M2" s="19"/>
    </row>
    <row r="3" spans="1:13" ht="16.2" thickBot="1" x14ac:dyDescent="0.35">
      <c r="A3" s="12"/>
      <c r="B3" s="2" t="s">
        <v>20</v>
      </c>
      <c r="C3" s="2"/>
      <c r="D3" s="2"/>
      <c r="E3" s="2"/>
      <c r="F3" s="2"/>
      <c r="J3" s="1"/>
      <c r="K3" s="1"/>
      <c r="L3" s="9" t="s">
        <v>0</v>
      </c>
      <c r="M3" s="9"/>
    </row>
    <row r="4" spans="1:13" ht="48" customHeight="1" x14ac:dyDescent="0.3">
      <c r="A4" s="12" t="s">
        <v>18</v>
      </c>
      <c r="B4" s="2" t="s">
        <v>21</v>
      </c>
      <c r="C4" s="2" t="s">
        <v>1</v>
      </c>
      <c r="D4" s="2" t="s">
        <v>2</v>
      </c>
      <c r="E4" s="2" t="s">
        <v>28</v>
      </c>
      <c r="F4" s="2" t="s">
        <v>3</v>
      </c>
      <c r="G4" s="2" t="s">
        <v>29</v>
      </c>
      <c r="J4" s="1"/>
      <c r="K4" s="2" t="s">
        <v>1</v>
      </c>
      <c r="L4" s="2" t="s">
        <v>2</v>
      </c>
      <c r="M4" s="2" t="s">
        <v>3</v>
      </c>
    </row>
    <row r="5" spans="1:13" ht="31.2" x14ac:dyDescent="0.3">
      <c r="A5" s="1" t="s">
        <v>22</v>
      </c>
      <c r="B5" s="13">
        <v>416000</v>
      </c>
      <c r="C5" s="17">
        <v>3200</v>
      </c>
      <c r="D5" s="5">
        <v>2000</v>
      </c>
      <c r="E5" s="18">
        <f>$B5/D5</f>
        <v>208</v>
      </c>
      <c r="F5" s="5">
        <v>1200</v>
      </c>
      <c r="G5" s="18">
        <f>$B5/F5</f>
        <v>346.66666666666669</v>
      </c>
      <c r="J5" s="1" t="s">
        <v>4</v>
      </c>
      <c r="K5" s="3">
        <v>14500000</v>
      </c>
      <c r="L5" s="3">
        <v>12000000</v>
      </c>
      <c r="M5" s="3">
        <v>2500000</v>
      </c>
    </row>
    <row r="6" spans="1:13" ht="31.2" x14ac:dyDescent="0.3">
      <c r="A6" s="1" t="s">
        <v>23</v>
      </c>
      <c r="B6" s="13">
        <v>720000</v>
      </c>
      <c r="C6" s="17">
        <v>18000</v>
      </c>
      <c r="D6" s="5">
        <v>8000</v>
      </c>
      <c r="E6" s="18">
        <f>$B6/D6</f>
        <v>90</v>
      </c>
      <c r="F6" s="5">
        <v>10000</v>
      </c>
      <c r="G6" s="18">
        <f>$B6/F6</f>
        <v>72</v>
      </c>
      <c r="J6" s="1" t="s">
        <v>5</v>
      </c>
      <c r="K6" s="4">
        <v>9000000</v>
      </c>
      <c r="L6" s="4">
        <v>7200000</v>
      </c>
      <c r="M6" s="4">
        <v>1800000</v>
      </c>
    </row>
    <row r="7" spans="1:13" ht="31.2" x14ac:dyDescent="0.3">
      <c r="A7" s="1" t="s">
        <v>24</v>
      </c>
      <c r="B7" s="13">
        <v>180000</v>
      </c>
      <c r="C7" s="17">
        <v>2400</v>
      </c>
      <c r="D7" s="5">
        <v>1680</v>
      </c>
      <c r="E7" s="18">
        <f>$B7/D7</f>
        <v>107.14285714285714</v>
      </c>
      <c r="F7" s="1">
        <v>720</v>
      </c>
      <c r="G7" s="18">
        <f>$B7/F7</f>
        <v>250</v>
      </c>
      <c r="J7" s="1" t="s">
        <v>6</v>
      </c>
      <c r="K7" s="5">
        <v>5500000</v>
      </c>
      <c r="L7" s="5">
        <v>4800000</v>
      </c>
      <c r="M7" s="5">
        <v>700000</v>
      </c>
    </row>
    <row r="8" spans="1:13" ht="46.8" x14ac:dyDescent="0.3">
      <c r="A8" s="1" t="s">
        <v>25</v>
      </c>
      <c r="B8" s="13">
        <v>900000</v>
      </c>
      <c r="C8" s="17">
        <v>400000</v>
      </c>
      <c r="D8" s="5">
        <v>120000</v>
      </c>
      <c r="E8" s="18">
        <f>$B8/D8</f>
        <v>7.5</v>
      </c>
      <c r="F8" s="5">
        <v>280000</v>
      </c>
      <c r="G8" s="18">
        <f>$B8/F8</f>
        <v>3.2142857142857144</v>
      </c>
      <c r="J8" s="1" t="s">
        <v>7</v>
      </c>
      <c r="K8" s="4">
        <v>4900000</v>
      </c>
      <c r="L8" s="4">
        <v>4600000</v>
      </c>
      <c r="M8" s="4">
        <v>300000</v>
      </c>
    </row>
    <row r="9" spans="1:13" ht="31.2" x14ac:dyDescent="0.3">
      <c r="A9" s="1" t="s">
        <v>26</v>
      </c>
      <c r="B9" s="13">
        <v>264000</v>
      </c>
      <c r="C9" s="17">
        <v>1200</v>
      </c>
      <c r="D9" s="1">
        <v>800</v>
      </c>
      <c r="E9" s="18">
        <f>$B9/D9</f>
        <v>330</v>
      </c>
      <c r="F9" s="1">
        <v>400</v>
      </c>
      <c r="G9" s="18">
        <f>$B9/F9</f>
        <v>660</v>
      </c>
      <c r="J9" s="1" t="s">
        <v>8</v>
      </c>
      <c r="K9" s="6">
        <v>600000</v>
      </c>
      <c r="L9" s="6">
        <v>200000</v>
      </c>
      <c r="M9" s="6">
        <v>400000</v>
      </c>
    </row>
    <row r="10" spans="1:13" ht="46.8" x14ac:dyDescent="0.3">
      <c r="A10" s="1" t="s">
        <v>27</v>
      </c>
      <c r="B10" s="14">
        <v>1120000</v>
      </c>
      <c r="C10" s="17">
        <v>140000</v>
      </c>
      <c r="D10" s="5">
        <v>60000</v>
      </c>
      <c r="E10" s="18">
        <f>$B10/D10</f>
        <v>18.666666666666668</v>
      </c>
      <c r="F10" s="5">
        <v>80000</v>
      </c>
      <c r="G10" s="18">
        <f>$B10/F10</f>
        <v>14</v>
      </c>
      <c r="J10" s="1" t="s">
        <v>9</v>
      </c>
      <c r="K10" s="1" t="s">
        <v>10</v>
      </c>
      <c r="L10" s="5">
        <v>60000</v>
      </c>
      <c r="M10" s="5">
        <v>10000</v>
      </c>
    </row>
    <row r="11" spans="1:13" ht="31.2" x14ac:dyDescent="0.3">
      <c r="A11" s="2" t="s">
        <v>1</v>
      </c>
      <c r="B11" s="15">
        <v>3600000</v>
      </c>
      <c r="C11" s="12"/>
      <c r="D11" s="12" t="s">
        <v>32</v>
      </c>
      <c r="E11" s="20">
        <f>SUM(E5:E10)</f>
        <v>761.30952380952374</v>
      </c>
      <c r="F11" s="12"/>
      <c r="G11" s="11">
        <f>SUM(G5:G10)</f>
        <v>1345.8809523809523</v>
      </c>
      <c r="J11" s="1" t="s">
        <v>11</v>
      </c>
      <c r="K11" s="1" t="s">
        <v>10</v>
      </c>
      <c r="L11" s="8">
        <v>3.33</v>
      </c>
      <c r="M11" s="8">
        <v>40</v>
      </c>
    </row>
    <row r="12" spans="1:13" x14ac:dyDescent="0.3">
      <c r="L12" s="7"/>
    </row>
  </sheetData>
  <mergeCells count="4">
    <mergeCell ref="C1:G1"/>
    <mergeCell ref="J1:M1"/>
    <mergeCell ref="J2:M2"/>
    <mergeCell ref="L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679A-02D0-408F-B20B-6FEA3BA24293}">
  <dimension ref="B1:L6"/>
  <sheetViews>
    <sheetView tabSelected="1" workbookViewId="0">
      <selection activeCell="L2" sqref="L2"/>
    </sheetView>
  </sheetViews>
  <sheetFormatPr defaultRowHeight="14.4" x14ac:dyDescent="0.3"/>
  <cols>
    <col min="2" max="2" width="15.6640625" bestFit="1" customWidth="1"/>
    <col min="3" max="3" width="26.44140625" bestFit="1" customWidth="1"/>
    <col min="4" max="4" width="23.44140625" bestFit="1" customWidth="1"/>
    <col min="5" max="5" width="7.88671875" bestFit="1" customWidth="1"/>
    <col min="8" max="8" width="18.88671875" bestFit="1" customWidth="1"/>
    <col min="9" max="9" width="26.6640625" bestFit="1" customWidth="1"/>
    <col min="10" max="10" width="7.88671875" bestFit="1" customWidth="1"/>
  </cols>
  <sheetData>
    <row r="1" spans="2:12" ht="15.6" x14ac:dyDescent="0.3">
      <c r="G1" s="25"/>
    </row>
    <row r="2" spans="2:12" ht="15.6" x14ac:dyDescent="0.3">
      <c r="B2" s="21" t="s">
        <v>33</v>
      </c>
      <c r="C2" s="21" t="s">
        <v>34</v>
      </c>
      <c r="D2" s="22">
        <v>10</v>
      </c>
      <c r="H2" s="21" t="s">
        <v>33</v>
      </c>
      <c r="I2" s="21" t="s">
        <v>42</v>
      </c>
      <c r="J2" s="22">
        <v>12</v>
      </c>
      <c r="L2" t="s">
        <v>46</v>
      </c>
    </row>
    <row r="3" spans="2:12" ht="15.6" x14ac:dyDescent="0.3">
      <c r="C3" s="21" t="s">
        <v>35</v>
      </c>
      <c r="D3" s="21" t="s">
        <v>36</v>
      </c>
      <c r="E3" s="21">
        <v>20</v>
      </c>
      <c r="H3" s="21" t="s">
        <v>35</v>
      </c>
      <c r="I3" s="21" t="s">
        <v>43</v>
      </c>
      <c r="J3" s="21">
        <v>15</v>
      </c>
    </row>
    <row r="4" spans="2:12" ht="15.6" x14ac:dyDescent="0.3">
      <c r="C4" s="21" t="s">
        <v>37</v>
      </c>
      <c r="D4" s="21" t="s">
        <v>38</v>
      </c>
      <c r="E4" s="21">
        <v>8</v>
      </c>
      <c r="H4" s="21" t="s">
        <v>37</v>
      </c>
      <c r="I4" s="21" t="s">
        <v>38</v>
      </c>
      <c r="J4" s="21">
        <v>6</v>
      </c>
    </row>
    <row r="5" spans="2:12" ht="15.6" x14ac:dyDescent="0.3">
      <c r="C5" s="21" t="s">
        <v>39</v>
      </c>
      <c r="D5" s="21" t="s">
        <v>40</v>
      </c>
      <c r="E5" s="21">
        <v>6.25</v>
      </c>
      <c r="H5" s="21" t="s">
        <v>39</v>
      </c>
      <c r="I5" s="21" t="s">
        <v>44</v>
      </c>
      <c r="J5" s="21">
        <v>7.5</v>
      </c>
    </row>
    <row r="6" spans="2:12" ht="15.6" x14ac:dyDescent="0.3">
      <c r="C6" s="23" t="s">
        <v>41</v>
      </c>
      <c r="E6" s="24">
        <v>44.25</v>
      </c>
      <c r="H6" s="23" t="s">
        <v>45</v>
      </c>
      <c r="J6" s="24">
        <v>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2025-02-25T23:19:08Z</dcterms:created>
  <dcterms:modified xsi:type="dcterms:W3CDTF">2025-02-26T22:24:35Z</dcterms:modified>
</cp:coreProperties>
</file>