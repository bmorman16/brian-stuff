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ocuments\Personal\EMBA\CostAccounting\"/>
    </mc:Choice>
  </mc:AlternateContent>
  <xr:revisionPtr revIDLastSave="0" documentId="13_ncr:1_{8E272EB0-13EA-4AA8-A2DD-2A9AE023ECA9}" xr6:coauthVersionLast="47" xr6:coauthVersionMax="47" xr10:uidLastSave="{00000000-0000-0000-0000-000000000000}"/>
  <bookViews>
    <workbookView xWindow="28680" yWindow="-120" windowWidth="29040" windowHeight="15840" xr2:uid="{34F26CF9-F8F6-4A81-9055-2528163DE99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M8" i="1"/>
  <c r="L8" i="1"/>
  <c r="N7" i="1"/>
  <c r="M7" i="1"/>
  <c r="N6" i="1"/>
  <c r="N5" i="1"/>
  <c r="N4" i="1"/>
  <c r="N3" i="1"/>
  <c r="M6" i="1"/>
  <c r="M5" i="1"/>
  <c r="M4" i="1"/>
  <c r="M3" i="1"/>
  <c r="L6" i="1"/>
  <c r="L5" i="1"/>
  <c r="L4" i="1"/>
  <c r="L3" i="1"/>
  <c r="L28" i="1"/>
  <c r="J26" i="1"/>
  <c r="H30" i="1"/>
  <c r="L30" i="1" s="1"/>
  <c r="G29" i="1"/>
  <c r="B11" i="1"/>
  <c r="B26" i="1" s="1"/>
  <c r="B34" i="1" s="1"/>
  <c r="I6" i="1"/>
  <c r="I13" i="1"/>
  <c r="I19" i="1" s="1"/>
  <c r="J13" i="1"/>
  <c r="J21" i="1" s="1"/>
  <c r="F12" i="1"/>
  <c r="F19" i="1" s="1"/>
  <c r="F28" i="1" s="1"/>
  <c r="H28" i="1" s="1"/>
  <c r="F5" i="1"/>
  <c r="B19" i="1"/>
  <c r="B5" i="1"/>
  <c r="B6" i="1" s="1"/>
  <c r="F17" i="1" l="1"/>
  <c r="F26" i="1" s="1"/>
  <c r="H26" i="1" s="1"/>
  <c r="J17" i="1"/>
  <c r="K24" i="1" s="1"/>
  <c r="F18" i="1"/>
  <c r="F27" i="1" s="1"/>
  <c r="H27" i="1" s="1"/>
  <c r="J18" i="1"/>
  <c r="K25" i="1" s="1"/>
  <c r="I17" i="1"/>
  <c r="J24" i="1" s="1"/>
  <c r="F16" i="1"/>
  <c r="J19" i="1"/>
  <c r="K26" i="1" s="1"/>
  <c r="M26" i="1" s="1"/>
  <c r="I20" i="1"/>
  <c r="J27" i="1" s="1"/>
  <c r="J20" i="1"/>
  <c r="K27" i="1" s="1"/>
  <c r="I18" i="1"/>
  <c r="B23" i="1"/>
  <c r="B24" i="1"/>
  <c r="B32" i="1" s="1"/>
  <c r="B25" i="1"/>
  <c r="B33" i="1" s="1"/>
  <c r="I21" i="1" l="1"/>
  <c r="J25" i="1"/>
  <c r="M25" i="1" s="1"/>
  <c r="J28" i="1"/>
  <c r="M24" i="1"/>
  <c r="M27" i="1"/>
  <c r="K28" i="1"/>
  <c r="L29" i="1" s="1"/>
  <c r="L31" i="1" s="1"/>
  <c r="B27" i="1"/>
  <c r="B31" i="1"/>
  <c r="B35" i="1" s="1"/>
  <c r="F25" i="1"/>
  <c r="F20" i="1"/>
  <c r="H25" i="1" l="1"/>
  <c r="H29" i="1" s="1"/>
  <c r="H31" i="1" s="1"/>
  <c r="F29" i="1"/>
</calcChain>
</file>

<file path=xl/sharedStrings.xml><?xml version="1.0" encoding="utf-8"?>
<sst xmlns="http://schemas.openxmlformats.org/spreadsheetml/2006/main" count="117" uniqueCount="60">
  <si>
    <t>Revenue</t>
  </si>
  <si>
    <t>Direct Labor</t>
  </si>
  <si>
    <t>Overhead</t>
  </si>
  <si>
    <t>Total Expense</t>
  </si>
  <si>
    <t>Profit</t>
  </si>
  <si>
    <t>Exhibit 1</t>
  </si>
  <si>
    <t>Test</t>
  </si>
  <si>
    <t>Projectional Radiographs</t>
  </si>
  <si>
    <t>Fluoroscoipes</t>
  </si>
  <si>
    <t>MRI Scan</t>
  </si>
  <si>
    <t>CAT Scan</t>
  </si>
  <si>
    <t>Total</t>
  </si>
  <si>
    <t>Exhibit 3</t>
  </si>
  <si>
    <t>Type of overhead cost</t>
  </si>
  <si>
    <t>direct labor related overhead</t>
  </si>
  <si>
    <t>equipment related overhead</t>
  </si>
  <si>
    <t>total overhead</t>
  </si>
  <si>
    <t>utilization of equip by test</t>
  </si>
  <si>
    <t>test</t>
  </si>
  <si>
    <t>projectional radiographs</t>
  </si>
  <si>
    <t>Exhibit 4: Crest System</t>
  </si>
  <si>
    <t>Exhibit 5: Posh System</t>
  </si>
  <si>
    <t>Breakdown of equipment related overhead</t>
  </si>
  <si>
    <t>type of overhead cost</t>
  </si>
  <si>
    <t>hightech overhead</t>
  </si>
  <si>
    <t>low tech overhead</t>
  </si>
  <si>
    <t>fluoroscopies</t>
  </si>
  <si>
    <t xml:space="preserve">MRI Scan </t>
  </si>
  <si>
    <t>High tech Utilization Hours</t>
  </si>
  <si>
    <t>Low tech Utlization hours</t>
  </si>
  <si>
    <t>Cost</t>
  </si>
  <si>
    <t>Run Hours</t>
  </si>
  <si>
    <t>Total equipment related overhead</t>
  </si>
  <si>
    <t xml:space="preserve">Exhibit 2 </t>
  </si>
  <si>
    <t xml:space="preserve">Overhead </t>
  </si>
  <si>
    <t>Burdon Rate</t>
  </si>
  <si>
    <t>Original overhead allocation</t>
  </si>
  <si>
    <t>Total Test Cost</t>
  </si>
  <si>
    <t>Burden rate</t>
  </si>
  <si>
    <t>% Allocation</t>
  </si>
  <si>
    <t>Fluoroscopies</t>
  </si>
  <si>
    <t>Equipment related overhead cost</t>
  </si>
  <si>
    <t>Total Test Cost ~ Crest System</t>
  </si>
  <si>
    <t>Direct labor Cost</t>
  </si>
  <si>
    <t>Cost Per test</t>
  </si>
  <si>
    <t>Direct labor overhead Cost</t>
  </si>
  <si>
    <t>Utlization of high and low tech test equip</t>
  </si>
  <si>
    <t>% Allocation Low-tech</t>
  </si>
  <si>
    <t>% Allocation High-tech</t>
  </si>
  <si>
    <t>Total Test Cost ~ Posh System</t>
  </si>
  <si>
    <t>High Tech Utilization Cost</t>
  </si>
  <si>
    <t>Low tech Utlization Cost</t>
  </si>
  <si>
    <t>Machine related overhead cost</t>
  </si>
  <si>
    <t>Direct labor overhead cost</t>
  </si>
  <si>
    <t>Cost per test</t>
  </si>
  <si>
    <t>Original</t>
  </si>
  <si>
    <t xml:space="preserve">Crest </t>
  </si>
  <si>
    <t>Posh</t>
  </si>
  <si>
    <t>Direct Labor overhead cost</t>
  </si>
  <si>
    <t>Cost Per Test for each accounting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</si>
</sst>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1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164" fontId="0" fillId="0" borderId="0" xfId="0" applyNumberFormat="1" applyBorder="1"/>
    <xf numFmtId="0" fontId="0" fillId="0" borderId="0" xfId="0" applyBorder="1"/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529B-5C61-4FD8-9C95-75E09DA711FC}">
  <dimension ref="A1:N35"/>
  <sheetViews>
    <sheetView tabSelected="1" workbookViewId="0">
      <selection activeCell="K1" sqref="K1:N8"/>
    </sheetView>
  </sheetViews>
  <sheetFormatPr defaultRowHeight="14.4" x14ac:dyDescent="0.3"/>
  <cols>
    <col min="1" max="1" width="20.6640625" bestFit="1" customWidth="1"/>
    <col min="2" max="2" width="12.6640625" bestFit="1" customWidth="1"/>
    <col min="5" max="5" width="24.21875" bestFit="1" customWidth="1"/>
    <col min="6" max="6" width="12.6640625" bestFit="1" customWidth="1"/>
    <col min="7" max="7" width="23.88671875" bestFit="1" customWidth="1"/>
    <col min="8" max="8" width="30.88671875" customWidth="1"/>
    <col min="9" max="9" width="13.6640625" customWidth="1"/>
    <col min="10" max="10" width="24" bestFit="1" customWidth="1"/>
    <col min="11" max="11" width="27.6640625" bestFit="1" customWidth="1"/>
    <col min="12" max="14" width="12.6640625" bestFit="1" customWidth="1"/>
  </cols>
  <sheetData>
    <row r="1" spans="1:14" x14ac:dyDescent="0.3">
      <c r="A1" s="7" t="s">
        <v>5</v>
      </c>
      <c r="B1" s="7"/>
      <c r="E1" s="7" t="s">
        <v>20</v>
      </c>
      <c r="F1" s="7"/>
      <c r="G1" s="2"/>
      <c r="H1" s="8" t="s">
        <v>21</v>
      </c>
      <c r="I1" s="8"/>
      <c r="J1" s="8"/>
      <c r="K1" s="16"/>
      <c r="L1" s="7" t="s">
        <v>59</v>
      </c>
      <c r="M1" s="7"/>
      <c r="N1" s="7"/>
    </row>
    <row r="2" spans="1:14" x14ac:dyDescent="0.3">
      <c r="A2" t="s">
        <v>0</v>
      </c>
      <c r="B2" s="1">
        <v>3520018</v>
      </c>
      <c r="E2" t="s">
        <v>13</v>
      </c>
      <c r="F2" t="s">
        <v>30</v>
      </c>
      <c r="H2" s="8" t="s">
        <v>22</v>
      </c>
      <c r="I2" s="8"/>
      <c r="J2" s="8"/>
      <c r="K2" s="16" t="s">
        <v>6</v>
      </c>
      <c r="L2" t="s">
        <v>55</v>
      </c>
      <c r="M2" t="s">
        <v>56</v>
      </c>
      <c r="N2" t="s">
        <v>57</v>
      </c>
    </row>
    <row r="3" spans="1:14" x14ac:dyDescent="0.3">
      <c r="A3" t="s">
        <v>1</v>
      </c>
      <c r="B3" s="1">
        <v>1375571</v>
      </c>
      <c r="E3" t="s">
        <v>14</v>
      </c>
      <c r="F3" s="1">
        <v>721392</v>
      </c>
      <c r="G3" s="1"/>
      <c r="H3" s="4" t="s">
        <v>23</v>
      </c>
      <c r="I3" s="4" t="s">
        <v>30</v>
      </c>
      <c r="J3" s="16"/>
      <c r="K3" t="s">
        <v>19</v>
      </c>
      <c r="L3" s="1">
        <f>B31</f>
        <v>1018144.9862835143</v>
      </c>
      <c r="M3" s="1">
        <f>H25</f>
        <v>629889.13755771378</v>
      </c>
      <c r="N3" s="1">
        <f>M24</f>
        <v>604102.54259473132</v>
      </c>
    </row>
    <row r="4" spans="1:14" ht="15" thickBot="1" x14ac:dyDescent="0.35">
      <c r="A4" t="s">
        <v>2</v>
      </c>
      <c r="B4" s="1">
        <v>1982428</v>
      </c>
      <c r="E4" t="s">
        <v>15</v>
      </c>
      <c r="F4" s="3">
        <v>1261036</v>
      </c>
      <c r="G4" s="17"/>
      <c r="H4" s="4" t="s">
        <v>24</v>
      </c>
      <c r="I4" s="11">
        <v>921793</v>
      </c>
      <c r="J4" s="16"/>
      <c r="K4" s="10" t="s">
        <v>40</v>
      </c>
      <c r="L4" s="1">
        <f>B32</f>
        <v>1010758.0139105869</v>
      </c>
      <c r="M4" s="1">
        <f>H26</f>
        <v>677457.16271294374</v>
      </c>
      <c r="N4" s="1">
        <f>M25</f>
        <v>660112.1896036492</v>
      </c>
    </row>
    <row r="5" spans="1:14" ht="15.6" thickTop="1" thickBot="1" x14ac:dyDescent="0.35">
      <c r="A5" t="s">
        <v>3</v>
      </c>
      <c r="B5" s="3">
        <f>SUM(B3+B4)</f>
        <v>3357999</v>
      </c>
      <c r="E5" t="s">
        <v>16</v>
      </c>
      <c r="F5" s="1">
        <f>SUM(F3:F4)</f>
        <v>1982428</v>
      </c>
      <c r="G5" s="1"/>
      <c r="H5" s="4" t="s">
        <v>25</v>
      </c>
      <c r="I5" s="12">
        <v>339243</v>
      </c>
      <c r="J5" s="16"/>
      <c r="K5" t="s">
        <v>10</v>
      </c>
      <c r="L5" s="1">
        <f>B33</f>
        <v>661190.17422583059</v>
      </c>
      <c r="M5" s="1">
        <f>H27</f>
        <v>550723.29788250278</v>
      </c>
      <c r="N5" s="1">
        <f>M26</f>
        <v>544304.44766289683</v>
      </c>
    </row>
    <row r="6" spans="1:14" ht="15" thickTop="1" x14ac:dyDescent="0.3">
      <c r="A6" t="s">
        <v>4</v>
      </c>
      <c r="B6" s="1">
        <f>B2-B5</f>
        <v>162019</v>
      </c>
      <c r="E6" s="7" t="s">
        <v>17</v>
      </c>
      <c r="F6" s="7"/>
      <c r="G6" s="2"/>
      <c r="H6" s="4" t="s">
        <v>32</v>
      </c>
      <c r="I6" s="11">
        <f>SUM(I4:I5)</f>
        <v>1261036</v>
      </c>
      <c r="J6" s="4"/>
      <c r="K6" t="s">
        <v>9</v>
      </c>
      <c r="L6" s="1">
        <f>B34</f>
        <v>667905.82558006817</v>
      </c>
      <c r="M6" s="1">
        <f>H28</f>
        <v>778537.4018468397</v>
      </c>
      <c r="N6" s="1">
        <f>M27</f>
        <v>828087.82013872277</v>
      </c>
    </row>
    <row r="7" spans="1:14" x14ac:dyDescent="0.3">
      <c r="E7" t="s">
        <v>18</v>
      </c>
      <c r="F7" t="s">
        <v>31</v>
      </c>
      <c r="H7" s="8" t="s">
        <v>46</v>
      </c>
      <c r="I7" s="8"/>
      <c r="J7" s="8"/>
      <c r="K7" t="s">
        <v>58</v>
      </c>
      <c r="L7" s="1">
        <v>0</v>
      </c>
      <c r="M7" s="1">
        <f>F3</f>
        <v>721392</v>
      </c>
      <c r="N7" s="1">
        <f>F3</f>
        <v>721392</v>
      </c>
    </row>
    <row r="8" spans="1:14" x14ac:dyDescent="0.3">
      <c r="A8" s="7" t="s">
        <v>33</v>
      </c>
      <c r="B8" s="7"/>
      <c r="E8" t="s">
        <v>19</v>
      </c>
      <c r="F8">
        <v>1060</v>
      </c>
      <c r="H8" s="4" t="s">
        <v>18</v>
      </c>
      <c r="I8" s="4" t="s">
        <v>28</v>
      </c>
      <c r="J8" s="4" t="s">
        <v>29</v>
      </c>
      <c r="K8" s="4" t="s">
        <v>3</v>
      </c>
      <c r="L8" s="1">
        <f>SUM(L3:L7)</f>
        <v>3357999</v>
      </c>
      <c r="M8" s="1">
        <f>SUM(M3:M7)</f>
        <v>3357999</v>
      </c>
      <c r="N8" s="1">
        <f>SUM(N3:N7)</f>
        <v>3357999</v>
      </c>
    </row>
    <row r="9" spans="1:14" x14ac:dyDescent="0.3">
      <c r="A9" t="s">
        <v>34</v>
      </c>
      <c r="B9" s="1">
        <v>1982428</v>
      </c>
      <c r="E9" s="10" t="s">
        <v>40</v>
      </c>
      <c r="F9">
        <v>1312</v>
      </c>
      <c r="H9" s="4" t="s">
        <v>19</v>
      </c>
      <c r="I9" s="4">
        <v>268</v>
      </c>
      <c r="J9" s="4">
        <v>792</v>
      </c>
      <c r="K9" s="4"/>
    </row>
    <row r="10" spans="1:14" ht="15" thickBot="1" x14ac:dyDescent="0.35">
      <c r="A10" t="s">
        <v>1</v>
      </c>
      <c r="B10" s="3">
        <v>1375571</v>
      </c>
      <c r="E10" t="s">
        <v>10</v>
      </c>
      <c r="F10">
        <v>1394</v>
      </c>
      <c r="H10" s="4" t="s">
        <v>26</v>
      </c>
      <c r="I10" s="4">
        <v>579</v>
      </c>
      <c r="J10" s="4">
        <v>733</v>
      </c>
      <c r="K10" s="4"/>
    </row>
    <row r="11" spans="1:14" ht="15.6" thickTop="1" thickBot="1" x14ac:dyDescent="0.35">
      <c r="A11" t="s">
        <v>35</v>
      </c>
      <c r="B11" s="9">
        <f>B9/B10</f>
        <v>1.4411673406897936</v>
      </c>
      <c r="E11" t="s">
        <v>9</v>
      </c>
      <c r="F11" s="5">
        <v>2515</v>
      </c>
      <c r="G11" s="18"/>
      <c r="H11" s="4" t="s">
        <v>10</v>
      </c>
      <c r="I11" s="4">
        <v>819</v>
      </c>
      <c r="J11" s="4">
        <v>575</v>
      </c>
      <c r="K11" s="4"/>
    </row>
    <row r="12" spans="1:14" ht="15.6" thickTop="1" thickBot="1" x14ac:dyDescent="0.35">
      <c r="B12" s="9"/>
      <c r="E12" t="s">
        <v>11</v>
      </c>
      <c r="F12">
        <f>SUM(F8:F11)</f>
        <v>6281</v>
      </c>
      <c r="H12" s="4" t="s">
        <v>27</v>
      </c>
      <c r="I12" s="6">
        <v>2515</v>
      </c>
      <c r="J12" s="6">
        <v>0</v>
      </c>
      <c r="K12" s="4"/>
    </row>
    <row r="13" spans="1:14" ht="15" thickTop="1" x14ac:dyDescent="0.3">
      <c r="A13" s="7" t="s">
        <v>12</v>
      </c>
      <c r="B13" s="7"/>
      <c r="H13" s="4" t="s">
        <v>11</v>
      </c>
      <c r="I13" s="4">
        <f>SUM(I9:I12)</f>
        <v>4181</v>
      </c>
      <c r="J13" s="4">
        <f>SUM(J9:J12)</f>
        <v>2100</v>
      </c>
      <c r="K13" s="4"/>
    </row>
    <row r="14" spans="1:14" x14ac:dyDescent="0.3">
      <c r="A14" t="s">
        <v>6</v>
      </c>
      <c r="B14" t="s">
        <v>1</v>
      </c>
      <c r="E14" s="7" t="s">
        <v>38</v>
      </c>
      <c r="F14" s="7"/>
      <c r="G14" s="2"/>
    </row>
    <row r="15" spans="1:14" x14ac:dyDescent="0.3">
      <c r="A15" t="s">
        <v>7</v>
      </c>
      <c r="B15" s="1">
        <v>417073</v>
      </c>
      <c r="E15" t="s">
        <v>6</v>
      </c>
      <c r="F15" t="s">
        <v>39</v>
      </c>
      <c r="H15" s="7" t="s">
        <v>38</v>
      </c>
      <c r="I15" s="7"/>
      <c r="J15" s="7"/>
    </row>
    <row r="16" spans="1:14" x14ac:dyDescent="0.3">
      <c r="A16" t="s">
        <v>8</v>
      </c>
      <c r="B16" s="1">
        <v>414047</v>
      </c>
      <c r="E16" t="s">
        <v>19</v>
      </c>
      <c r="F16" s="9">
        <f>F8/$F$12</f>
        <v>0.16876293583824231</v>
      </c>
      <c r="G16" s="9"/>
      <c r="H16" t="s">
        <v>6</v>
      </c>
      <c r="I16" t="s">
        <v>48</v>
      </c>
      <c r="J16" t="s">
        <v>47</v>
      </c>
    </row>
    <row r="17" spans="1:13" x14ac:dyDescent="0.3">
      <c r="A17" t="s">
        <v>10</v>
      </c>
      <c r="B17" s="1">
        <v>270850</v>
      </c>
      <c r="E17" s="10" t="s">
        <v>40</v>
      </c>
      <c r="F17" s="9">
        <f>F9/$F$12</f>
        <v>0.20888393567903199</v>
      </c>
      <c r="G17" s="9"/>
      <c r="H17" t="s">
        <v>19</v>
      </c>
      <c r="I17" s="9">
        <f>I9/$I$13</f>
        <v>6.4099497727816312E-2</v>
      </c>
      <c r="J17" s="9">
        <f>J9/$J$13</f>
        <v>0.37714285714285717</v>
      </c>
    </row>
    <row r="18" spans="1:13" ht="15" thickBot="1" x14ac:dyDescent="0.35">
      <c r="A18" t="s">
        <v>9</v>
      </c>
      <c r="B18" s="3">
        <v>273601</v>
      </c>
      <c r="E18" t="s">
        <v>10</v>
      </c>
      <c r="F18" s="9">
        <f>F10/$F$12</f>
        <v>0.2219391816589715</v>
      </c>
      <c r="G18" s="9"/>
      <c r="H18" s="10" t="s">
        <v>40</v>
      </c>
      <c r="I18" s="9">
        <f>I10/$I$13</f>
        <v>0.13848361635972256</v>
      </c>
      <c r="J18" s="9">
        <f>J10/$J$13</f>
        <v>0.34904761904761905</v>
      </c>
    </row>
    <row r="19" spans="1:13" ht="15.6" thickTop="1" thickBot="1" x14ac:dyDescent="0.35">
      <c r="A19" t="s">
        <v>11</v>
      </c>
      <c r="B19" s="1">
        <f>SUM(B15:B18)</f>
        <v>1375571</v>
      </c>
      <c r="E19" t="s">
        <v>9</v>
      </c>
      <c r="F19" s="13">
        <f>F11/$F$12</f>
        <v>0.4004139468237542</v>
      </c>
      <c r="G19" s="19"/>
      <c r="H19" t="s">
        <v>10</v>
      </c>
      <c r="I19" s="9">
        <f>I11/$I$13</f>
        <v>0.19588615163836404</v>
      </c>
      <c r="J19" s="9">
        <f>J11/$J$13</f>
        <v>0.27380952380952384</v>
      </c>
    </row>
    <row r="20" spans="1:13" ht="15.6" thickTop="1" thickBot="1" x14ac:dyDescent="0.35">
      <c r="B20" s="1"/>
      <c r="E20" t="s">
        <v>11</v>
      </c>
      <c r="F20" s="9">
        <f>SUM(F16:F19)</f>
        <v>1</v>
      </c>
      <c r="G20" s="9"/>
      <c r="H20" t="s">
        <v>9</v>
      </c>
      <c r="I20" s="13">
        <f>I12/$I$13</f>
        <v>0.60153073427409709</v>
      </c>
      <c r="J20" s="13">
        <f>J12/$J$13</f>
        <v>0</v>
      </c>
    </row>
    <row r="21" spans="1:13" ht="15" thickTop="1" x14ac:dyDescent="0.3">
      <c r="A21" s="7" t="s">
        <v>36</v>
      </c>
      <c r="B21" s="7"/>
      <c r="H21" t="s">
        <v>11</v>
      </c>
      <c r="I21" s="9">
        <f>SUM(I17:I20)</f>
        <v>1</v>
      </c>
      <c r="J21" s="9">
        <f>J13/$J$13</f>
        <v>1</v>
      </c>
    </row>
    <row r="22" spans="1:13" x14ac:dyDescent="0.3">
      <c r="A22" t="s">
        <v>18</v>
      </c>
      <c r="B22" t="s">
        <v>30</v>
      </c>
      <c r="I22" s="7" t="s">
        <v>49</v>
      </c>
      <c r="J22" s="7"/>
      <c r="K22" s="7"/>
      <c r="L22" s="7"/>
      <c r="M22" s="7"/>
    </row>
    <row r="23" spans="1:13" ht="28.8" x14ac:dyDescent="0.3">
      <c r="A23" t="s">
        <v>19</v>
      </c>
      <c r="B23" s="1">
        <f>B15*$B$11</f>
        <v>601071.9862835143</v>
      </c>
      <c r="E23" s="7" t="s">
        <v>42</v>
      </c>
      <c r="F23" s="7"/>
      <c r="G23" s="7"/>
      <c r="H23" s="7"/>
      <c r="I23" t="s">
        <v>6</v>
      </c>
      <c r="J23" t="s">
        <v>50</v>
      </c>
      <c r="K23" t="s">
        <v>51</v>
      </c>
      <c r="L23" s="15" t="s">
        <v>43</v>
      </c>
      <c r="M23" t="s">
        <v>54</v>
      </c>
    </row>
    <row r="24" spans="1:13" ht="30.6" customHeight="1" x14ac:dyDescent="0.3">
      <c r="A24" s="10" t="s">
        <v>40</v>
      </c>
      <c r="B24" s="1">
        <f>B16*$B$11</f>
        <v>596711.01391058695</v>
      </c>
      <c r="E24" t="s">
        <v>18</v>
      </c>
      <c r="F24" s="14" t="s">
        <v>41</v>
      </c>
      <c r="G24" s="15" t="s">
        <v>43</v>
      </c>
      <c r="H24" t="s">
        <v>44</v>
      </c>
      <c r="I24" s="14" t="s">
        <v>19</v>
      </c>
      <c r="J24" s="1">
        <f>I17*$I$4</f>
        <v>59086.468309016986</v>
      </c>
      <c r="K24" s="1">
        <f>J17*$I$5</f>
        <v>127943.07428571429</v>
      </c>
      <c r="L24" s="1">
        <v>417073</v>
      </c>
      <c r="M24" s="1">
        <f>J24+K24+L24</f>
        <v>604102.54259473132</v>
      </c>
    </row>
    <row r="25" spans="1:13" x14ac:dyDescent="0.3">
      <c r="A25" t="s">
        <v>10</v>
      </c>
      <c r="B25" s="1">
        <f>B17*$B$11</f>
        <v>390340.17422583059</v>
      </c>
      <c r="E25" t="s">
        <v>19</v>
      </c>
      <c r="F25" s="1">
        <f>F16*$F$4</f>
        <v>212816.13755771372</v>
      </c>
      <c r="G25" s="1">
        <v>417073</v>
      </c>
      <c r="H25" s="1">
        <f>F25+G25</f>
        <v>629889.13755771378</v>
      </c>
      <c r="I25" s="10" t="s">
        <v>40</v>
      </c>
      <c r="J25" s="1">
        <f>I18*$I$4</f>
        <v>127653.22817507773</v>
      </c>
      <c r="K25" s="1">
        <f>J18*$I$5</f>
        <v>118411.96142857143</v>
      </c>
      <c r="L25" s="1">
        <v>414047</v>
      </c>
      <c r="M25" s="1">
        <f>J25+K25+L25</f>
        <v>660112.1896036492</v>
      </c>
    </row>
    <row r="26" spans="1:13" ht="15" thickBot="1" x14ac:dyDescent="0.35">
      <c r="A26" t="s">
        <v>9</v>
      </c>
      <c r="B26" s="3">
        <f>B18*$B$11</f>
        <v>394304.82558006822</v>
      </c>
      <c r="E26" s="10" t="s">
        <v>40</v>
      </c>
      <c r="F26" s="1">
        <f>F17*$F$4</f>
        <v>263410.1627129438</v>
      </c>
      <c r="G26" s="1">
        <v>414047</v>
      </c>
      <c r="H26" s="1">
        <f>F26+G26</f>
        <v>677457.16271294374</v>
      </c>
      <c r="I26" t="s">
        <v>10</v>
      </c>
      <c r="J26" s="1">
        <f>I19*$I$4</f>
        <v>180566.48337718251</v>
      </c>
      <c r="K26" s="1">
        <f>J19*$I$5</f>
        <v>92887.96428571429</v>
      </c>
      <c r="L26" s="1">
        <v>270850</v>
      </c>
      <c r="M26" s="1">
        <f>J26+K26+L26</f>
        <v>544304.44766289683</v>
      </c>
    </row>
    <row r="27" spans="1:13" ht="15.6" thickTop="1" thickBot="1" x14ac:dyDescent="0.35">
      <c r="A27" t="s">
        <v>11</v>
      </c>
      <c r="B27" s="1">
        <f>SUM(B23:B26)</f>
        <v>1982427.9999999998</v>
      </c>
      <c r="E27" t="s">
        <v>10</v>
      </c>
      <c r="F27" s="1">
        <f>F18*$F$4</f>
        <v>279873.29788250278</v>
      </c>
      <c r="G27" s="1">
        <v>270850</v>
      </c>
      <c r="H27" s="1">
        <f>F27+G27</f>
        <v>550723.29788250278</v>
      </c>
      <c r="I27" t="s">
        <v>9</v>
      </c>
      <c r="J27" s="3">
        <f>I20*$I$4</f>
        <v>554486.82013872277</v>
      </c>
      <c r="K27" s="3">
        <f>J20*$I$5</f>
        <v>0</v>
      </c>
      <c r="L27" s="3">
        <v>273601</v>
      </c>
      <c r="M27" s="1">
        <f>J27+K27+L27</f>
        <v>828087.82013872277</v>
      </c>
    </row>
    <row r="28" spans="1:13" ht="15.6" thickTop="1" thickBot="1" x14ac:dyDescent="0.35">
      <c r="E28" t="s">
        <v>9</v>
      </c>
      <c r="F28" s="3">
        <f>F19*$F$4</f>
        <v>504936.4018468397</v>
      </c>
      <c r="G28" s="3">
        <v>273601</v>
      </c>
      <c r="H28" s="3">
        <f>F28+G28</f>
        <v>778537.4018468397</v>
      </c>
      <c r="I28" t="s">
        <v>11</v>
      </c>
      <c r="J28" s="1">
        <f>SUM(J24:J27)</f>
        <v>921793</v>
      </c>
      <c r="K28" s="1">
        <f>SUM(K24:K27)</f>
        <v>339243</v>
      </c>
      <c r="L28" s="1">
        <f>SUM(L24:L27)</f>
        <v>1375571</v>
      </c>
      <c r="M28" s="1"/>
    </row>
    <row r="29" spans="1:13" ht="15" thickTop="1" x14ac:dyDescent="0.3">
      <c r="A29" s="7" t="s">
        <v>37</v>
      </c>
      <c r="B29" s="7"/>
      <c r="E29" t="s">
        <v>11</v>
      </c>
      <c r="F29" s="1">
        <f>SUM(F25:F28)</f>
        <v>1261036</v>
      </c>
      <c r="G29" s="1">
        <f>SUM(G25:G28)</f>
        <v>1375571</v>
      </c>
      <c r="H29" s="1">
        <f>SUM(H25:H28)</f>
        <v>2636607</v>
      </c>
      <c r="K29" s="1" t="s">
        <v>52</v>
      </c>
      <c r="L29" s="1">
        <f>J28+K28</f>
        <v>1261036</v>
      </c>
    </row>
    <row r="30" spans="1:13" ht="15" thickBot="1" x14ac:dyDescent="0.35">
      <c r="A30" t="s">
        <v>18</v>
      </c>
      <c r="B30" t="s">
        <v>30</v>
      </c>
      <c r="G30" t="s">
        <v>45</v>
      </c>
      <c r="H30" s="3">
        <f>F3</f>
        <v>721392</v>
      </c>
      <c r="K30" t="s">
        <v>53</v>
      </c>
      <c r="L30" s="3">
        <f>H30</f>
        <v>721392</v>
      </c>
    </row>
    <row r="31" spans="1:13" ht="15" thickTop="1" x14ac:dyDescent="0.3">
      <c r="A31" t="s">
        <v>19</v>
      </c>
      <c r="B31" s="1">
        <f>B15+B23</f>
        <v>1018144.9862835143</v>
      </c>
      <c r="H31" s="1">
        <f>H29+H30</f>
        <v>3357999</v>
      </c>
      <c r="K31" t="s">
        <v>3</v>
      </c>
      <c r="L31" s="1">
        <f>SUM(L28:L30)</f>
        <v>3357999</v>
      </c>
    </row>
    <row r="32" spans="1:13" x14ac:dyDescent="0.3">
      <c r="A32" s="10" t="s">
        <v>40</v>
      </c>
      <c r="B32" s="1">
        <f>B16+B24</f>
        <v>1010758.0139105869</v>
      </c>
    </row>
    <row r="33" spans="1:2" x14ac:dyDescent="0.3">
      <c r="A33" t="s">
        <v>10</v>
      </c>
      <c r="B33" s="1">
        <f>B17+B25</f>
        <v>661190.17422583059</v>
      </c>
    </row>
    <row r="34" spans="1:2" ht="15" thickBot="1" x14ac:dyDescent="0.35">
      <c r="A34" t="s">
        <v>9</v>
      </c>
      <c r="B34" s="3">
        <f>B18+B26</f>
        <v>667905.82558006817</v>
      </c>
    </row>
    <row r="35" spans="1:2" ht="15" thickTop="1" x14ac:dyDescent="0.3">
      <c r="A35" t="s">
        <v>11</v>
      </c>
      <c r="B35" s="1">
        <f>SUM(B31:B34)</f>
        <v>3357999</v>
      </c>
    </row>
  </sheetData>
  <mergeCells count="15">
    <mergeCell ref="L1:N1"/>
    <mergeCell ref="A8:B8"/>
    <mergeCell ref="A21:B21"/>
    <mergeCell ref="A29:B29"/>
    <mergeCell ref="E14:F14"/>
    <mergeCell ref="E23:H23"/>
    <mergeCell ref="H15:J15"/>
    <mergeCell ref="I22:M22"/>
    <mergeCell ref="A1:B1"/>
    <mergeCell ref="A13:B13"/>
    <mergeCell ref="E1:F1"/>
    <mergeCell ref="E6:F6"/>
    <mergeCell ref="H7:J7"/>
    <mergeCell ref="H2:J2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2025-01-10T16:47:42Z</dcterms:created>
  <dcterms:modified xsi:type="dcterms:W3CDTF">2025-01-10T20:43:58Z</dcterms:modified>
</cp:coreProperties>
</file>