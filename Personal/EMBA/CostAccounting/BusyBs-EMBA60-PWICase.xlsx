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z173f\Documents\Personal\EMBA\CostAccounting\"/>
    </mc:Choice>
  </mc:AlternateContent>
  <xr:revisionPtr revIDLastSave="0" documentId="8_{F32185F7-A917-4A10-A0D1-7B8732D324C8}" xr6:coauthVersionLast="47" xr6:coauthVersionMax="47" xr10:uidLastSave="{00000000-0000-0000-0000-000000000000}"/>
  <bookViews>
    <workbookView xWindow="-120" yWindow="-120" windowWidth="29040" windowHeight="15840" firstSheet="4" activeTab="9" xr2:uid="{00000000-000D-0000-FFFF-FFFF00000000}"/>
  </bookViews>
  <sheets>
    <sheet name="COGS Manufact" sheetId="1" r:id="rId1"/>
    <sheet name="Cost Function" sheetId="2" r:id="rId2"/>
    <sheet name="Learning Models" sheetId="3" r:id="rId3"/>
    <sheet name="Job Costing" sheetId="4" r:id="rId4"/>
    <sheet name="Simple Cost" sheetId="5" r:id="rId5"/>
    <sheet name="CVP" sheetId="6" r:id="rId6"/>
    <sheet name="Operating Budget" sheetId="7" r:id="rId7"/>
    <sheet name="Man OH Cost Budget" sheetId="8" r:id="rId8"/>
    <sheet name="Ending Inv Budget" sheetId="9" r:id="rId9"/>
    <sheet name="Case Homework" sheetId="10" r:id="rId10"/>
    <sheet name="Sheet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0" l="1"/>
  <c r="G33" i="10"/>
  <c r="G30" i="10"/>
  <c r="G31" i="10"/>
  <c r="G11" i="10"/>
  <c r="G13" i="10" s="1"/>
  <c r="G14" i="10" s="1"/>
  <c r="H27" i="10"/>
  <c r="H28" i="10" s="1"/>
  <c r="H32" i="10" s="1"/>
  <c r="G27" i="10"/>
  <c r="G28" i="10" s="1"/>
  <c r="G32" i="10" s="1"/>
  <c r="H23" i="10"/>
  <c r="H24" i="10" s="1"/>
  <c r="G23" i="10"/>
  <c r="G24" i="10" s="1"/>
  <c r="H11" i="10"/>
  <c r="H13" i="10" s="1"/>
  <c r="H14" i="10" s="1"/>
  <c r="D27" i="10"/>
  <c r="D28" i="10" s="1"/>
  <c r="C27" i="10"/>
  <c r="C28" i="10" s="1"/>
  <c r="D23" i="10"/>
  <c r="D24" i="10" s="1"/>
  <c r="C23" i="10"/>
  <c r="C24" i="10" s="1"/>
  <c r="D11" i="10"/>
  <c r="D13" i="10" s="1"/>
  <c r="D14" i="10" s="1"/>
  <c r="C11" i="10"/>
  <c r="C13" i="10" s="1"/>
  <c r="C14" i="10" s="1"/>
  <c r="F18" i="8"/>
  <c r="B18" i="8"/>
  <c r="G10" i="8"/>
  <c r="B10" i="8"/>
  <c r="G9" i="8"/>
  <c r="F9" i="8"/>
  <c r="F10" i="8" s="1"/>
  <c r="F17" i="8" s="1"/>
  <c r="C9" i="8"/>
  <c r="C10" i="8" s="1"/>
  <c r="B17" i="8" s="1"/>
  <c r="B19" i="8" s="1"/>
  <c r="B9" i="8"/>
  <c r="Q53" i="7"/>
  <c r="P53" i="7"/>
  <c r="R53" i="7" s="1"/>
  <c r="O53" i="7"/>
  <c r="N53" i="7"/>
  <c r="H53" i="7"/>
  <c r="G53" i="7"/>
  <c r="I53" i="7" s="1"/>
  <c r="K53" i="7" s="1"/>
  <c r="Q52" i="7"/>
  <c r="O52" i="7"/>
  <c r="P52" i="7" s="1"/>
  <c r="N52" i="7"/>
  <c r="H52" i="7"/>
  <c r="G52" i="7"/>
  <c r="I52" i="7" s="1"/>
  <c r="O43" i="7"/>
  <c r="N43" i="7"/>
  <c r="O41" i="7"/>
  <c r="N41" i="7"/>
  <c r="O33" i="7"/>
  <c r="H33" i="7"/>
  <c r="N32" i="7"/>
  <c r="G32" i="7"/>
  <c r="O27" i="7"/>
  <c r="N27" i="7"/>
  <c r="H27" i="7"/>
  <c r="G27" i="7"/>
  <c r="O26" i="7"/>
  <c r="O28" i="7" s="1"/>
  <c r="N26" i="7"/>
  <c r="N28" i="7" s="1"/>
  <c r="H26" i="7"/>
  <c r="H28" i="7" s="1"/>
  <c r="G26" i="7"/>
  <c r="G28" i="7" s="1"/>
  <c r="C13" i="7"/>
  <c r="C15" i="7" s="1"/>
  <c r="B13" i="7"/>
  <c r="B15" i="7" s="1"/>
  <c r="D9" i="7"/>
  <c r="C9" i="7"/>
  <c r="B9" i="7"/>
  <c r="B33" i="6"/>
  <c r="B34" i="6" s="1"/>
  <c r="D22" i="6"/>
  <c r="D21" i="6"/>
  <c r="D20" i="6"/>
  <c r="B28" i="6" s="1"/>
  <c r="B29" i="6" s="1"/>
  <c r="B15" i="6"/>
  <c r="B16" i="6" s="1"/>
  <c r="B10" i="6"/>
  <c r="D4" i="6"/>
  <c r="B11" i="6" s="1"/>
  <c r="D3" i="6"/>
  <c r="D2" i="6"/>
  <c r="C33" i="5"/>
  <c r="H32" i="5"/>
  <c r="E32" i="5"/>
  <c r="E33" i="5" s="1"/>
  <c r="C32" i="5"/>
  <c r="D32" i="5" s="1"/>
  <c r="E31" i="5"/>
  <c r="C31" i="5"/>
  <c r="H31" i="5" s="1"/>
  <c r="H30" i="5"/>
  <c r="E28" i="5"/>
  <c r="C28" i="5"/>
  <c r="F28" i="5" s="1"/>
  <c r="G28" i="5" s="1"/>
  <c r="N23" i="5"/>
  <c r="L23" i="5"/>
  <c r="Q23" i="5" s="1"/>
  <c r="L27" i="5" s="1"/>
  <c r="Q22" i="5"/>
  <c r="N20" i="5"/>
  <c r="Q20" i="5" s="1"/>
  <c r="L26" i="5" s="1"/>
  <c r="L20" i="5"/>
  <c r="N18" i="5"/>
  <c r="L18" i="5"/>
  <c r="C13" i="5"/>
  <c r="H12" i="5"/>
  <c r="E12" i="5"/>
  <c r="E13" i="5" s="1"/>
  <c r="C12" i="5"/>
  <c r="D12" i="5" s="1"/>
  <c r="E11" i="5"/>
  <c r="C11" i="5"/>
  <c r="H11" i="5" s="1"/>
  <c r="H10" i="5"/>
  <c r="E8" i="5"/>
  <c r="F8" i="5" s="1"/>
  <c r="G12" i="5" s="1"/>
  <c r="C8" i="5"/>
  <c r="I42" i="4"/>
  <c r="C42" i="4"/>
  <c r="I41" i="4"/>
  <c r="C41" i="4"/>
  <c r="I40" i="4"/>
  <c r="C40" i="4"/>
  <c r="C39" i="4" s="1"/>
  <c r="I37" i="4"/>
  <c r="I43" i="4" s="1"/>
  <c r="I39" i="4" s="1"/>
  <c r="I29" i="4"/>
  <c r="C29" i="4"/>
  <c r="C43" i="4" s="1"/>
  <c r="C20" i="4"/>
  <c r="C18" i="4" s="1"/>
  <c r="I19" i="4"/>
  <c r="C19" i="4"/>
  <c r="I18" i="4"/>
  <c r="I17" i="4"/>
  <c r="I14" i="4"/>
  <c r="I20" i="4" s="1"/>
  <c r="C7" i="4"/>
  <c r="C21" i="4" s="1"/>
  <c r="I6" i="4"/>
  <c r="B28" i="3"/>
  <c r="B30" i="3" s="1"/>
  <c r="B34" i="3" s="1"/>
  <c r="B42" i="3" s="1"/>
  <c r="D27" i="3"/>
  <c r="C27" i="3"/>
  <c r="C18" i="3"/>
  <c r="D18" i="3" s="1"/>
  <c r="C17" i="3"/>
  <c r="D17" i="3" s="1"/>
  <c r="C16" i="3"/>
  <c r="D16" i="3" s="1"/>
  <c r="C15" i="3"/>
  <c r="D15" i="3" s="1"/>
  <c r="C14" i="3"/>
  <c r="C13" i="3"/>
  <c r="D14" i="3" s="1"/>
  <c r="C12" i="3"/>
  <c r="C10" i="3"/>
  <c r="D10" i="3" s="1"/>
  <c r="C9" i="3"/>
  <c r="D9" i="3" s="1"/>
  <c r="C8" i="3"/>
  <c r="C6" i="3"/>
  <c r="H5" i="3"/>
  <c r="I5" i="3" s="1"/>
  <c r="B5" i="3"/>
  <c r="B7" i="3" s="1"/>
  <c r="C4" i="3"/>
  <c r="D4" i="3" s="1"/>
  <c r="F19" i="2"/>
  <c r="F18" i="2"/>
  <c r="F17" i="2"/>
  <c r="F16" i="2"/>
  <c r="F15" i="2"/>
  <c r="F14" i="2"/>
  <c r="F13" i="2"/>
  <c r="F12" i="2"/>
  <c r="D24" i="1"/>
  <c r="H20" i="1"/>
  <c r="D20" i="1"/>
  <c r="D25" i="1" s="1"/>
  <c r="H18" i="1"/>
  <c r="C18" i="1"/>
  <c r="L17" i="1"/>
  <c r="L19" i="1" s="1"/>
  <c r="D10" i="1"/>
  <c r="H4" i="1"/>
  <c r="H6" i="1" s="1"/>
  <c r="L3" i="1" s="1"/>
  <c r="L5" i="1" s="1"/>
  <c r="C4" i="1"/>
  <c r="D6" i="1" s="1"/>
  <c r="D11" i="1" s="1"/>
  <c r="O40" i="7" l="1"/>
  <c r="O42" i="7" s="1"/>
  <c r="O44" i="7" s="1"/>
  <c r="O48" i="7" s="1"/>
  <c r="O36" i="7"/>
  <c r="O37" i="7" s="1"/>
  <c r="F19" i="8"/>
  <c r="F20" i="8" s="1"/>
  <c r="C17" i="4"/>
  <c r="H36" i="7"/>
  <c r="H40" i="7"/>
  <c r="H42" i="7" s="1"/>
  <c r="H44" i="7" s="1"/>
  <c r="H48" i="7" s="1"/>
  <c r="E14" i="5"/>
  <c r="F14" i="5" s="1"/>
  <c r="C14" i="5"/>
  <c r="E35" i="5"/>
  <c r="F35" i="5" s="1"/>
  <c r="F33" i="5"/>
  <c r="E15" i="5"/>
  <c r="F15" i="5" s="1"/>
  <c r="F13" i="5"/>
  <c r="H37" i="7"/>
  <c r="C7" i="3"/>
  <c r="D7" i="3" s="1"/>
  <c r="B11" i="3"/>
  <c r="I16" i="4"/>
  <c r="K52" i="7"/>
  <c r="K54" i="7" s="1"/>
  <c r="I54" i="7"/>
  <c r="J5" i="3"/>
  <c r="G7" i="3" s="1"/>
  <c r="G11" i="3" s="1"/>
  <c r="H11" i="3" s="1"/>
  <c r="H12" i="3" s="1"/>
  <c r="E34" i="5"/>
  <c r="F34" i="5" s="1"/>
  <c r="C34" i="5"/>
  <c r="N35" i="7"/>
  <c r="N37" i="7" s="1"/>
  <c r="P37" i="7" s="1"/>
  <c r="N40" i="7"/>
  <c r="N42" i="7" s="1"/>
  <c r="N44" i="7" s="1"/>
  <c r="N48" i="7" s="1"/>
  <c r="P48" i="7" s="1"/>
  <c r="C35" i="5"/>
  <c r="R52" i="7"/>
  <c r="R54" i="7" s="1"/>
  <c r="P54" i="7"/>
  <c r="G35" i="7"/>
  <c r="G37" i="7" s="1"/>
  <c r="G40" i="7"/>
  <c r="G42" i="7" s="1"/>
  <c r="G44" i="7" s="1"/>
  <c r="G48" i="7" s="1"/>
  <c r="I48" i="7" s="1"/>
  <c r="F12" i="5"/>
  <c r="F32" i="5"/>
  <c r="D33" i="5"/>
  <c r="H13" i="5"/>
  <c r="H33" i="5"/>
  <c r="C5" i="3"/>
  <c r="D5" i="3" s="1"/>
  <c r="D13" i="5"/>
  <c r="C28" i="3"/>
  <c r="D13" i="3"/>
  <c r="H14" i="5" l="1"/>
  <c r="D14" i="5"/>
  <c r="C11" i="3"/>
  <c r="B19" i="3"/>
  <c r="C19" i="3" s="1"/>
  <c r="D19" i="3" s="1"/>
  <c r="H35" i="5"/>
  <c r="D35" i="5"/>
  <c r="I37" i="7"/>
  <c r="H34" i="5"/>
  <c r="D34" i="5"/>
  <c r="D8" i="3"/>
  <c r="D6" i="3"/>
  <c r="C29" i="3"/>
  <c r="D28" i="3"/>
  <c r="C15" i="5"/>
  <c r="D15" i="5" l="1"/>
  <c r="H15" i="5"/>
  <c r="C30" i="3"/>
  <c r="D29" i="3"/>
  <c r="D11" i="3"/>
  <c r="D12" i="3"/>
  <c r="C31" i="3" l="1"/>
  <c r="D30" i="3"/>
  <c r="C32" i="3" l="1"/>
  <c r="D31" i="3"/>
  <c r="C33" i="3" l="1"/>
  <c r="D32" i="3"/>
  <c r="D33" i="3" l="1"/>
  <c r="C34" i="3"/>
  <c r="C35" i="3" l="1"/>
  <c r="D34" i="3"/>
  <c r="C36" i="3" l="1"/>
  <c r="D35" i="3"/>
  <c r="C37" i="3" l="1"/>
  <c r="D36" i="3"/>
  <c r="D37" i="3" l="1"/>
  <c r="C38" i="3"/>
  <c r="C39" i="3" l="1"/>
  <c r="D38" i="3"/>
  <c r="D39" i="3" l="1"/>
  <c r="C40" i="3"/>
  <c r="C41" i="3" l="1"/>
  <c r="D40" i="3"/>
  <c r="C42" i="3" l="1"/>
  <c r="D42" i="3" s="1"/>
  <c r="D41" i="3"/>
</calcChain>
</file>

<file path=xl/sharedStrings.xml><?xml version="1.0" encoding="utf-8"?>
<sst xmlns="http://schemas.openxmlformats.org/spreadsheetml/2006/main" count="447" uniqueCount="176">
  <si>
    <t>Direct Materials and manufacturing costs in a period</t>
  </si>
  <si>
    <t>Cost of goods manufactured in a period</t>
  </si>
  <si>
    <t>Cost of goods sold in a period</t>
  </si>
  <si>
    <t>Beginning Inventory</t>
  </si>
  <si>
    <t>Beginning work in process inventory</t>
  </si>
  <si>
    <t>Beginning inventory of finished goods</t>
  </si>
  <si>
    <t>Purchase of direct materials</t>
  </si>
  <si>
    <t>Total manufacturing costs (+)</t>
  </si>
  <si>
    <t>Cost of goods manufactured (+)</t>
  </si>
  <si>
    <t>Cost of direct materials</t>
  </si>
  <si>
    <t>Total manufacturing costs to account for (=)</t>
  </si>
  <si>
    <t>Ending inventory of finished goods (-)</t>
  </si>
  <si>
    <t>Ending inventory</t>
  </si>
  <si>
    <t>Ending work in progress (-)</t>
  </si>
  <si>
    <t>Cost of goods sold (=)</t>
  </si>
  <si>
    <t>Direct materials used</t>
  </si>
  <si>
    <t>Cost of goods maufactured (=)</t>
  </si>
  <si>
    <t>Direct manufacturing labor cost</t>
  </si>
  <si>
    <t>Manufacturing Overhead</t>
  </si>
  <si>
    <t>Total manufacturing overhead</t>
  </si>
  <si>
    <t>Total manufacturing costs</t>
  </si>
  <si>
    <t>Linear cost function equation</t>
  </si>
  <si>
    <t>Equation</t>
  </si>
  <si>
    <t>Direct Material cost per pound</t>
  </si>
  <si>
    <t>y=1.40X</t>
  </si>
  <si>
    <t>Total fixed cost unlimited units</t>
  </si>
  <si>
    <t>y=$7000</t>
  </si>
  <si>
    <t>Auto rental per day fee and + miles dirven</t>
  </si>
  <si>
    <t>y=$70+$0.5X</t>
  </si>
  <si>
    <t>Machine opertating costs maintenance per month + coolant (per day)</t>
  </si>
  <si>
    <t>y=$1600+$17X</t>
  </si>
  <si>
    <t>Cumulative Average-Time Learning Model</t>
  </si>
  <si>
    <t>Units</t>
  </si>
  <si>
    <t>Cumulative average time</t>
  </si>
  <si>
    <t>Cumulative total time</t>
  </si>
  <si>
    <t>incremental individual unit time</t>
  </si>
  <si>
    <t>Unit</t>
  </si>
  <si>
    <t>Hours</t>
  </si>
  <si>
    <t>Incremental Unit-Time Learning Model</t>
  </si>
  <si>
    <t>Cumulative average time per unit</t>
  </si>
  <si>
    <t>Normal Costing</t>
  </si>
  <si>
    <t>Actual Costing</t>
  </si>
  <si>
    <t>Budgeted</t>
  </si>
  <si>
    <t>Manufacturing Overhead Costs</t>
  </si>
  <si>
    <t>Direct Manufacturing Labor</t>
  </si>
  <si>
    <t>hours</t>
  </si>
  <si>
    <t>Budgeted indirect cost rate</t>
  </si>
  <si>
    <t>per direct manufacturing labor hour</t>
  </si>
  <si>
    <t>Actual</t>
  </si>
  <si>
    <t>Direct Materials</t>
  </si>
  <si>
    <t>Direct Manufacturing Labor Rate</t>
  </si>
  <si>
    <t>per hour</t>
  </si>
  <si>
    <t>Manufacturing Overhead Rate</t>
  </si>
  <si>
    <t>TOTAL</t>
  </si>
  <si>
    <t>Direct Manufacturing Costs</t>
  </si>
  <si>
    <t>Kimberlee</t>
  </si>
  <si>
    <t>Simple Cost System</t>
  </si>
  <si>
    <t>ABC</t>
  </si>
  <si>
    <t>Basic</t>
  </si>
  <si>
    <t>Designer</t>
  </si>
  <si>
    <t>Direct materials x lamp</t>
  </si>
  <si>
    <t>Direct MATERIALS x lamp</t>
  </si>
  <si>
    <t>Direct manufacturing x lamp</t>
  </si>
  <si>
    <t>Direct manufacturing LABOR  x lamp</t>
  </si>
  <si>
    <t>Direct manufacturing labor rate x lamp</t>
  </si>
  <si>
    <t>Direct manufacturing LALBOR RATE x lamp</t>
  </si>
  <si>
    <t>Indirect maunfacturing costs</t>
  </si>
  <si>
    <t xml:space="preserve">Direct manufacturing </t>
  </si>
  <si>
    <t>Totals</t>
  </si>
  <si>
    <t>Total</t>
  </si>
  <si>
    <t>Lamps</t>
  </si>
  <si>
    <t>Direct materials</t>
  </si>
  <si>
    <t>Lamps per bath</t>
  </si>
  <si>
    <t>Total direct costs</t>
  </si>
  <si>
    <t>Set up per batch</t>
  </si>
  <si>
    <t>Indirect</t>
  </si>
  <si>
    <t>General manufacturing overhead</t>
  </si>
  <si>
    <t>Lamps per batch</t>
  </si>
  <si>
    <t>Set up time per batch</t>
  </si>
  <si>
    <t>Total SET UP time</t>
  </si>
  <si>
    <t>Total labor MANUF</t>
  </si>
  <si>
    <t>Budegteted indirect cost rate SET UP</t>
  </si>
  <si>
    <t>Budegteted indirect cost rate MANUF</t>
  </si>
  <si>
    <t>Selling price each window inst</t>
  </si>
  <si>
    <t>revenue</t>
  </si>
  <si>
    <t>Variable cost each window inst</t>
  </si>
  <si>
    <t>Annual fixed costs</t>
  </si>
  <si>
    <t>Windows installed</t>
  </si>
  <si>
    <t>Equiation Method</t>
  </si>
  <si>
    <t xml:space="preserve"> </t>
  </si>
  <si>
    <t>(revenue-variable costs) - Fixed Costs = Operating Income</t>
  </si>
  <si>
    <t>Operating Income</t>
  </si>
  <si>
    <t>Contribuiton Method</t>
  </si>
  <si>
    <t>(cont margin per unit x unit sold) - fixed costs = operating income</t>
  </si>
  <si>
    <t>K</t>
  </si>
  <si>
    <t>A</t>
  </si>
  <si>
    <t>Expected Sales</t>
  </si>
  <si>
    <t>Total prod</t>
  </si>
  <si>
    <t>Selling price</t>
  </si>
  <si>
    <t>Target end inv</t>
  </si>
  <si>
    <t>Direct Mat</t>
  </si>
  <si>
    <t>Beg inv</t>
  </si>
  <si>
    <t>Metal</t>
  </si>
  <si>
    <t>per pound 2016</t>
  </si>
  <si>
    <t>Fabric</t>
  </si>
  <si>
    <t>per yard 2016</t>
  </si>
  <si>
    <t>Direct Labor</t>
  </si>
  <si>
    <t>Rev Budget</t>
  </si>
  <si>
    <t>beg inv</t>
  </si>
  <si>
    <t>targ inv</t>
  </si>
  <si>
    <t>metal</t>
  </si>
  <si>
    <t>Units req</t>
  </si>
  <si>
    <t>fabric</t>
  </si>
  <si>
    <t>Dir Man Labor</t>
  </si>
  <si>
    <t>Target ending inv</t>
  </si>
  <si>
    <t>Direct mat req K</t>
  </si>
  <si>
    <t>Direct mat req A</t>
  </si>
  <si>
    <t>REV BUDGET</t>
  </si>
  <si>
    <t>Total quant mat to be used</t>
  </si>
  <si>
    <t>PROD BUDGET</t>
  </si>
  <si>
    <t>Avail Inventory FIFO</t>
  </si>
  <si>
    <t>To purchase</t>
  </si>
  <si>
    <t>Prod units</t>
  </si>
  <si>
    <t>Total cost of Dir Mat</t>
  </si>
  <si>
    <t>Units to be used</t>
  </si>
  <si>
    <t>Total req</t>
  </si>
  <si>
    <t>TP be purchased</t>
  </si>
  <si>
    <t>Cost</t>
  </si>
  <si>
    <t>Labor Cost</t>
  </si>
  <si>
    <t>Units prod</t>
  </si>
  <si>
    <t>dir man labor</t>
  </si>
  <si>
    <t>total houts</t>
  </si>
  <si>
    <t>hr wage</t>
  </si>
  <si>
    <t>total</t>
  </si>
  <si>
    <t>Setup Capacity</t>
  </si>
  <si>
    <t>Qty lamps</t>
  </si>
  <si>
    <t>lamps p batch</t>
  </si>
  <si>
    <t>setup p batch</t>
  </si>
  <si>
    <t>Number p batch</t>
  </si>
  <si>
    <t>Total setup hours</t>
  </si>
  <si>
    <t>Var cost</t>
  </si>
  <si>
    <t>Fix cost</t>
  </si>
  <si>
    <t>Var Costs</t>
  </si>
  <si>
    <t>Fix</t>
  </si>
  <si>
    <t>Total machine setup OH</t>
  </si>
  <si>
    <t>targ end inv</t>
  </si>
  <si>
    <t>p/pound</t>
  </si>
  <si>
    <t>p/yard</t>
  </si>
  <si>
    <t>DM labor</t>
  </si>
  <si>
    <t>p/hour</t>
  </si>
  <si>
    <t>Machine setup OH</t>
  </si>
  <si>
    <t xml:space="preserve">Precision Worldwide, Inc. </t>
  </si>
  <si>
    <t>Total Overhead</t>
  </si>
  <si>
    <t>Plastic Rings (100)</t>
  </si>
  <si>
    <t>Steel Rings (100)</t>
  </si>
  <si>
    <t>Material</t>
  </si>
  <si>
    <t>Variable Overhead (80% of DL)</t>
  </si>
  <si>
    <t>Total Variable Cost</t>
  </si>
  <si>
    <t>Fixed Overhead Allocation</t>
  </si>
  <si>
    <t>Total Cost</t>
  </si>
  <si>
    <t xml:space="preserve">Cost per Ring </t>
  </si>
  <si>
    <t>Selling Price</t>
  </si>
  <si>
    <t>Contribuiton Margin</t>
  </si>
  <si>
    <t>Contribuiton Margin %</t>
  </si>
  <si>
    <t>Contribuiton Margin p/ring</t>
  </si>
  <si>
    <t>Breakeven Quantity of Units</t>
  </si>
  <si>
    <t>One time sales of machinery</t>
  </si>
  <si>
    <t>18.9k to 28.9k</t>
  </si>
  <si>
    <t>70% of labor could be used to create steel rings during slack period</t>
  </si>
  <si>
    <t>Weekly Sales</t>
  </si>
  <si>
    <t>Weeks to break even</t>
  </si>
  <si>
    <t>NRE and Investment</t>
  </si>
  <si>
    <t xml:space="preserve">Equivalent Sales (Rings) </t>
  </si>
  <si>
    <t>weeks 2 NRE payoff first year</t>
  </si>
  <si>
    <t>Weeks to first year break even</t>
  </si>
  <si>
    <t>24.4k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</si>
</sst>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"/>
    <numFmt numFmtId="166" formatCode="0.0"/>
    <numFmt numFmtId="167" formatCode="#,##0.0"/>
  </numFmts>
  <fonts count="9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  <scheme val="minor"/>
    </font>
    <font>
      <b/>
      <sz val="11"/>
      <color rgb="FF222222"/>
      <name val="&quot;Google Sans&quot;"/>
    </font>
    <font>
      <b/>
      <sz val="14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0" xfId="0" applyFont="1" applyAlignment="1"/>
    <xf numFmtId="164" fontId="2" fillId="0" borderId="0" xfId="0" applyNumberFormat="1" applyFont="1"/>
    <xf numFmtId="0" fontId="2" fillId="0" borderId="0" xfId="0" applyFont="1" applyAlignment="1"/>
    <xf numFmtId="164" fontId="2" fillId="0" borderId="0" xfId="0" applyNumberFormat="1" applyFont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164" fontId="3" fillId="2" borderId="0" xfId="0" applyNumberFormat="1" applyFont="1" applyFill="1"/>
    <xf numFmtId="0" fontId="4" fillId="0" borderId="0" xfId="0" applyFont="1" applyAlignment="1"/>
    <xf numFmtId="164" fontId="4" fillId="0" borderId="0" xfId="0" applyNumberFormat="1" applyFont="1"/>
    <xf numFmtId="0" fontId="3" fillId="3" borderId="0" xfId="0" applyFont="1" applyFill="1" applyAlignment="1"/>
    <xf numFmtId="164" fontId="3" fillId="3" borderId="0" xfId="0" applyNumberFormat="1" applyFont="1" applyFill="1"/>
    <xf numFmtId="0" fontId="2" fillId="4" borderId="0" xfId="0" applyFont="1" applyFill="1" applyAlignment="1"/>
    <xf numFmtId="164" fontId="2" fillId="4" borderId="0" xfId="0" applyNumberFormat="1" applyFont="1" applyFill="1" applyAlignment="1"/>
    <xf numFmtId="0" fontId="1" fillId="0" borderId="0" xfId="0" applyFont="1"/>
    <xf numFmtId="165" fontId="2" fillId="0" borderId="0" xfId="0" applyNumberFormat="1" applyFont="1" applyAlignment="1"/>
    <xf numFmtId="0" fontId="2" fillId="0" borderId="0" xfId="0" applyFont="1"/>
    <xf numFmtId="10" fontId="2" fillId="0" borderId="0" xfId="0" applyNumberFormat="1" applyFont="1"/>
    <xf numFmtId="165" fontId="2" fillId="0" borderId="0" xfId="0" applyNumberFormat="1" applyFont="1"/>
    <xf numFmtId="0" fontId="5" fillId="0" borderId="0" xfId="0" applyFont="1" applyAlignment="1"/>
    <xf numFmtId="3" fontId="2" fillId="0" borderId="0" xfId="0" applyNumberFormat="1" applyFont="1" applyAlignment="1"/>
    <xf numFmtId="164" fontId="2" fillId="5" borderId="0" xfId="0" applyNumberFormat="1" applyFont="1" applyFill="1"/>
    <xf numFmtId="0" fontId="2" fillId="6" borderId="0" xfId="0" applyFont="1" applyFill="1" applyAlignment="1"/>
    <xf numFmtId="0" fontId="2" fillId="6" borderId="0" xfId="0" applyFont="1" applyFill="1"/>
    <xf numFmtId="164" fontId="2" fillId="6" borderId="0" xfId="0" applyNumberFormat="1" applyFont="1" applyFill="1"/>
    <xf numFmtId="0" fontId="6" fillId="0" borderId="0" xfId="0" applyFont="1" applyAlignment="1"/>
    <xf numFmtId="0" fontId="6" fillId="0" borderId="0" xfId="0" applyFont="1"/>
    <xf numFmtId="0" fontId="7" fillId="0" borderId="0" xfId="0" applyFont="1" applyAlignment="1"/>
    <xf numFmtId="164" fontId="2" fillId="5" borderId="0" xfId="0" applyNumberFormat="1" applyFont="1" applyFill="1" applyAlignment="1"/>
    <xf numFmtId="0" fontId="2" fillId="5" borderId="0" xfId="0" applyFont="1" applyFill="1" applyAlignment="1"/>
    <xf numFmtId="3" fontId="2" fillId="0" borderId="0" xfId="0" applyNumberFormat="1" applyFont="1"/>
    <xf numFmtId="0" fontId="2" fillId="5" borderId="0" xfId="0" applyFont="1" applyFill="1"/>
    <xf numFmtId="3" fontId="2" fillId="5" borderId="0" xfId="0" applyNumberFormat="1" applyFont="1" applyFill="1" applyAlignment="1"/>
    <xf numFmtId="166" fontId="2" fillId="0" borderId="0" xfId="0" applyNumberFormat="1" applyFont="1"/>
    <xf numFmtId="0" fontId="2" fillId="0" borderId="0" xfId="0" applyFont="1"/>
    <xf numFmtId="167" fontId="2" fillId="0" borderId="0" xfId="0" applyNumberFormat="1" applyFont="1" applyAlignment="1"/>
    <xf numFmtId="4" fontId="2" fillId="0" borderId="0" xfId="0" applyNumberFormat="1" applyFont="1" applyAlignment="1"/>
    <xf numFmtId="3" fontId="2" fillId="7" borderId="0" xfId="0" applyNumberFormat="1" applyFont="1" applyFill="1"/>
    <xf numFmtId="4" fontId="2" fillId="0" borderId="0" xfId="0" applyNumberFormat="1" applyFont="1"/>
    <xf numFmtId="0" fontId="8" fillId="0" borderId="0" xfId="0" applyFont="1" applyAlignment="1"/>
    <xf numFmtId="0" fontId="2" fillId="0" borderId="2" xfId="0" applyFont="1" applyBorder="1" applyAlignment="1"/>
    <xf numFmtId="164" fontId="2" fillId="0" borderId="2" xfId="0" applyNumberFormat="1" applyFont="1" applyBorder="1" applyAlignment="1"/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0" xfId="0" applyNumberFormat="1" applyFont="1" applyAlignment="1"/>
    <xf numFmtId="164" fontId="2" fillId="8" borderId="2" xfId="0" applyNumberFormat="1" applyFont="1" applyFill="1" applyBorder="1" applyAlignment="1"/>
    <xf numFmtId="0" fontId="4" fillId="0" borderId="2" xfId="0" applyFont="1" applyBorder="1" applyAlignment="1"/>
    <xf numFmtId="164" fontId="4" fillId="0" borderId="2" xfId="0" applyNumberFormat="1" applyFont="1" applyBorder="1" applyAlignment="1"/>
    <xf numFmtId="0" fontId="3" fillId="9" borderId="2" xfId="0" applyFont="1" applyFill="1" applyBorder="1" applyAlignment="1"/>
    <xf numFmtId="164" fontId="3" fillId="9" borderId="2" xfId="0" applyNumberFormat="1" applyFont="1" applyFill="1" applyBorder="1" applyAlignment="1"/>
    <xf numFmtId="164" fontId="2" fillId="0" borderId="2" xfId="0" applyNumberFormat="1" applyFont="1" applyBorder="1" applyAlignment="1"/>
    <xf numFmtId="164" fontId="4" fillId="0" borderId="2" xfId="0" applyNumberFormat="1" applyFont="1" applyBorder="1"/>
    <xf numFmtId="10" fontId="2" fillId="0" borderId="2" xfId="0" applyNumberFormat="1" applyFont="1" applyBorder="1"/>
    <xf numFmtId="164" fontId="2" fillId="0" borderId="2" xfId="0" applyNumberFormat="1" applyFont="1" applyBorder="1"/>
    <xf numFmtId="1" fontId="4" fillId="0" borderId="2" xfId="0" applyNumberFormat="1" applyFont="1" applyBorder="1"/>
    <xf numFmtId="0" fontId="2" fillId="0" borderId="0" xfId="0" applyFont="1" applyFill="1" applyBorder="1" applyAlignment="1"/>
    <xf numFmtId="0" fontId="4" fillId="0" borderId="0" xfId="0" applyFont="1" applyBorder="1" applyAlignment="1"/>
    <xf numFmtId="1" fontId="4" fillId="0" borderId="0" xfId="0" applyNumberFormat="1" applyFont="1" applyBorder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35</xdr:row>
      <xdr:rowOff>304800</xdr:rowOff>
    </xdr:to>
    <xdr:sp macro="" textlink="">
      <xdr:nvSpPr>
        <xdr:cNvPr id="10241" name="AutoShape 1" descr="Image preview">
          <a:extLst>
            <a:ext uri="{FF2B5EF4-FFF2-40B4-BE49-F238E27FC236}">
              <a16:creationId xmlns:a16="http://schemas.microsoft.com/office/drawing/2014/main" id="{FE41A1B7-25AC-95B6-B51E-A0F8057DFA84}"/>
            </a:ext>
          </a:extLst>
        </xdr:cNvPr>
        <xdr:cNvSpPr>
          <a:spLocks noChangeAspect="1" noChangeArrowheads="1"/>
        </xdr:cNvSpPr>
      </xdr:nvSpPr>
      <xdr:spPr bwMode="auto">
        <a:xfrm>
          <a:off x="10751820" y="65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304800</xdr:colOff>
      <xdr:row>34</xdr:row>
      <xdr:rowOff>304800</xdr:rowOff>
    </xdr:to>
    <xdr:sp macro="" textlink="">
      <xdr:nvSpPr>
        <xdr:cNvPr id="10242" name="AutoShape 2" descr="Image preview">
          <a:extLst>
            <a:ext uri="{FF2B5EF4-FFF2-40B4-BE49-F238E27FC236}">
              <a16:creationId xmlns:a16="http://schemas.microsoft.com/office/drawing/2014/main" id="{74A98048-437E-5C78-16C3-165BEA9D159F}"/>
            </a:ext>
          </a:extLst>
        </xdr:cNvPr>
        <xdr:cNvSpPr>
          <a:spLocks noChangeAspect="1" noChangeArrowheads="1"/>
        </xdr:cNvSpPr>
      </xdr:nvSpPr>
      <xdr:spPr bwMode="auto">
        <a:xfrm>
          <a:off x="12489180" y="612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304800</xdr:colOff>
      <xdr:row>34</xdr:row>
      <xdr:rowOff>304800</xdr:rowOff>
    </xdr:to>
    <xdr:sp macro="" textlink="">
      <xdr:nvSpPr>
        <xdr:cNvPr id="10243" name="AutoShape 3" descr="Image preview">
          <a:extLst>
            <a:ext uri="{FF2B5EF4-FFF2-40B4-BE49-F238E27FC236}">
              <a16:creationId xmlns:a16="http://schemas.microsoft.com/office/drawing/2014/main" id="{74B83FA4-F2DC-2460-F1B5-AD37E93721D5}"/>
            </a:ext>
          </a:extLst>
        </xdr:cNvPr>
        <xdr:cNvSpPr>
          <a:spLocks noChangeAspect="1" noChangeArrowheads="1"/>
        </xdr:cNvSpPr>
      </xdr:nvSpPr>
      <xdr:spPr bwMode="auto">
        <a:xfrm>
          <a:off x="12489180" y="612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137160</xdr:rowOff>
    </xdr:to>
    <xdr:sp macro="" textlink="">
      <xdr:nvSpPr>
        <xdr:cNvPr id="11265" name="AutoShape 1" descr="Image preview">
          <a:extLst>
            <a:ext uri="{FF2B5EF4-FFF2-40B4-BE49-F238E27FC236}">
              <a16:creationId xmlns:a16="http://schemas.microsoft.com/office/drawing/2014/main" id="{F3132CAD-1789-9DC2-D389-DA34C61E63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0"/>
  <sheetViews>
    <sheetView topLeftCell="L1" workbookViewId="0">
      <selection activeCell="C11" sqref="C11"/>
    </sheetView>
  </sheetViews>
  <sheetFormatPr defaultColWidth="12.6640625" defaultRowHeight="15.75" customHeight="1"/>
  <cols>
    <col min="1" max="1" width="5" customWidth="1"/>
    <col min="2" max="2" width="28.109375" customWidth="1"/>
    <col min="5" max="5" width="4.88671875" customWidth="1"/>
    <col min="6" max="6" width="3" customWidth="1"/>
    <col min="7" max="7" width="40" customWidth="1"/>
    <col min="9" max="9" width="6.21875" customWidth="1"/>
    <col min="10" max="10" width="4.21875" customWidth="1"/>
    <col min="11" max="11" width="31.21875" customWidth="1"/>
  </cols>
  <sheetData>
    <row r="1" spans="1:12" ht="13.8">
      <c r="A1" s="1" t="s">
        <v>0</v>
      </c>
      <c r="C1" s="2"/>
      <c r="F1" s="1" t="s">
        <v>1</v>
      </c>
      <c r="H1" s="2"/>
      <c r="J1" s="1" t="s">
        <v>2</v>
      </c>
      <c r="L1" s="2"/>
    </row>
    <row r="2" spans="1:12" ht="13.2">
      <c r="B2" s="3" t="s">
        <v>3</v>
      </c>
      <c r="C2" s="4">
        <v>12000</v>
      </c>
      <c r="G2" s="3" t="s">
        <v>4</v>
      </c>
      <c r="H2" s="4">
        <v>6000</v>
      </c>
      <c r="K2" s="3" t="s">
        <v>5</v>
      </c>
      <c r="L2" s="4">
        <v>22000</v>
      </c>
    </row>
    <row r="3" spans="1:12" ht="13.2">
      <c r="B3" s="5" t="s">
        <v>6</v>
      </c>
      <c r="C3" s="6">
        <v>85000</v>
      </c>
      <c r="G3" s="5" t="s">
        <v>7</v>
      </c>
      <c r="H3" s="6">
        <v>105000</v>
      </c>
      <c r="K3" s="3" t="s">
        <v>8</v>
      </c>
      <c r="L3" s="7">
        <f>H6</f>
        <v>104000</v>
      </c>
    </row>
    <row r="4" spans="1:12" ht="13.2">
      <c r="B4" s="8" t="s">
        <v>9</v>
      </c>
      <c r="C4" s="9">
        <f>C2+C3</f>
        <v>97000</v>
      </c>
      <c r="G4" s="8" t="s">
        <v>10</v>
      </c>
      <c r="H4" s="9">
        <f>H2+H3</f>
        <v>111000</v>
      </c>
      <c r="K4" s="5" t="s">
        <v>11</v>
      </c>
      <c r="L4" s="6">
        <v>18000</v>
      </c>
    </row>
    <row r="5" spans="1:12" ht="13.2">
      <c r="B5" s="5" t="s">
        <v>12</v>
      </c>
      <c r="C5" s="6">
        <v>7000</v>
      </c>
      <c r="G5" s="5" t="s">
        <v>13</v>
      </c>
      <c r="H5" s="6">
        <v>7000</v>
      </c>
      <c r="K5" s="10" t="s">
        <v>14</v>
      </c>
      <c r="L5" s="11">
        <f>L2+L3-L4</f>
        <v>108000</v>
      </c>
    </row>
    <row r="6" spans="1:12" ht="13.2">
      <c r="B6" s="8" t="s">
        <v>15</v>
      </c>
      <c r="C6" s="9"/>
      <c r="D6" s="9">
        <f>C4-C5</f>
        <v>90000</v>
      </c>
      <c r="G6" s="10" t="s">
        <v>16</v>
      </c>
      <c r="H6" s="7">
        <f>H4-H5</f>
        <v>104000</v>
      </c>
      <c r="L6" s="4"/>
    </row>
    <row r="7" spans="1:12" ht="7.5" customHeight="1">
      <c r="B7" s="12"/>
      <c r="C7" s="13"/>
      <c r="H7" s="2"/>
      <c r="L7" s="2"/>
    </row>
    <row r="8" spans="1:12" ht="13.2">
      <c r="B8" s="3" t="s">
        <v>17</v>
      </c>
      <c r="C8" s="4">
        <v>30000</v>
      </c>
      <c r="H8" s="2"/>
      <c r="L8" s="2"/>
    </row>
    <row r="9" spans="1:12" ht="13.2">
      <c r="B9" s="5" t="s">
        <v>18</v>
      </c>
      <c r="C9" s="6">
        <v>40000</v>
      </c>
      <c r="H9" s="2"/>
      <c r="L9" s="2"/>
    </row>
    <row r="10" spans="1:12" ht="13.2">
      <c r="B10" s="8" t="s">
        <v>19</v>
      </c>
      <c r="C10" s="9"/>
      <c r="D10" s="9">
        <f>C8+C9</f>
        <v>70000</v>
      </c>
      <c r="H10" s="2"/>
      <c r="L10" s="2"/>
    </row>
    <row r="11" spans="1:12" ht="13.2">
      <c r="B11" s="10" t="s">
        <v>20</v>
      </c>
      <c r="C11" s="11"/>
      <c r="D11" s="11">
        <f>D6+D10</f>
        <v>160000</v>
      </c>
      <c r="H11" s="2"/>
      <c r="L11" s="2"/>
    </row>
    <row r="12" spans="1:12" ht="13.2">
      <c r="C12" s="2"/>
      <c r="H12" s="2"/>
      <c r="L12" s="2"/>
    </row>
    <row r="13" spans="1:12" ht="13.2">
      <c r="C13" s="2"/>
      <c r="H13" s="2"/>
      <c r="L13" s="2"/>
    </row>
    <row r="14" spans="1:12" ht="13.2">
      <c r="C14" s="2"/>
      <c r="H14" s="2"/>
      <c r="L14" s="2"/>
    </row>
    <row r="15" spans="1:12" ht="13.2">
      <c r="A15" s="3" t="s">
        <v>0</v>
      </c>
      <c r="C15" s="2"/>
      <c r="F15" s="3" t="s">
        <v>1</v>
      </c>
      <c r="H15" s="2"/>
      <c r="J15" s="3" t="s">
        <v>2</v>
      </c>
      <c r="L15" s="2"/>
    </row>
    <row r="16" spans="1:12" ht="13.2">
      <c r="B16" s="3" t="s">
        <v>3</v>
      </c>
      <c r="C16" s="4"/>
      <c r="G16" s="3" t="s">
        <v>4</v>
      </c>
      <c r="H16" s="4">
        <v>8000</v>
      </c>
      <c r="K16" s="3" t="s">
        <v>5</v>
      </c>
      <c r="L16" s="4">
        <v>10000</v>
      </c>
    </row>
    <row r="17" spans="2:12" ht="13.2">
      <c r="B17" s="5" t="s">
        <v>6</v>
      </c>
      <c r="C17" s="6"/>
      <c r="G17" s="5" t="s">
        <v>7</v>
      </c>
      <c r="H17" s="6">
        <v>156000</v>
      </c>
      <c r="K17" s="3" t="s">
        <v>8</v>
      </c>
      <c r="L17" s="7">
        <f>H20</f>
        <v>153000</v>
      </c>
    </row>
    <row r="18" spans="2:12" ht="13.2">
      <c r="B18" s="8" t="s">
        <v>9</v>
      </c>
      <c r="C18" s="9">
        <f>C16+C17</f>
        <v>0</v>
      </c>
      <c r="G18" s="8" t="s">
        <v>10</v>
      </c>
      <c r="H18" s="9">
        <f>H16+H17</f>
        <v>164000</v>
      </c>
      <c r="K18" s="5" t="s">
        <v>11</v>
      </c>
      <c r="L18" s="6">
        <v>22000</v>
      </c>
    </row>
    <row r="19" spans="2:12" ht="13.2">
      <c r="B19" s="5" t="s">
        <v>12</v>
      </c>
      <c r="C19" s="6"/>
      <c r="G19" s="5" t="s">
        <v>13</v>
      </c>
      <c r="H19" s="6">
        <v>11000</v>
      </c>
      <c r="K19" s="10" t="s">
        <v>14</v>
      </c>
      <c r="L19" s="11">
        <f>L16+L17-L18</f>
        <v>141000</v>
      </c>
    </row>
    <row r="20" spans="2:12" ht="13.2">
      <c r="B20" s="8" t="s">
        <v>15</v>
      </c>
      <c r="C20" s="9"/>
      <c r="D20" s="9">
        <f>C18-C19</f>
        <v>0</v>
      </c>
      <c r="G20" s="10" t="s">
        <v>16</v>
      </c>
      <c r="H20" s="7">
        <f>H18-H19</f>
        <v>153000</v>
      </c>
      <c r="L20" s="4"/>
    </row>
    <row r="21" spans="2:12" ht="7.5" customHeight="1">
      <c r="B21" s="12"/>
      <c r="C21" s="13"/>
      <c r="H21" s="2"/>
      <c r="L21" s="2"/>
    </row>
    <row r="22" spans="2:12" ht="13.2">
      <c r="B22" s="3" t="s">
        <v>17</v>
      </c>
      <c r="C22" s="4"/>
      <c r="H22" s="2"/>
      <c r="L22" s="2"/>
    </row>
    <row r="23" spans="2:12" ht="13.2">
      <c r="B23" s="5" t="s">
        <v>18</v>
      </c>
      <c r="C23" s="6"/>
      <c r="H23" s="2"/>
      <c r="L23" s="2"/>
    </row>
    <row r="24" spans="2:12" ht="13.2">
      <c r="B24" s="8" t="s">
        <v>19</v>
      </c>
      <c r="C24" s="9"/>
      <c r="D24" s="9">
        <f>C22+C23</f>
        <v>0</v>
      </c>
      <c r="H24" s="2"/>
      <c r="L24" s="2"/>
    </row>
    <row r="25" spans="2:12" ht="13.2">
      <c r="B25" s="10" t="s">
        <v>20</v>
      </c>
      <c r="C25" s="11"/>
      <c r="D25" s="11">
        <f>D20+D24</f>
        <v>0</v>
      </c>
      <c r="H25" s="2"/>
      <c r="L25" s="2"/>
    </row>
    <row r="26" spans="2:12" ht="13.2">
      <c r="C26" s="2"/>
      <c r="H26" s="2"/>
      <c r="L26" s="2"/>
    </row>
    <row r="27" spans="2:12" ht="13.2">
      <c r="C27" s="2"/>
      <c r="H27" s="2"/>
      <c r="L27" s="2"/>
    </row>
    <row r="28" spans="2:12" ht="13.2">
      <c r="C28" s="2"/>
      <c r="H28" s="2"/>
      <c r="L28" s="2"/>
    </row>
    <row r="29" spans="2:12" ht="13.2">
      <c r="C29" s="2"/>
      <c r="H29" s="2"/>
      <c r="L29" s="2"/>
    </row>
    <row r="30" spans="2:12" ht="13.2">
      <c r="C30" s="2"/>
      <c r="H30" s="2"/>
      <c r="L30" s="2"/>
    </row>
    <row r="31" spans="2:12" ht="13.2">
      <c r="C31" s="4"/>
      <c r="H31" s="2"/>
      <c r="L31" s="2"/>
    </row>
    <row r="32" spans="2:12" ht="13.2">
      <c r="C32" s="4"/>
      <c r="H32" s="2"/>
      <c r="L32" s="2"/>
    </row>
    <row r="33" spans="3:12" ht="13.2">
      <c r="C33" s="4"/>
      <c r="D33" s="4"/>
      <c r="H33" s="2"/>
      <c r="L33" s="2"/>
    </row>
    <row r="34" spans="3:12" ht="13.2">
      <c r="C34" s="2"/>
      <c r="H34" s="2"/>
      <c r="L34" s="2"/>
    </row>
    <row r="35" spans="3:12" ht="13.2">
      <c r="C35" s="2"/>
      <c r="H35" s="2"/>
      <c r="L35" s="2"/>
    </row>
    <row r="36" spans="3:12" ht="13.2">
      <c r="C36" s="2"/>
      <c r="H36" s="2"/>
      <c r="L36" s="2"/>
    </row>
    <row r="37" spans="3:12" ht="13.2">
      <c r="C37" s="2"/>
      <c r="H37" s="2"/>
      <c r="L37" s="2"/>
    </row>
    <row r="38" spans="3:12" ht="13.2">
      <c r="C38" s="2"/>
      <c r="H38" s="2"/>
      <c r="L38" s="2"/>
    </row>
    <row r="39" spans="3:12" ht="13.2">
      <c r="C39" s="2"/>
      <c r="H39" s="2"/>
      <c r="L39" s="2"/>
    </row>
    <row r="40" spans="3:12" ht="13.2">
      <c r="C40" s="2"/>
      <c r="H40" s="2"/>
      <c r="L40" s="2"/>
    </row>
    <row r="41" spans="3:12" ht="13.2">
      <c r="C41" s="2"/>
      <c r="H41" s="2"/>
      <c r="L41" s="2"/>
    </row>
    <row r="42" spans="3:12" ht="13.2">
      <c r="C42" s="2"/>
      <c r="H42" s="2"/>
      <c r="L42" s="2"/>
    </row>
    <row r="43" spans="3:12" ht="13.2">
      <c r="C43" s="2"/>
      <c r="H43" s="2"/>
      <c r="L43" s="2"/>
    </row>
    <row r="44" spans="3:12" ht="13.2">
      <c r="C44" s="2"/>
      <c r="H44" s="2"/>
      <c r="L44" s="2"/>
    </row>
    <row r="45" spans="3:12" ht="13.2">
      <c r="C45" s="2"/>
      <c r="H45" s="2"/>
      <c r="L45" s="2"/>
    </row>
    <row r="46" spans="3:12" ht="13.2">
      <c r="C46" s="2"/>
      <c r="H46" s="2"/>
      <c r="L46" s="2"/>
    </row>
    <row r="47" spans="3:12" ht="13.2">
      <c r="C47" s="2"/>
      <c r="H47" s="2"/>
      <c r="L47" s="2"/>
    </row>
    <row r="48" spans="3:12" ht="13.2">
      <c r="C48" s="2"/>
      <c r="H48" s="2"/>
      <c r="L48" s="2"/>
    </row>
    <row r="49" spans="3:12" ht="13.2">
      <c r="C49" s="2"/>
      <c r="H49" s="2"/>
      <c r="L49" s="2"/>
    </row>
    <row r="50" spans="3:12" ht="13.2">
      <c r="C50" s="2"/>
      <c r="H50" s="2"/>
      <c r="L50" s="2"/>
    </row>
    <row r="51" spans="3:12" ht="13.2">
      <c r="C51" s="2"/>
      <c r="H51" s="2"/>
      <c r="L51" s="2"/>
    </row>
    <row r="52" spans="3:12" ht="13.2">
      <c r="C52" s="2"/>
      <c r="H52" s="2"/>
      <c r="L52" s="2"/>
    </row>
    <row r="53" spans="3:12" ht="13.2">
      <c r="C53" s="2"/>
      <c r="H53" s="2"/>
      <c r="L53" s="2"/>
    </row>
    <row r="54" spans="3:12" ht="13.2">
      <c r="C54" s="2"/>
      <c r="H54" s="2"/>
      <c r="L54" s="2"/>
    </row>
    <row r="55" spans="3:12" ht="13.2">
      <c r="C55" s="2"/>
      <c r="H55" s="2"/>
      <c r="L55" s="2"/>
    </row>
    <row r="56" spans="3:12" ht="13.2">
      <c r="C56" s="2"/>
      <c r="H56" s="2"/>
      <c r="L56" s="2"/>
    </row>
    <row r="57" spans="3:12" ht="13.2">
      <c r="C57" s="2"/>
      <c r="H57" s="2"/>
      <c r="L57" s="2"/>
    </row>
    <row r="58" spans="3:12" ht="13.2">
      <c r="C58" s="2"/>
      <c r="H58" s="2"/>
      <c r="L58" s="2"/>
    </row>
    <row r="59" spans="3:12" ht="13.2">
      <c r="C59" s="2"/>
      <c r="H59" s="2"/>
      <c r="L59" s="2"/>
    </row>
    <row r="60" spans="3:12" ht="13.2">
      <c r="C60" s="2"/>
      <c r="H60" s="2"/>
      <c r="L60" s="2"/>
    </row>
    <row r="61" spans="3:12" ht="13.2">
      <c r="C61" s="2"/>
      <c r="H61" s="2"/>
      <c r="L61" s="2"/>
    </row>
    <row r="62" spans="3:12" ht="13.2">
      <c r="C62" s="2"/>
      <c r="H62" s="2"/>
      <c r="L62" s="2"/>
    </row>
    <row r="63" spans="3:12" ht="13.2">
      <c r="C63" s="2"/>
      <c r="H63" s="2"/>
      <c r="L63" s="2"/>
    </row>
    <row r="64" spans="3:12" ht="13.2">
      <c r="C64" s="2"/>
      <c r="H64" s="2"/>
      <c r="L64" s="2"/>
    </row>
    <row r="65" spans="3:12" ht="13.2">
      <c r="C65" s="2"/>
      <c r="H65" s="2"/>
      <c r="L65" s="2"/>
    </row>
    <row r="66" spans="3:12" ht="13.2">
      <c r="C66" s="2"/>
      <c r="H66" s="2"/>
      <c r="L66" s="2"/>
    </row>
    <row r="67" spans="3:12" ht="13.2">
      <c r="C67" s="2"/>
      <c r="H67" s="2"/>
      <c r="L67" s="2"/>
    </row>
    <row r="68" spans="3:12" ht="13.2">
      <c r="C68" s="2"/>
      <c r="H68" s="2"/>
      <c r="L68" s="2"/>
    </row>
    <row r="69" spans="3:12" ht="13.2">
      <c r="C69" s="2"/>
      <c r="H69" s="2"/>
      <c r="L69" s="2"/>
    </row>
    <row r="70" spans="3:12" ht="13.2">
      <c r="C70" s="2"/>
      <c r="H70" s="2"/>
      <c r="L70" s="2"/>
    </row>
    <row r="71" spans="3:12" ht="13.2">
      <c r="C71" s="2"/>
      <c r="H71" s="2"/>
      <c r="L71" s="2"/>
    </row>
    <row r="72" spans="3:12" ht="13.2">
      <c r="C72" s="2"/>
      <c r="H72" s="2"/>
      <c r="L72" s="2"/>
    </row>
    <row r="73" spans="3:12" ht="13.2">
      <c r="C73" s="2"/>
      <c r="H73" s="2"/>
      <c r="L73" s="2"/>
    </row>
    <row r="74" spans="3:12" ht="13.2">
      <c r="C74" s="2"/>
      <c r="H74" s="2"/>
      <c r="L74" s="2"/>
    </row>
    <row r="75" spans="3:12" ht="13.2">
      <c r="C75" s="2"/>
      <c r="H75" s="2"/>
      <c r="L75" s="2"/>
    </row>
    <row r="76" spans="3:12" ht="13.2">
      <c r="C76" s="2"/>
      <c r="H76" s="2"/>
      <c r="L76" s="2"/>
    </row>
    <row r="77" spans="3:12" ht="13.2">
      <c r="C77" s="2"/>
      <c r="H77" s="2"/>
      <c r="L77" s="2"/>
    </row>
    <row r="78" spans="3:12" ht="13.2">
      <c r="C78" s="2"/>
      <c r="H78" s="2"/>
      <c r="L78" s="2"/>
    </row>
    <row r="79" spans="3:12" ht="13.2">
      <c r="C79" s="2"/>
      <c r="H79" s="2"/>
      <c r="L79" s="2"/>
    </row>
    <row r="80" spans="3:12" ht="13.2">
      <c r="C80" s="2"/>
      <c r="H80" s="2"/>
      <c r="L80" s="2"/>
    </row>
    <row r="81" spans="3:12" ht="13.2">
      <c r="C81" s="2"/>
      <c r="H81" s="2"/>
      <c r="L81" s="2"/>
    </row>
    <row r="82" spans="3:12" ht="13.2">
      <c r="C82" s="2"/>
      <c r="H82" s="2"/>
      <c r="L82" s="2"/>
    </row>
    <row r="83" spans="3:12" ht="13.2">
      <c r="C83" s="2"/>
      <c r="H83" s="2"/>
      <c r="L83" s="2"/>
    </row>
    <row r="84" spans="3:12" ht="13.2">
      <c r="C84" s="2"/>
      <c r="H84" s="2"/>
      <c r="L84" s="2"/>
    </row>
    <row r="85" spans="3:12" ht="13.2">
      <c r="C85" s="2"/>
      <c r="H85" s="2"/>
      <c r="L85" s="2"/>
    </row>
    <row r="86" spans="3:12" ht="13.2">
      <c r="C86" s="2"/>
      <c r="H86" s="2"/>
      <c r="L86" s="2"/>
    </row>
    <row r="87" spans="3:12" ht="13.2">
      <c r="C87" s="2"/>
      <c r="H87" s="2"/>
      <c r="L87" s="2"/>
    </row>
    <row r="88" spans="3:12" ht="13.2">
      <c r="C88" s="2"/>
      <c r="H88" s="2"/>
      <c r="L88" s="2"/>
    </row>
    <row r="89" spans="3:12" ht="13.2">
      <c r="C89" s="2"/>
      <c r="H89" s="2"/>
      <c r="L89" s="2"/>
    </row>
    <row r="90" spans="3:12" ht="13.2">
      <c r="C90" s="2"/>
      <c r="H90" s="2"/>
      <c r="L90" s="2"/>
    </row>
    <row r="91" spans="3:12" ht="13.2">
      <c r="C91" s="2"/>
      <c r="H91" s="2"/>
      <c r="L91" s="2"/>
    </row>
    <row r="92" spans="3:12" ht="13.2">
      <c r="C92" s="2"/>
      <c r="H92" s="2"/>
      <c r="L92" s="2"/>
    </row>
    <row r="93" spans="3:12" ht="13.2">
      <c r="C93" s="2"/>
      <c r="H93" s="2"/>
      <c r="L93" s="2"/>
    </row>
    <row r="94" spans="3:12" ht="13.2">
      <c r="C94" s="2"/>
      <c r="H94" s="2"/>
      <c r="L94" s="2"/>
    </row>
    <row r="95" spans="3:12" ht="13.2">
      <c r="C95" s="2"/>
      <c r="H95" s="2"/>
      <c r="L95" s="2"/>
    </row>
    <row r="96" spans="3:12" ht="13.2">
      <c r="C96" s="2"/>
      <c r="H96" s="2"/>
      <c r="L96" s="2"/>
    </row>
    <row r="97" spans="3:12" ht="13.2">
      <c r="C97" s="2"/>
      <c r="H97" s="2"/>
      <c r="L97" s="2"/>
    </row>
    <row r="98" spans="3:12" ht="13.2">
      <c r="C98" s="2"/>
      <c r="H98" s="2"/>
      <c r="L98" s="2"/>
    </row>
    <row r="99" spans="3:12" ht="13.2">
      <c r="C99" s="2"/>
      <c r="H99" s="2"/>
      <c r="L99" s="2"/>
    </row>
    <row r="100" spans="3:12" ht="13.2">
      <c r="C100" s="2"/>
      <c r="H100" s="2"/>
      <c r="L100" s="2"/>
    </row>
    <row r="101" spans="3:12" ht="13.2">
      <c r="C101" s="2"/>
      <c r="H101" s="2"/>
      <c r="L101" s="2"/>
    </row>
    <row r="102" spans="3:12" ht="13.2">
      <c r="C102" s="2"/>
      <c r="H102" s="2"/>
      <c r="L102" s="2"/>
    </row>
    <row r="103" spans="3:12" ht="13.2">
      <c r="C103" s="2"/>
      <c r="H103" s="2"/>
      <c r="L103" s="2"/>
    </row>
    <row r="104" spans="3:12" ht="13.2">
      <c r="C104" s="2"/>
      <c r="H104" s="2"/>
      <c r="L104" s="2"/>
    </row>
    <row r="105" spans="3:12" ht="13.2">
      <c r="C105" s="2"/>
      <c r="H105" s="2"/>
      <c r="L105" s="2"/>
    </row>
    <row r="106" spans="3:12" ht="13.2">
      <c r="C106" s="2"/>
      <c r="H106" s="2"/>
      <c r="L106" s="2"/>
    </row>
    <row r="107" spans="3:12" ht="13.2">
      <c r="C107" s="2"/>
      <c r="H107" s="2"/>
      <c r="L107" s="2"/>
    </row>
    <row r="108" spans="3:12" ht="13.2">
      <c r="C108" s="2"/>
      <c r="H108" s="2"/>
      <c r="L108" s="2"/>
    </row>
    <row r="109" spans="3:12" ht="13.2">
      <c r="C109" s="2"/>
      <c r="H109" s="2"/>
      <c r="L109" s="2"/>
    </row>
    <row r="110" spans="3:12" ht="13.2">
      <c r="C110" s="2"/>
      <c r="H110" s="2"/>
      <c r="L110" s="2"/>
    </row>
    <row r="111" spans="3:12" ht="13.2">
      <c r="C111" s="2"/>
      <c r="H111" s="2"/>
      <c r="L111" s="2"/>
    </row>
    <row r="112" spans="3:12" ht="13.2">
      <c r="C112" s="2"/>
      <c r="H112" s="2"/>
      <c r="L112" s="2"/>
    </row>
    <row r="113" spans="3:12" ht="13.2">
      <c r="C113" s="2"/>
      <c r="H113" s="2"/>
      <c r="L113" s="2"/>
    </row>
    <row r="114" spans="3:12" ht="13.2">
      <c r="C114" s="2"/>
      <c r="H114" s="2"/>
      <c r="L114" s="2"/>
    </row>
    <row r="115" spans="3:12" ht="13.2">
      <c r="C115" s="2"/>
      <c r="H115" s="2"/>
      <c r="L115" s="2"/>
    </row>
    <row r="116" spans="3:12" ht="13.2">
      <c r="C116" s="2"/>
      <c r="H116" s="2"/>
      <c r="L116" s="2"/>
    </row>
    <row r="117" spans="3:12" ht="13.2">
      <c r="C117" s="2"/>
      <c r="H117" s="2"/>
      <c r="L117" s="2"/>
    </row>
    <row r="118" spans="3:12" ht="13.2">
      <c r="C118" s="2"/>
      <c r="H118" s="2"/>
      <c r="L118" s="2"/>
    </row>
    <row r="119" spans="3:12" ht="13.2">
      <c r="C119" s="2"/>
      <c r="H119" s="2"/>
      <c r="L119" s="2"/>
    </row>
    <row r="120" spans="3:12" ht="13.2">
      <c r="C120" s="2"/>
      <c r="H120" s="2"/>
      <c r="L120" s="2"/>
    </row>
    <row r="121" spans="3:12" ht="13.2">
      <c r="C121" s="2"/>
      <c r="H121" s="2"/>
      <c r="L121" s="2"/>
    </row>
    <row r="122" spans="3:12" ht="13.2">
      <c r="C122" s="2"/>
      <c r="H122" s="2"/>
      <c r="L122" s="2"/>
    </row>
    <row r="123" spans="3:12" ht="13.2">
      <c r="C123" s="2"/>
      <c r="H123" s="2"/>
      <c r="L123" s="2"/>
    </row>
    <row r="124" spans="3:12" ht="13.2">
      <c r="C124" s="2"/>
      <c r="H124" s="2"/>
      <c r="L124" s="2"/>
    </row>
    <row r="125" spans="3:12" ht="13.2">
      <c r="C125" s="2"/>
      <c r="H125" s="2"/>
      <c r="L125" s="2"/>
    </row>
    <row r="126" spans="3:12" ht="13.2">
      <c r="C126" s="2"/>
      <c r="H126" s="2"/>
      <c r="L126" s="2"/>
    </row>
    <row r="127" spans="3:12" ht="13.2">
      <c r="C127" s="2"/>
      <c r="H127" s="2"/>
      <c r="L127" s="2"/>
    </row>
    <row r="128" spans="3:12" ht="13.2">
      <c r="C128" s="2"/>
      <c r="H128" s="2"/>
      <c r="L128" s="2"/>
    </row>
    <row r="129" spans="3:12" ht="13.2">
      <c r="C129" s="2"/>
      <c r="H129" s="2"/>
      <c r="L129" s="2"/>
    </row>
    <row r="130" spans="3:12" ht="13.2">
      <c r="C130" s="2"/>
      <c r="H130" s="2"/>
      <c r="L130" s="2"/>
    </row>
    <row r="131" spans="3:12" ht="13.2">
      <c r="C131" s="2"/>
      <c r="H131" s="2"/>
      <c r="L131" s="2"/>
    </row>
    <row r="132" spans="3:12" ht="13.2">
      <c r="C132" s="2"/>
      <c r="H132" s="2"/>
      <c r="L132" s="2"/>
    </row>
    <row r="133" spans="3:12" ht="13.2">
      <c r="C133" s="2"/>
      <c r="H133" s="2"/>
      <c r="L133" s="2"/>
    </row>
    <row r="134" spans="3:12" ht="13.2">
      <c r="C134" s="2"/>
      <c r="H134" s="2"/>
      <c r="L134" s="2"/>
    </row>
    <row r="135" spans="3:12" ht="13.2">
      <c r="C135" s="2"/>
      <c r="H135" s="2"/>
      <c r="L135" s="2"/>
    </row>
    <row r="136" spans="3:12" ht="13.2">
      <c r="C136" s="2"/>
      <c r="H136" s="2"/>
      <c r="L136" s="2"/>
    </row>
    <row r="137" spans="3:12" ht="13.2">
      <c r="C137" s="2"/>
      <c r="H137" s="2"/>
      <c r="L137" s="2"/>
    </row>
    <row r="138" spans="3:12" ht="13.2">
      <c r="C138" s="2"/>
      <c r="H138" s="2"/>
      <c r="L138" s="2"/>
    </row>
    <row r="139" spans="3:12" ht="13.2">
      <c r="C139" s="2"/>
      <c r="H139" s="2"/>
      <c r="L139" s="2"/>
    </row>
    <row r="140" spans="3:12" ht="13.2">
      <c r="C140" s="2"/>
      <c r="H140" s="2"/>
      <c r="L140" s="2"/>
    </row>
    <row r="141" spans="3:12" ht="13.2">
      <c r="C141" s="2"/>
      <c r="H141" s="2"/>
      <c r="L141" s="2"/>
    </row>
    <row r="142" spans="3:12" ht="13.2">
      <c r="C142" s="2"/>
      <c r="H142" s="2"/>
      <c r="L142" s="2"/>
    </row>
    <row r="143" spans="3:12" ht="13.2">
      <c r="C143" s="2"/>
      <c r="H143" s="2"/>
      <c r="L143" s="2"/>
    </row>
    <row r="144" spans="3:12" ht="13.2">
      <c r="C144" s="2"/>
      <c r="H144" s="2"/>
      <c r="L144" s="2"/>
    </row>
    <row r="145" spans="3:12" ht="13.2">
      <c r="C145" s="2"/>
      <c r="H145" s="2"/>
      <c r="L145" s="2"/>
    </row>
    <row r="146" spans="3:12" ht="13.2">
      <c r="C146" s="2"/>
      <c r="H146" s="2"/>
      <c r="L146" s="2"/>
    </row>
    <row r="147" spans="3:12" ht="13.2">
      <c r="C147" s="2"/>
      <c r="H147" s="2"/>
      <c r="L147" s="2"/>
    </row>
    <row r="148" spans="3:12" ht="13.2">
      <c r="C148" s="2"/>
      <c r="H148" s="2"/>
      <c r="L148" s="2"/>
    </row>
    <row r="149" spans="3:12" ht="13.2">
      <c r="C149" s="2"/>
      <c r="H149" s="2"/>
      <c r="L149" s="2"/>
    </row>
    <row r="150" spans="3:12" ht="13.2">
      <c r="C150" s="2"/>
      <c r="H150" s="2"/>
      <c r="L150" s="2"/>
    </row>
    <row r="151" spans="3:12" ht="13.2">
      <c r="C151" s="2"/>
      <c r="H151" s="2"/>
      <c r="L151" s="2"/>
    </row>
    <row r="152" spans="3:12" ht="13.2">
      <c r="C152" s="2"/>
      <c r="H152" s="2"/>
      <c r="L152" s="2"/>
    </row>
    <row r="153" spans="3:12" ht="13.2">
      <c r="C153" s="2"/>
      <c r="H153" s="2"/>
      <c r="L153" s="2"/>
    </row>
    <row r="154" spans="3:12" ht="13.2">
      <c r="C154" s="2"/>
      <c r="H154" s="2"/>
      <c r="L154" s="2"/>
    </row>
    <row r="155" spans="3:12" ht="13.2">
      <c r="C155" s="2"/>
      <c r="H155" s="2"/>
      <c r="L155" s="2"/>
    </row>
    <row r="156" spans="3:12" ht="13.2">
      <c r="C156" s="2"/>
      <c r="H156" s="2"/>
      <c r="L156" s="2"/>
    </row>
    <row r="157" spans="3:12" ht="13.2">
      <c r="C157" s="2"/>
      <c r="H157" s="2"/>
      <c r="L157" s="2"/>
    </row>
    <row r="158" spans="3:12" ht="13.2">
      <c r="C158" s="2"/>
      <c r="H158" s="2"/>
      <c r="L158" s="2"/>
    </row>
    <row r="159" spans="3:12" ht="13.2">
      <c r="C159" s="2"/>
      <c r="H159" s="2"/>
      <c r="L159" s="2"/>
    </row>
    <row r="160" spans="3:12" ht="13.2">
      <c r="C160" s="2"/>
      <c r="H160" s="2"/>
      <c r="L160" s="2"/>
    </row>
    <row r="161" spans="3:12" ht="13.2">
      <c r="C161" s="2"/>
      <c r="H161" s="2"/>
      <c r="L161" s="2"/>
    </row>
    <row r="162" spans="3:12" ht="13.2">
      <c r="C162" s="2"/>
      <c r="H162" s="2"/>
      <c r="L162" s="2"/>
    </row>
    <row r="163" spans="3:12" ht="13.2">
      <c r="C163" s="2"/>
      <c r="H163" s="2"/>
      <c r="L163" s="2"/>
    </row>
    <row r="164" spans="3:12" ht="13.2">
      <c r="C164" s="2"/>
      <c r="H164" s="2"/>
      <c r="L164" s="2"/>
    </row>
    <row r="165" spans="3:12" ht="13.2">
      <c r="C165" s="2"/>
      <c r="H165" s="2"/>
      <c r="L165" s="2"/>
    </row>
    <row r="166" spans="3:12" ht="13.2">
      <c r="C166" s="2"/>
      <c r="H166" s="2"/>
      <c r="L166" s="2"/>
    </row>
    <row r="167" spans="3:12" ht="13.2">
      <c r="C167" s="2"/>
      <c r="H167" s="2"/>
      <c r="L167" s="2"/>
    </row>
    <row r="168" spans="3:12" ht="13.2">
      <c r="C168" s="2"/>
      <c r="H168" s="2"/>
      <c r="L168" s="2"/>
    </row>
    <row r="169" spans="3:12" ht="13.2">
      <c r="C169" s="2"/>
      <c r="H169" s="2"/>
      <c r="L169" s="2"/>
    </row>
    <row r="170" spans="3:12" ht="13.2">
      <c r="C170" s="2"/>
      <c r="H170" s="2"/>
      <c r="L170" s="2"/>
    </row>
    <row r="171" spans="3:12" ht="13.2">
      <c r="C171" s="2"/>
      <c r="H171" s="2"/>
      <c r="L171" s="2"/>
    </row>
    <row r="172" spans="3:12" ht="13.2">
      <c r="C172" s="2"/>
      <c r="H172" s="2"/>
      <c r="L172" s="2"/>
    </row>
    <row r="173" spans="3:12" ht="13.2">
      <c r="C173" s="2"/>
      <c r="H173" s="2"/>
      <c r="L173" s="2"/>
    </row>
    <row r="174" spans="3:12" ht="13.2">
      <c r="C174" s="2"/>
      <c r="H174" s="2"/>
      <c r="L174" s="2"/>
    </row>
    <row r="175" spans="3:12" ht="13.2">
      <c r="C175" s="2"/>
      <c r="H175" s="2"/>
      <c r="L175" s="2"/>
    </row>
    <row r="176" spans="3:12" ht="13.2">
      <c r="C176" s="2"/>
      <c r="H176" s="2"/>
      <c r="L176" s="2"/>
    </row>
    <row r="177" spans="3:12" ht="13.2">
      <c r="C177" s="2"/>
      <c r="H177" s="2"/>
      <c r="L177" s="2"/>
    </row>
    <row r="178" spans="3:12" ht="13.2">
      <c r="C178" s="2"/>
      <c r="H178" s="2"/>
      <c r="L178" s="2"/>
    </row>
    <row r="179" spans="3:12" ht="13.2">
      <c r="C179" s="2"/>
      <c r="H179" s="2"/>
      <c r="L179" s="2"/>
    </row>
    <row r="180" spans="3:12" ht="13.2">
      <c r="C180" s="2"/>
      <c r="H180" s="2"/>
      <c r="L180" s="2"/>
    </row>
    <row r="181" spans="3:12" ht="13.2">
      <c r="C181" s="2"/>
      <c r="H181" s="2"/>
      <c r="L181" s="2"/>
    </row>
    <row r="182" spans="3:12" ht="13.2">
      <c r="C182" s="2"/>
      <c r="H182" s="2"/>
      <c r="L182" s="2"/>
    </row>
    <row r="183" spans="3:12" ht="13.2">
      <c r="C183" s="2"/>
      <c r="H183" s="2"/>
      <c r="L183" s="2"/>
    </row>
    <row r="184" spans="3:12" ht="13.2">
      <c r="C184" s="2"/>
      <c r="H184" s="2"/>
      <c r="L184" s="2"/>
    </row>
    <row r="185" spans="3:12" ht="13.2">
      <c r="C185" s="2"/>
      <c r="H185" s="2"/>
      <c r="L185" s="2"/>
    </row>
    <row r="186" spans="3:12" ht="13.2">
      <c r="C186" s="2"/>
      <c r="H186" s="2"/>
      <c r="L186" s="2"/>
    </row>
    <row r="187" spans="3:12" ht="13.2">
      <c r="C187" s="2"/>
      <c r="H187" s="2"/>
      <c r="L187" s="2"/>
    </row>
    <row r="188" spans="3:12" ht="13.2">
      <c r="C188" s="2"/>
      <c r="H188" s="2"/>
      <c r="L188" s="2"/>
    </row>
    <row r="189" spans="3:12" ht="13.2">
      <c r="C189" s="2"/>
      <c r="H189" s="2"/>
      <c r="L189" s="2"/>
    </row>
    <row r="190" spans="3:12" ht="13.2">
      <c r="C190" s="2"/>
      <c r="H190" s="2"/>
      <c r="L190" s="2"/>
    </row>
    <row r="191" spans="3:12" ht="13.2">
      <c r="C191" s="2"/>
      <c r="H191" s="2"/>
      <c r="L191" s="2"/>
    </row>
    <row r="192" spans="3:12" ht="13.2">
      <c r="C192" s="2"/>
      <c r="H192" s="2"/>
      <c r="L192" s="2"/>
    </row>
    <row r="193" spans="3:12" ht="13.2">
      <c r="C193" s="2"/>
      <c r="H193" s="2"/>
      <c r="L193" s="2"/>
    </row>
    <row r="194" spans="3:12" ht="13.2">
      <c r="C194" s="2"/>
      <c r="H194" s="2"/>
      <c r="L194" s="2"/>
    </row>
    <row r="195" spans="3:12" ht="13.2">
      <c r="C195" s="2"/>
      <c r="H195" s="2"/>
      <c r="L195" s="2"/>
    </row>
    <row r="196" spans="3:12" ht="13.2">
      <c r="C196" s="2"/>
      <c r="H196" s="2"/>
      <c r="L196" s="2"/>
    </row>
    <row r="197" spans="3:12" ht="13.2">
      <c r="C197" s="2"/>
      <c r="H197" s="2"/>
      <c r="L197" s="2"/>
    </row>
    <row r="198" spans="3:12" ht="13.2">
      <c r="C198" s="2"/>
      <c r="H198" s="2"/>
      <c r="L198" s="2"/>
    </row>
    <row r="199" spans="3:12" ht="13.2">
      <c r="C199" s="2"/>
      <c r="H199" s="2"/>
      <c r="L199" s="2"/>
    </row>
    <row r="200" spans="3:12" ht="13.2">
      <c r="C200" s="2"/>
      <c r="H200" s="2"/>
      <c r="L200" s="2"/>
    </row>
    <row r="201" spans="3:12" ht="13.2">
      <c r="C201" s="2"/>
      <c r="H201" s="2"/>
      <c r="L201" s="2"/>
    </row>
    <row r="202" spans="3:12" ht="13.2">
      <c r="C202" s="2"/>
      <c r="H202" s="2"/>
      <c r="L202" s="2"/>
    </row>
    <row r="203" spans="3:12" ht="13.2">
      <c r="C203" s="2"/>
      <c r="H203" s="2"/>
      <c r="L203" s="2"/>
    </row>
    <row r="204" spans="3:12" ht="13.2">
      <c r="C204" s="2"/>
      <c r="H204" s="2"/>
      <c r="L204" s="2"/>
    </row>
    <row r="205" spans="3:12" ht="13.2">
      <c r="C205" s="2"/>
      <c r="H205" s="2"/>
      <c r="L205" s="2"/>
    </row>
    <row r="206" spans="3:12" ht="13.2">
      <c r="C206" s="2"/>
      <c r="H206" s="2"/>
      <c r="L206" s="2"/>
    </row>
    <row r="207" spans="3:12" ht="13.2">
      <c r="C207" s="2"/>
      <c r="H207" s="2"/>
      <c r="L207" s="2"/>
    </row>
    <row r="208" spans="3:12" ht="13.2">
      <c r="C208" s="2"/>
      <c r="H208" s="2"/>
      <c r="L208" s="2"/>
    </row>
    <row r="209" spans="3:12" ht="13.2">
      <c r="C209" s="2"/>
      <c r="H209" s="2"/>
      <c r="L209" s="2"/>
    </row>
    <row r="210" spans="3:12" ht="13.2">
      <c r="C210" s="2"/>
      <c r="H210" s="2"/>
      <c r="L210" s="2"/>
    </row>
    <row r="211" spans="3:12" ht="13.2">
      <c r="C211" s="2"/>
      <c r="H211" s="2"/>
      <c r="L211" s="2"/>
    </row>
    <row r="212" spans="3:12" ht="13.2">
      <c r="C212" s="2"/>
      <c r="H212" s="2"/>
      <c r="L212" s="2"/>
    </row>
    <row r="213" spans="3:12" ht="13.2">
      <c r="C213" s="2"/>
      <c r="H213" s="2"/>
      <c r="L213" s="2"/>
    </row>
    <row r="214" spans="3:12" ht="13.2">
      <c r="C214" s="2"/>
      <c r="H214" s="2"/>
      <c r="L214" s="2"/>
    </row>
    <row r="215" spans="3:12" ht="13.2">
      <c r="C215" s="2"/>
      <c r="H215" s="2"/>
      <c r="L215" s="2"/>
    </row>
    <row r="216" spans="3:12" ht="13.2">
      <c r="C216" s="2"/>
      <c r="H216" s="2"/>
      <c r="L216" s="2"/>
    </row>
    <row r="217" spans="3:12" ht="13.2">
      <c r="C217" s="2"/>
      <c r="H217" s="2"/>
      <c r="L217" s="2"/>
    </row>
    <row r="218" spans="3:12" ht="13.2">
      <c r="C218" s="2"/>
      <c r="H218" s="2"/>
      <c r="L218" s="2"/>
    </row>
    <row r="219" spans="3:12" ht="13.2">
      <c r="C219" s="2"/>
      <c r="H219" s="2"/>
      <c r="L219" s="2"/>
    </row>
    <row r="220" spans="3:12" ht="13.2">
      <c r="C220" s="2"/>
      <c r="H220" s="2"/>
      <c r="L220" s="2"/>
    </row>
    <row r="221" spans="3:12" ht="13.2">
      <c r="C221" s="2"/>
      <c r="H221" s="2"/>
      <c r="L221" s="2"/>
    </row>
    <row r="222" spans="3:12" ht="13.2">
      <c r="C222" s="2"/>
      <c r="H222" s="2"/>
      <c r="L222" s="2"/>
    </row>
    <row r="223" spans="3:12" ht="13.2">
      <c r="C223" s="2"/>
      <c r="H223" s="2"/>
      <c r="L223" s="2"/>
    </row>
    <row r="224" spans="3:12" ht="13.2">
      <c r="C224" s="2"/>
      <c r="H224" s="2"/>
      <c r="L224" s="2"/>
    </row>
    <row r="225" spans="3:12" ht="13.2">
      <c r="C225" s="2"/>
      <c r="H225" s="2"/>
      <c r="L225" s="2"/>
    </row>
    <row r="226" spans="3:12" ht="13.2">
      <c r="C226" s="2"/>
      <c r="H226" s="2"/>
      <c r="L226" s="2"/>
    </row>
    <row r="227" spans="3:12" ht="13.2">
      <c r="C227" s="2"/>
      <c r="H227" s="2"/>
      <c r="L227" s="2"/>
    </row>
    <row r="228" spans="3:12" ht="13.2">
      <c r="C228" s="2"/>
      <c r="H228" s="2"/>
      <c r="L228" s="2"/>
    </row>
    <row r="229" spans="3:12" ht="13.2">
      <c r="C229" s="2"/>
      <c r="H229" s="2"/>
      <c r="L229" s="2"/>
    </row>
    <row r="230" spans="3:12" ht="13.2">
      <c r="C230" s="2"/>
      <c r="H230" s="2"/>
      <c r="L230" s="2"/>
    </row>
    <row r="231" spans="3:12" ht="13.2">
      <c r="C231" s="2"/>
      <c r="H231" s="2"/>
      <c r="L231" s="2"/>
    </row>
    <row r="232" spans="3:12" ht="13.2">
      <c r="C232" s="2"/>
      <c r="H232" s="2"/>
      <c r="L232" s="2"/>
    </row>
    <row r="233" spans="3:12" ht="13.2">
      <c r="C233" s="2"/>
      <c r="H233" s="2"/>
      <c r="L233" s="2"/>
    </row>
    <row r="234" spans="3:12" ht="13.2">
      <c r="C234" s="2"/>
      <c r="H234" s="2"/>
      <c r="L234" s="2"/>
    </row>
    <row r="235" spans="3:12" ht="13.2">
      <c r="C235" s="2"/>
      <c r="H235" s="2"/>
      <c r="L235" s="2"/>
    </row>
    <row r="236" spans="3:12" ht="13.2">
      <c r="C236" s="2"/>
      <c r="H236" s="2"/>
      <c r="L236" s="2"/>
    </row>
    <row r="237" spans="3:12" ht="13.2">
      <c r="C237" s="2"/>
      <c r="H237" s="2"/>
      <c r="L237" s="2"/>
    </row>
    <row r="238" spans="3:12" ht="13.2">
      <c r="C238" s="2"/>
      <c r="H238" s="2"/>
      <c r="L238" s="2"/>
    </row>
    <row r="239" spans="3:12" ht="13.2">
      <c r="C239" s="2"/>
      <c r="H239" s="2"/>
      <c r="L239" s="2"/>
    </row>
    <row r="240" spans="3:12" ht="13.2">
      <c r="C240" s="2"/>
      <c r="H240" s="2"/>
      <c r="L240" s="2"/>
    </row>
    <row r="241" spans="3:12" ht="13.2">
      <c r="C241" s="2"/>
      <c r="H241" s="2"/>
      <c r="L241" s="2"/>
    </row>
    <row r="242" spans="3:12" ht="13.2">
      <c r="C242" s="2"/>
      <c r="H242" s="2"/>
      <c r="L242" s="2"/>
    </row>
    <row r="243" spans="3:12" ht="13.2">
      <c r="C243" s="2"/>
      <c r="H243" s="2"/>
      <c r="L243" s="2"/>
    </row>
    <row r="244" spans="3:12" ht="13.2">
      <c r="C244" s="2"/>
      <c r="H244" s="2"/>
      <c r="L244" s="2"/>
    </row>
    <row r="245" spans="3:12" ht="13.2">
      <c r="C245" s="2"/>
      <c r="H245" s="2"/>
      <c r="L245" s="2"/>
    </row>
    <row r="246" spans="3:12" ht="13.2">
      <c r="C246" s="2"/>
      <c r="H246" s="2"/>
      <c r="L246" s="2"/>
    </row>
    <row r="247" spans="3:12" ht="13.2">
      <c r="C247" s="2"/>
      <c r="H247" s="2"/>
      <c r="L247" s="2"/>
    </row>
    <row r="248" spans="3:12" ht="13.2">
      <c r="C248" s="2"/>
      <c r="H248" s="2"/>
      <c r="L248" s="2"/>
    </row>
    <row r="249" spans="3:12" ht="13.2">
      <c r="C249" s="2"/>
      <c r="H249" s="2"/>
      <c r="L249" s="2"/>
    </row>
    <row r="250" spans="3:12" ht="13.2">
      <c r="C250" s="2"/>
      <c r="H250" s="2"/>
      <c r="L250" s="2"/>
    </row>
    <row r="251" spans="3:12" ht="13.2">
      <c r="C251" s="2"/>
      <c r="H251" s="2"/>
      <c r="L251" s="2"/>
    </row>
    <row r="252" spans="3:12" ht="13.2">
      <c r="C252" s="2"/>
      <c r="H252" s="2"/>
      <c r="L252" s="2"/>
    </row>
    <row r="253" spans="3:12" ht="13.2">
      <c r="C253" s="2"/>
      <c r="H253" s="2"/>
      <c r="L253" s="2"/>
    </row>
    <row r="254" spans="3:12" ht="13.2">
      <c r="C254" s="2"/>
      <c r="H254" s="2"/>
      <c r="L254" s="2"/>
    </row>
    <row r="255" spans="3:12" ht="13.2">
      <c r="C255" s="2"/>
      <c r="H255" s="2"/>
      <c r="L255" s="2"/>
    </row>
    <row r="256" spans="3:12" ht="13.2">
      <c r="C256" s="2"/>
      <c r="H256" s="2"/>
      <c r="L256" s="2"/>
    </row>
    <row r="257" spans="3:12" ht="13.2">
      <c r="C257" s="2"/>
      <c r="H257" s="2"/>
      <c r="L257" s="2"/>
    </row>
    <row r="258" spans="3:12" ht="13.2">
      <c r="C258" s="2"/>
      <c r="H258" s="2"/>
      <c r="L258" s="2"/>
    </row>
    <row r="259" spans="3:12" ht="13.2">
      <c r="C259" s="2"/>
      <c r="H259" s="2"/>
      <c r="L259" s="2"/>
    </row>
    <row r="260" spans="3:12" ht="13.2">
      <c r="C260" s="2"/>
      <c r="H260" s="2"/>
      <c r="L260" s="2"/>
    </row>
    <row r="261" spans="3:12" ht="13.2">
      <c r="C261" s="2"/>
      <c r="H261" s="2"/>
      <c r="L261" s="2"/>
    </row>
    <row r="262" spans="3:12" ht="13.2">
      <c r="C262" s="2"/>
      <c r="H262" s="2"/>
      <c r="L262" s="2"/>
    </row>
    <row r="263" spans="3:12" ht="13.2">
      <c r="C263" s="2"/>
      <c r="H263" s="2"/>
      <c r="L263" s="2"/>
    </row>
    <row r="264" spans="3:12" ht="13.2">
      <c r="C264" s="2"/>
      <c r="H264" s="2"/>
      <c r="L264" s="2"/>
    </row>
    <row r="265" spans="3:12" ht="13.2">
      <c r="C265" s="2"/>
      <c r="H265" s="2"/>
      <c r="L265" s="2"/>
    </row>
    <row r="266" spans="3:12" ht="13.2">
      <c r="C266" s="2"/>
      <c r="H266" s="2"/>
      <c r="L266" s="2"/>
    </row>
    <row r="267" spans="3:12" ht="13.2">
      <c r="C267" s="2"/>
      <c r="H267" s="2"/>
      <c r="L267" s="2"/>
    </row>
    <row r="268" spans="3:12" ht="13.2">
      <c r="C268" s="2"/>
      <c r="H268" s="2"/>
      <c r="L268" s="2"/>
    </row>
    <row r="269" spans="3:12" ht="13.2">
      <c r="C269" s="2"/>
      <c r="H269" s="2"/>
      <c r="L269" s="2"/>
    </row>
    <row r="270" spans="3:12" ht="13.2">
      <c r="C270" s="2"/>
      <c r="H270" s="2"/>
      <c r="L270" s="2"/>
    </row>
    <row r="271" spans="3:12" ht="13.2">
      <c r="C271" s="2"/>
      <c r="H271" s="2"/>
      <c r="L271" s="2"/>
    </row>
    <row r="272" spans="3:12" ht="13.2">
      <c r="C272" s="2"/>
      <c r="H272" s="2"/>
      <c r="L272" s="2"/>
    </row>
    <row r="273" spans="3:12" ht="13.2">
      <c r="C273" s="2"/>
      <c r="H273" s="2"/>
      <c r="L273" s="2"/>
    </row>
    <row r="274" spans="3:12" ht="13.2">
      <c r="C274" s="2"/>
      <c r="H274" s="2"/>
      <c r="L274" s="2"/>
    </row>
    <row r="275" spans="3:12" ht="13.2">
      <c r="C275" s="2"/>
      <c r="H275" s="2"/>
      <c r="L275" s="2"/>
    </row>
    <row r="276" spans="3:12" ht="13.2">
      <c r="C276" s="2"/>
      <c r="H276" s="2"/>
      <c r="L276" s="2"/>
    </row>
    <row r="277" spans="3:12" ht="13.2">
      <c r="C277" s="2"/>
      <c r="H277" s="2"/>
      <c r="L277" s="2"/>
    </row>
    <row r="278" spans="3:12" ht="13.2">
      <c r="C278" s="2"/>
      <c r="H278" s="2"/>
      <c r="L278" s="2"/>
    </row>
    <row r="279" spans="3:12" ht="13.2">
      <c r="C279" s="2"/>
      <c r="H279" s="2"/>
      <c r="L279" s="2"/>
    </row>
    <row r="280" spans="3:12" ht="13.2">
      <c r="C280" s="2"/>
      <c r="H280" s="2"/>
      <c r="L280" s="2"/>
    </row>
    <row r="281" spans="3:12" ht="13.2">
      <c r="C281" s="2"/>
      <c r="H281" s="2"/>
      <c r="L281" s="2"/>
    </row>
    <row r="282" spans="3:12" ht="13.2">
      <c r="C282" s="2"/>
      <c r="H282" s="2"/>
      <c r="L282" s="2"/>
    </row>
    <row r="283" spans="3:12" ht="13.2">
      <c r="C283" s="2"/>
      <c r="H283" s="2"/>
      <c r="L283" s="2"/>
    </row>
    <row r="284" spans="3:12" ht="13.2">
      <c r="C284" s="2"/>
      <c r="H284" s="2"/>
      <c r="L284" s="2"/>
    </row>
    <row r="285" spans="3:12" ht="13.2">
      <c r="C285" s="2"/>
      <c r="H285" s="2"/>
      <c r="L285" s="2"/>
    </row>
    <row r="286" spans="3:12" ht="13.2">
      <c r="C286" s="2"/>
      <c r="H286" s="2"/>
      <c r="L286" s="2"/>
    </row>
    <row r="287" spans="3:12" ht="13.2">
      <c r="C287" s="2"/>
      <c r="H287" s="2"/>
      <c r="L287" s="2"/>
    </row>
    <row r="288" spans="3:12" ht="13.2">
      <c r="C288" s="2"/>
      <c r="H288" s="2"/>
      <c r="L288" s="2"/>
    </row>
    <row r="289" spans="3:12" ht="13.2">
      <c r="C289" s="2"/>
      <c r="H289" s="2"/>
      <c r="L289" s="2"/>
    </row>
    <row r="290" spans="3:12" ht="13.2">
      <c r="C290" s="2"/>
      <c r="H290" s="2"/>
      <c r="L290" s="2"/>
    </row>
    <row r="291" spans="3:12" ht="13.2">
      <c r="C291" s="2"/>
      <c r="H291" s="2"/>
      <c r="L291" s="2"/>
    </row>
    <row r="292" spans="3:12" ht="13.2">
      <c r="C292" s="2"/>
      <c r="H292" s="2"/>
      <c r="L292" s="2"/>
    </row>
    <row r="293" spans="3:12" ht="13.2">
      <c r="C293" s="2"/>
      <c r="H293" s="2"/>
      <c r="L293" s="2"/>
    </row>
    <row r="294" spans="3:12" ht="13.2">
      <c r="C294" s="2"/>
      <c r="H294" s="2"/>
      <c r="L294" s="2"/>
    </row>
    <row r="295" spans="3:12" ht="13.2">
      <c r="C295" s="2"/>
      <c r="H295" s="2"/>
      <c r="L295" s="2"/>
    </row>
    <row r="296" spans="3:12" ht="13.2">
      <c r="C296" s="2"/>
      <c r="H296" s="2"/>
      <c r="L296" s="2"/>
    </row>
    <row r="297" spans="3:12" ht="13.2">
      <c r="C297" s="2"/>
      <c r="H297" s="2"/>
      <c r="L297" s="2"/>
    </row>
    <row r="298" spans="3:12" ht="13.2">
      <c r="C298" s="2"/>
      <c r="H298" s="2"/>
      <c r="L298" s="2"/>
    </row>
    <row r="299" spans="3:12" ht="13.2">
      <c r="C299" s="2"/>
      <c r="H299" s="2"/>
      <c r="L299" s="2"/>
    </row>
    <row r="300" spans="3:12" ht="13.2">
      <c r="C300" s="2"/>
      <c r="H300" s="2"/>
      <c r="L300" s="2"/>
    </row>
    <row r="301" spans="3:12" ht="13.2">
      <c r="C301" s="2"/>
      <c r="H301" s="2"/>
      <c r="L301" s="2"/>
    </row>
    <row r="302" spans="3:12" ht="13.2">
      <c r="C302" s="2"/>
      <c r="H302" s="2"/>
      <c r="L302" s="2"/>
    </row>
    <row r="303" spans="3:12" ht="13.2">
      <c r="C303" s="2"/>
      <c r="H303" s="2"/>
      <c r="L303" s="2"/>
    </row>
    <row r="304" spans="3:12" ht="13.2">
      <c r="C304" s="2"/>
      <c r="H304" s="2"/>
      <c r="L304" s="2"/>
    </row>
    <row r="305" spans="3:12" ht="13.2">
      <c r="C305" s="2"/>
      <c r="H305" s="2"/>
      <c r="L305" s="2"/>
    </row>
    <row r="306" spans="3:12" ht="13.2">
      <c r="C306" s="2"/>
      <c r="H306" s="2"/>
      <c r="L306" s="2"/>
    </row>
    <row r="307" spans="3:12" ht="13.2">
      <c r="C307" s="2"/>
      <c r="H307" s="2"/>
      <c r="L307" s="2"/>
    </row>
    <row r="308" spans="3:12" ht="13.2">
      <c r="C308" s="2"/>
      <c r="H308" s="2"/>
      <c r="L308" s="2"/>
    </row>
    <row r="309" spans="3:12" ht="13.2">
      <c r="C309" s="2"/>
      <c r="H309" s="2"/>
      <c r="L309" s="2"/>
    </row>
    <row r="310" spans="3:12" ht="13.2">
      <c r="C310" s="2"/>
      <c r="H310" s="2"/>
      <c r="L310" s="2"/>
    </row>
    <row r="311" spans="3:12" ht="13.2">
      <c r="C311" s="2"/>
      <c r="H311" s="2"/>
      <c r="L311" s="2"/>
    </row>
    <row r="312" spans="3:12" ht="13.2">
      <c r="C312" s="2"/>
      <c r="H312" s="2"/>
      <c r="L312" s="2"/>
    </row>
    <row r="313" spans="3:12" ht="13.2">
      <c r="C313" s="2"/>
      <c r="H313" s="2"/>
      <c r="L313" s="2"/>
    </row>
    <row r="314" spans="3:12" ht="13.2">
      <c r="C314" s="2"/>
      <c r="H314" s="2"/>
      <c r="L314" s="2"/>
    </row>
    <row r="315" spans="3:12" ht="13.2">
      <c r="C315" s="2"/>
      <c r="H315" s="2"/>
      <c r="L315" s="2"/>
    </row>
    <row r="316" spans="3:12" ht="13.2">
      <c r="C316" s="2"/>
      <c r="H316" s="2"/>
      <c r="L316" s="2"/>
    </row>
    <row r="317" spans="3:12" ht="13.2">
      <c r="C317" s="2"/>
      <c r="H317" s="2"/>
      <c r="L317" s="2"/>
    </row>
    <row r="318" spans="3:12" ht="13.2">
      <c r="C318" s="2"/>
      <c r="H318" s="2"/>
      <c r="L318" s="2"/>
    </row>
    <row r="319" spans="3:12" ht="13.2">
      <c r="C319" s="2"/>
      <c r="H319" s="2"/>
      <c r="L319" s="2"/>
    </row>
    <row r="320" spans="3:12" ht="13.2">
      <c r="C320" s="2"/>
      <c r="H320" s="2"/>
      <c r="L320" s="2"/>
    </row>
    <row r="321" spans="3:12" ht="13.2">
      <c r="C321" s="2"/>
      <c r="H321" s="2"/>
      <c r="L321" s="2"/>
    </row>
    <row r="322" spans="3:12" ht="13.2">
      <c r="C322" s="2"/>
      <c r="H322" s="2"/>
      <c r="L322" s="2"/>
    </row>
    <row r="323" spans="3:12" ht="13.2">
      <c r="C323" s="2"/>
      <c r="H323" s="2"/>
      <c r="L323" s="2"/>
    </row>
    <row r="324" spans="3:12" ht="13.2">
      <c r="C324" s="2"/>
      <c r="H324" s="2"/>
      <c r="L324" s="2"/>
    </row>
    <row r="325" spans="3:12" ht="13.2">
      <c r="C325" s="2"/>
      <c r="H325" s="2"/>
      <c r="L325" s="2"/>
    </row>
    <row r="326" spans="3:12" ht="13.2">
      <c r="C326" s="2"/>
      <c r="H326" s="2"/>
      <c r="L326" s="2"/>
    </row>
    <row r="327" spans="3:12" ht="13.2">
      <c r="C327" s="2"/>
      <c r="H327" s="2"/>
      <c r="L327" s="2"/>
    </row>
    <row r="328" spans="3:12" ht="13.2">
      <c r="C328" s="2"/>
      <c r="H328" s="2"/>
      <c r="L328" s="2"/>
    </row>
    <row r="329" spans="3:12" ht="13.2">
      <c r="C329" s="2"/>
      <c r="H329" s="2"/>
      <c r="L329" s="2"/>
    </row>
    <row r="330" spans="3:12" ht="13.2">
      <c r="C330" s="2"/>
      <c r="H330" s="2"/>
      <c r="L330" s="2"/>
    </row>
    <row r="331" spans="3:12" ht="13.2">
      <c r="C331" s="2"/>
      <c r="H331" s="2"/>
      <c r="L331" s="2"/>
    </row>
    <row r="332" spans="3:12" ht="13.2">
      <c r="C332" s="2"/>
      <c r="H332" s="2"/>
      <c r="L332" s="2"/>
    </row>
    <row r="333" spans="3:12" ht="13.2">
      <c r="C333" s="2"/>
      <c r="H333" s="2"/>
      <c r="L333" s="2"/>
    </row>
    <row r="334" spans="3:12" ht="13.2">
      <c r="C334" s="2"/>
      <c r="H334" s="2"/>
      <c r="L334" s="2"/>
    </row>
    <row r="335" spans="3:12" ht="13.2">
      <c r="C335" s="2"/>
      <c r="H335" s="2"/>
      <c r="L335" s="2"/>
    </row>
    <row r="336" spans="3:12" ht="13.2">
      <c r="C336" s="2"/>
      <c r="H336" s="2"/>
      <c r="L336" s="2"/>
    </row>
    <row r="337" spans="3:12" ht="13.2">
      <c r="C337" s="2"/>
      <c r="H337" s="2"/>
      <c r="L337" s="2"/>
    </row>
    <row r="338" spans="3:12" ht="13.2">
      <c r="C338" s="2"/>
      <c r="H338" s="2"/>
      <c r="L338" s="2"/>
    </row>
    <row r="339" spans="3:12" ht="13.2">
      <c r="C339" s="2"/>
      <c r="H339" s="2"/>
      <c r="L339" s="2"/>
    </row>
    <row r="340" spans="3:12" ht="13.2">
      <c r="C340" s="2"/>
      <c r="H340" s="2"/>
      <c r="L340" s="2"/>
    </row>
    <row r="341" spans="3:12" ht="13.2">
      <c r="C341" s="2"/>
      <c r="H341" s="2"/>
      <c r="L341" s="2"/>
    </row>
    <row r="342" spans="3:12" ht="13.2">
      <c r="C342" s="2"/>
      <c r="H342" s="2"/>
      <c r="L342" s="2"/>
    </row>
    <row r="343" spans="3:12" ht="13.2">
      <c r="C343" s="2"/>
      <c r="H343" s="2"/>
      <c r="L343" s="2"/>
    </row>
    <row r="344" spans="3:12" ht="13.2">
      <c r="C344" s="2"/>
      <c r="H344" s="2"/>
      <c r="L344" s="2"/>
    </row>
    <row r="345" spans="3:12" ht="13.2">
      <c r="C345" s="2"/>
      <c r="H345" s="2"/>
      <c r="L345" s="2"/>
    </row>
    <row r="346" spans="3:12" ht="13.2">
      <c r="C346" s="2"/>
      <c r="H346" s="2"/>
      <c r="L346" s="2"/>
    </row>
    <row r="347" spans="3:12" ht="13.2">
      <c r="C347" s="2"/>
      <c r="H347" s="2"/>
      <c r="L347" s="2"/>
    </row>
    <row r="348" spans="3:12" ht="13.2">
      <c r="C348" s="2"/>
      <c r="H348" s="2"/>
      <c r="L348" s="2"/>
    </row>
    <row r="349" spans="3:12" ht="13.2">
      <c r="C349" s="2"/>
      <c r="H349" s="2"/>
      <c r="L349" s="2"/>
    </row>
    <row r="350" spans="3:12" ht="13.2">
      <c r="C350" s="2"/>
      <c r="H350" s="2"/>
      <c r="L350" s="2"/>
    </row>
    <row r="351" spans="3:12" ht="13.2">
      <c r="C351" s="2"/>
      <c r="H351" s="2"/>
      <c r="L351" s="2"/>
    </row>
    <row r="352" spans="3:12" ht="13.2">
      <c r="C352" s="2"/>
      <c r="H352" s="2"/>
      <c r="L352" s="2"/>
    </row>
    <row r="353" spans="3:12" ht="13.2">
      <c r="C353" s="2"/>
      <c r="H353" s="2"/>
      <c r="L353" s="2"/>
    </row>
    <row r="354" spans="3:12" ht="13.2">
      <c r="C354" s="2"/>
      <c r="H354" s="2"/>
      <c r="L354" s="2"/>
    </row>
    <row r="355" spans="3:12" ht="13.2">
      <c r="C355" s="2"/>
      <c r="H355" s="2"/>
      <c r="L355" s="2"/>
    </row>
    <row r="356" spans="3:12" ht="13.2">
      <c r="C356" s="2"/>
      <c r="H356" s="2"/>
      <c r="L356" s="2"/>
    </row>
    <row r="357" spans="3:12" ht="13.2">
      <c r="C357" s="2"/>
      <c r="H357" s="2"/>
      <c r="L357" s="2"/>
    </row>
    <row r="358" spans="3:12" ht="13.2">
      <c r="C358" s="2"/>
      <c r="H358" s="2"/>
      <c r="L358" s="2"/>
    </row>
    <row r="359" spans="3:12" ht="13.2">
      <c r="C359" s="2"/>
      <c r="H359" s="2"/>
      <c r="L359" s="2"/>
    </row>
    <row r="360" spans="3:12" ht="13.2">
      <c r="C360" s="2"/>
      <c r="H360" s="2"/>
      <c r="L360" s="2"/>
    </row>
    <row r="361" spans="3:12" ht="13.2">
      <c r="C361" s="2"/>
      <c r="H361" s="2"/>
      <c r="L361" s="2"/>
    </row>
    <row r="362" spans="3:12" ht="13.2">
      <c r="C362" s="2"/>
      <c r="H362" s="2"/>
      <c r="L362" s="2"/>
    </row>
    <row r="363" spans="3:12" ht="13.2">
      <c r="C363" s="2"/>
      <c r="H363" s="2"/>
      <c r="L363" s="2"/>
    </row>
    <row r="364" spans="3:12" ht="13.2">
      <c r="C364" s="2"/>
      <c r="H364" s="2"/>
      <c r="L364" s="2"/>
    </row>
    <row r="365" spans="3:12" ht="13.2">
      <c r="C365" s="2"/>
      <c r="H365" s="2"/>
      <c r="L365" s="2"/>
    </row>
    <row r="366" spans="3:12" ht="13.2">
      <c r="C366" s="2"/>
      <c r="H366" s="2"/>
      <c r="L366" s="2"/>
    </row>
    <row r="367" spans="3:12" ht="13.2">
      <c r="C367" s="2"/>
      <c r="H367" s="2"/>
      <c r="L367" s="2"/>
    </row>
    <row r="368" spans="3:12" ht="13.2">
      <c r="C368" s="2"/>
      <c r="H368" s="2"/>
      <c r="L368" s="2"/>
    </row>
    <row r="369" spans="3:12" ht="13.2">
      <c r="C369" s="2"/>
      <c r="H369" s="2"/>
      <c r="L369" s="2"/>
    </row>
    <row r="370" spans="3:12" ht="13.2">
      <c r="C370" s="2"/>
      <c r="H370" s="2"/>
      <c r="L370" s="2"/>
    </row>
    <row r="371" spans="3:12" ht="13.2">
      <c r="C371" s="2"/>
      <c r="H371" s="2"/>
      <c r="L371" s="2"/>
    </row>
    <row r="372" spans="3:12" ht="13.2">
      <c r="C372" s="2"/>
      <c r="H372" s="2"/>
      <c r="L372" s="2"/>
    </row>
    <row r="373" spans="3:12" ht="13.2">
      <c r="C373" s="2"/>
      <c r="H373" s="2"/>
      <c r="L373" s="2"/>
    </row>
    <row r="374" spans="3:12" ht="13.2">
      <c r="C374" s="2"/>
      <c r="H374" s="2"/>
      <c r="L374" s="2"/>
    </row>
    <row r="375" spans="3:12" ht="13.2">
      <c r="C375" s="2"/>
      <c r="H375" s="2"/>
      <c r="L375" s="2"/>
    </row>
    <row r="376" spans="3:12" ht="13.2">
      <c r="C376" s="2"/>
      <c r="H376" s="2"/>
      <c r="L376" s="2"/>
    </row>
    <row r="377" spans="3:12" ht="13.2">
      <c r="C377" s="2"/>
      <c r="H377" s="2"/>
      <c r="L377" s="2"/>
    </row>
    <row r="378" spans="3:12" ht="13.2">
      <c r="C378" s="2"/>
      <c r="H378" s="2"/>
      <c r="L378" s="2"/>
    </row>
    <row r="379" spans="3:12" ht="13.2">
      <c r="C379" s="2"/>
      <c r="H379" s="2"/>
      <c r="L379" s="2"/>
    </row>
    <row r="380" spans="3:12" ht="13.2">
      <c r="C380" s="2"/>
      <c r="H380" s="2"/>
      <c r="L380" s="2"/>
    </row>
    <row r="381" spans="3:12" ht="13.2">
      <c r="C381" s="2"/>
      <c r="H381" s="2"/>
      <c r="L381" s="2"/>
    </row>
    <row r="382" spans="3:12" ht="13.2">
      <c r="C382" s="2"/>
      <c r="H382" s="2"/>
      <c r="L382" s="2"/>
    </row>
    <row r="383" spans="3:12" ht="13.2">
      <c r="C383" s="2"/>
      <c r="H383" s="2"/>
      <c r="L383" s="2"/>
    </row>
    <row r="384" spans="3:12" ht="13.2">
      <c r="C384" s="2"/>
      <c r="H384" s="2"/>
      <c r="L384" s="2"/>
    </row>
    <row r="385" spans="3:12" ht="13.2">
      <c r="C385" s="2"/>
      <c r="H385" s="2"/>
      <c r="L385" s="2"/>
    </row>
    <row r="386" spans="3:12" ht="13.2">
      <c r="C386" s="2"/>
      <c r="H386" s="2"/>
      <c r="L386" s="2"/>
    </row>
    <row r="387" spans="3:12" ht="13.2">
      <c r="C387" s="2"/>
      <c r="H387" s="2"/>
      <c r="L387" s="2"/>
    </row>
    <row r="388" spans="3:12" ht="13.2">
      <c r="C388" s="2"/>
      <c r="H388" s="2"/>
      <c r="L388" s="2"/>
    </row>
    <row r="389" spans="3:12" ht="13.2">
      <c r="C389" s="2"/>
      <c r="H389" s="2"/>
      <c r="L389" s="2"/>
    </row>
    <row r="390" spans="3:12" ht="13.2">
      <c r="C390" s="2"/>
      <c r="H390" s="2"/>
      <c r="L390" s="2"/>
    </row>
    <row r="391" spans="3:12" ht="13.2">
      <c r="C391" s="2"/>
      <c r="H391" s="2"/>
      <c r="L391" s="2"/>
    </row>
    <row r="392" spans="3:12" ht="13.2">
      <c r="C392" s="2"/>
      <c r="H392" s="2"/>
      <c r="L392" s="2"/>
    </row>
    <row r="393" spans="3:12" ht="13.2">
      <c r="C393" s="2"/>
      <c r="H393" s="2"/>
      <c r="L393" s="2"/>
    </row>
    <row r="394" spans="3:12" ht="13.2">
      <c r="C394" s="2"/>
      <c r="H394" s="2"/>
      <c r="L394" s="2"/>
    </row>
    <row r="395" spans="3:12" ht="13.2">
      <c r="C395" s="2"/>
      <c r="H395" s="2"/>
      <c r="L395" s="2"/>
    </row>
    <row r="396" spans="3:12" ht="13.2">
      <c r="C396" s="2"/>
      <c r="H396" s="2"/>
      <c r="L396" s="2"/>
    </row>
    <row r="397" spans="3:12" ht="13.2">
      <c r="C397" s="2"/>
      <c r="H397" s="2"/>
      <c r="L397" s="2"/>
    </row>
    <row r="398" spans="3:12" ht="13.2">
      <c r="C398" s="2"/>
      <c r="H398" s="2"/>
      <c r="L398" s="2"/>
    </row>
    <row r="399" spans="3:12" ht="13.2">
      <c r="C399" s="2"/>
      <c r="H399" s="2"/>
      <c r="L399" s="2"/>
    </row>
    <row r="400" spans="3:12" ht="13.2">
      <c r="C400" s="2"/>
      <c r="H400" s="2"/>
      <c r="L400" s="2"/>
    </row>
    <row r="401" spans="3:12" ht="13.2">
      <c r="C401" s="2"/>
      <c r="H401" s="2"/>
      <c r="L401" s="2"/>
    </row>
    <row r="402" spans="3:12" ht="13.2">
      <c r="C402" s="2"/>
      <c r="H402" s="2"/>
      <c r="L402" s="2"/>
    </row>
    <row r="403" spans="3:12" ht="13.2">
      <c r="C403" s="2"/>
      <c r="H403" s="2"/>
      <c r="L403" s="2"/>
    </row>
    <row r="404" spans="3:12" ht="13.2">
      <c r="C404" s="2"/>
      <c r="H404" s="2"/>
      <c r="L404" s="2"/>
    </row>
    <row r="405" spans="3:12" ht="13.2">
      <c r="C405" s="2"/>
      <c r="H405" s="2"/>
      <c r="L405" s="2"/>
    </row>
    <row r="406" spans="3:12" ht="13.2">
      <c r="C406" s="2"/>
      <c r="H406" s="2"/>
      <c r="L406" s="2"/>
    </row>
    <row r="407" spans="3:12" ht="13.2">
      <c r="C407" s="2"/>
      <c r="H407" s="2"/>
      <c r="L407" s="2"/>
    </row>
    <row r="408" spans="3:12" ht="13.2">
      <c r="C408" s="2"/>
      <c r="H408" s="2"/>
      <c r="L408" s="2"/>
    </row>
    <row r="409" spans="3:12" ht="13.2">
      <c r="C409" s="2"/>
      <c r="H409" s="2"/>
      <c r="L409" s="2"/>
    </row>
    <row r="410" spans="3:12" ht="13.2">
      <c r="C410" s="2"/>
      <c r="H410" s="2"/>
      <c r="L410" s="2"/>
    </row>
    <row r="411" spans="3:12" ht="13.2">
      <c r="C411" s="2"/>
      <c r="H411" s="2"/>
      <c r="L411" s="2"/>
    </row>
    <row r="412" spans="3:12" ht="13.2">
      <c r="C412" s="2"/>
      <c r="H412" s="2"/>
      <c r="L412" s="2"/>
    </row>
    <row r="413" spans="3:12" ht="13.2">
      <c r="C413" s="2"/>
      <c r="H413" s="2"/>
      <c r="L413" s="2"/>
    </row>
    <row r="414" spans="3:12" ht="13.2">
      <c r="C414" s="2"/>
      <c r="H414" s="2"/>
      <c r="L414" s="2"/>
    </row>
    <row r="415" spans="3:12" ht="13.2">
      <c r="C415" s="2"/>
      <c r="H415" s="2"/>
      <c r="L415" s="2"/>
    </row>
    <row r="416" spans="3:12" ht="13.2">
      <c r="C416" s="2"/>
      <c r="H416" s="2"/>
      <c r="L416" s="2"/>
    </row>
    <row r="417" spans="3:12" ht="13.2">
      <c r="C417" s="2"/>
      <c r="H417" s="2"/>
      <c r="L417" s="2"/>
    </row>
    <row r="418" spans="3:12" ht="13.2">
      <c r="C418" s="2"/>
      <c r="H418" s="2"/>
      <c r="L418" s="2"/>
    </row>
    <row r="419" spans="3:12" ht="13.2">
      <c r="C419" s="2"/>
      <c r="H419" s="2"/>
      <c r="L419" s="2"/>
    </row>
    <row r="420" spans="3:12" ht="13.2">
      <c r="C420" s="2"/>
      <c r="H420" s="2"/>
      <c r="L420" s="2"/>
    </row>
    <row r="421" spans="3:12" ht="13.2">
      <c r="C421" s="2"/>
      <c r="H421" s="2"/>
      <c r="L421" s="2"/>
    </row>
    <row r="422" spans="3:12" ht="13.2">
      <c r="C422" s="2"/>
      <c r="H422" s="2"/>
      <c r="L422" s="2"/>
    </row>
    <row r="423" spans="3:12" ht="13.2">
      <c r="C423" s="2"/>
      <c r="H423" s="2"/>
      <c r="L423" s="2"/>
    </row>
    <row r="424" spans="3:12" ht="13.2">
      <c r="C424" s="2"/>
      <c r="H424" s="2"/>
      <c r="L424" s="2"/>
    </row>
    <row r="425" spans="3:12" ht="13.2">
      <c r="C425" s="2"/>
      <c r="H425" s="2"/>
      <c r="L425" s="2"/>
    </row>
    <row r="426" spans="3:12" ht="13.2">
      <c r="C426" s="2"/>
      <c r="H426" s="2"/>
      <c r="L426" s="2"/>
    </row>
    <row r="427" spans="3:12" ht="13.2">
      <c r="C427" s="2"/>
      <c r="H427" s="2"/>
      <c r="L427" s="2"/>
    </row>
    <row r="428" spans="3:12" ht="13.2">
      <c r="C428" s="2"/>
      <c r="H428" s="2"/>
      <c r="L428" s="2"/>
    </row>
    <row r="429" spans="3:12" ht="13.2">
      <c r="C429" s="2"/>
      <c r="H429" s="2"/>
      <c r="L429" s="2"/>
    </row>
    <row r="430" spans="3:12" ht="13.2">
      <c r="C430" s="2"/>
      <c r="H430" s="2"/>
      <c r="L430" s="2"/>
    </row>
    <row r="431" spans="3:12" ht="13.2">
      <c r="C431" s="2"/>
      <c r="H431" s="2"/>
      <c r="L431" s="2"/>
    </row>
    <row r="432" spans="3:12" ht="13.2">
      <c r="C432" s="2"/>
      <c r="H432" s="2"/>
      <c r="L432" s="2"/>
    </row>
    <row r="433" spans="3:12" ht="13.2">
      <c r="C433" s="2"/>
      <c r="H433" s="2"/>
      <c r="L433" s="2"/>
    </row>
    <row r="434" spans="3:12" ht="13.2">
      <c r="C434" s="2"/>
      <c r="H434" s="2"/>
      <c r="L434" s="2"/>
    </row>
    <row r="435" spans="3:12" ht="13.2">
      <c r="C435" s="2"/>
      <c r="H435" s="2"/>
      <c r="L435" s="2"/>
    </row>
    <row r="436" spans="3:12" ht="13.2">
      <c r="C436" s="2"/>
      <c r="H436" s="2"/>
      <c r="L436" s="2"/>
    </row>
    <row r="437" spans="3:12" ht="13.2">
      <c r="C437" s="2"/>
      <c r="H437" s="2"/>
      <c r="L437" s="2"/>
    </row>
    <row r="438" spans="3:12" ht="13.2">
      <c r="C438" s="2"/>
      <c r="H438" s="2"/>
      <c r="L438" s="2"/>
    </row>
    <row r="439" spans="3:12" ht="13.2">
      <c r="C439" s="2"/>
      <c r="H439" s="2"/>
      <c r="L439" s="2"/>
    </row>
    <row r="440" spans="3:12" ht="13.2">
      <c r="C440" s="2"/>
      <c r="H440" s="2"/>
      <c r="L440" s="2"/>
    </row>
    <row r="441" spans="3:12" ht="13.2">
      <c r="C441" s="2"/>
      <c r="H441" s="2"/>
      <c r="L441" s="2"/>
    </row>
    <row r="442" spans="3:12" ht="13.2">
      <c r="C442" s="2"/>
      <c r="H442" s="2"/>
      <c r="L442" s="2"/>
    </row>
    <row r="443" spans="3:12" ht="13.2">
      <c r="C443" s="2"/>
      <c r="H443" s="2"/>
      <c r="L443" s="2"/>
    </row>
    <row r="444" spans="3:12" ht="13.2">
      <c r="C444" s="2"/>
      <c r="H444" s="2"/>
      <c r="L444" s="2"/>
    </row>
    <row r="445" spans="3:12" ht="13.2">
      <c r="C445" s="2"/>
      <c r="H445" s="2"/>
      <c r="L445" s="2"/>
    </row>
    <row r="446" spans="3:12" ht="13.2">
      <c r="C446" s="2"/>
      <c r="H446" s="2"/>
      <c r="L446" s="2"/>
    </row>
    <row r="447" spans="3:12" ht="13.2">
      <c r="C447" s="2"/>
      <c r="H447" s="2"/>
      <c r="L447" s="2"/>
    </row>
    <row r="448" spans="3:12" ht="13.2">
      <c r="C448" s="2"/>
      <c r="H448" s="2"/>
      <c r="L448" s="2"/>
    </row>
    <row r="449" spans="3:12" ht="13.2">
      <c r="C449" s="2"/>
      <c r="H449" s="2"/>
      <c r="L449" s="2"/>
    </row>
    <row r="450" spans="3:12" ht="13.2">
      <c r="C450" s="2"/>
      <c r="H450" s="2"/>
      <c r="L450" s="2"/>
    </row>
    <row r="451" spans="3:12" ht="13.2">
      <c r="C451" s="2"/>
      <c r="H451" s="2"/>
      <c r="L451" s="2"/>
    </row>
    <row r="452" spans="3:12" ht="13.2">
      <c r="C452" s="2"/>
      <c r="H452" s="2"/>
      <c r="L452" s="2"/>
    </row>
    <row r="453" spans="3:12" ht="13.2">
      <c r="C453" s="2"/>
      <c r="H453" s="2"/>
      <c r="L453" s="2"/>
    </row>
    <row r="454" spans="3:12" ht="13.2">
      <c r="C454" s="2"/>
      <c r="H454" s="2"/>
      <c r="L454" s="2"/>
    </row>
    <row r="455" spans="3:12" ht="13.2">
      <c r="C455" s="2"/>
      <c r="H455" s="2"/>
      <c r="L455" s="2"/>
    </row>
    <row r="456" spans="3:12" ht="13.2">
      <c r="C456" s="2"/>
      <c r="H456" s="2"/>
      <c r="L456" s="2"/>
    </row>
    <row r="457" spans="3:12" ht="13.2">
      <c r="C457" s="2"/>
      <c r="H457" s="2"/>
      <c r="L457" s="2"/>
    </row>
    <row r="458" spans="3:12" ht="13.2">
      <c r="C458" s="2"/>
      <c r="H458" s="2"/>
      <c r="L458" s="2"/>
    </row>
    <row r="459" spans="3:12" ht="13.2">
      <c r="C459" s="2"/>
      <c r="H459" s="2"/>
      <c r="L459" s="2"/>
    </row>
    <row r="460" spans="3:12" ht="13.2">
      <c r="C460" s="2"/>
      <c r="H460" s="2"/>
      <c r="L460" s="2"/>
    </row>
    <row r="461" spans="3:12" ht="13.2">
      <c r="C461" s="2"/>
      <c r="H461" s="2"/>
      <c r="L461" s="2"/>
    </row>
    <row r="462" spans="3:12" ht="13.2">
      <c r="C462" s="2"/>
      <c r="H462" s="2"/>
      <c r="L462" s="2"/>
    </row>
    <row r="463" spans="3:12" ht="13.2">
      <c r="C463" s="2"/>
      <c r="H463" s="2"/>
      <c r="L463" s="2"/>
    </row>
    <row r="464" spans="3:12" ht="13.2">
      <c r="C464" s="2"/>
      <c r="H464" s="2"/>
      <c r="L464" s="2"/>
    </row>
    <row r="465" spans="3:12" ht="13.2">
      <c r="C465" s="2"/>
      <c r="H465" s="2"/>
      <c r="L465" s="2"/>
    </row>
    <row r="466" spans="3:12" ht="13.2">
      <c r="C466" s="2"/>
      <c r="H466" s="2"/>
      <c r="L466" s="2"/>
    </row>
    <row r="467" spans="3:12" ht="13.2">
      <c r="C467" s="2"/>
      <c r="H467" s="2"/>
      <c r="L467" s="2"/>
    </row>
    <row r="468" spans="3:12" ht="13.2">
      <c r="C468" s="2"/>
      <c r="H468" s="2"/>
      <c r="L468" s="2"/>
    </row>
    <row r="469" spans="3:12" ht="13.2">
      <c r="C469" s="2"/>
      <c r="H469" s="2"/>
      <c r="L469" s="2"/>
    </row>
    <row r="470" spans="3:12" ht="13.2">
      <c r="C470" s="2"/>
      <c r="H470" s="2"/>
      <c r="L470" s="2"/>
    </row>
    <row r="471" spans="3:12" ht="13.2">
      <c r="C471" s="2"/>
      <c r="H471" s="2"/>
      <c r="L471" s="2"/>
    </row>
    <row r="472" spans="3:12" ht="13.2">
      <c r="C472" s="2"/>
      <c r="H472" s="2"/>
      <c r="L472" s="2"/>
    </row>
    <row r="473" spans="3:12" ht="13.2">
      <c r="C473" s="2"/>
      <c r="H473" s="2"/>
      <c r="L473" s="2"/>
    </row>
    <row r="474" spans="3:12" ht="13.2">
      <c r="C474" s="2"/>
      <c r="H474" s="2"/>
      <c r="L474" s="2"/>
    </row>
    <row r="475" spans="3:12" ht="13.2">
      <c r="C475" s="2"/>
      <c r="H475" s="2"/>
      <c r="L475" s="2"/>
    </row>
    <row r="476" spans="3:12" ht="13.2">
      <c r="C476" s="2"/>
      <c r="H476" s="2"/>
      <c r="L476" s="2"/>
    </row>
    <row r="477" spans="3:12" ht="13.2">
      <c r="C477" s="2"/>
      <c r="H477" s="2"/>
      <c r="L477" s="2"/>
    </row>
    <row r="478" spans="3:12" ht="13.2">
      <c r="C478" s="2"/>
      <c r="H478" s="2"/>
      <c r="L478" s="2"/>
    </row>
    <row r="479" spans="3:12" ht="13.2">
      <c r="C479" s="2"/>
      <c r="H479" s="2"/>
      <c r="L479" s="2"/>
    </row>
    <row r="480" spans="3:12" ht="13.2">
      <c r="C480" s="2"/>
      <c r="H480" s="2"/>
      <c r="L480" s="2"/>
    </row>
    <row r="481" spans="3:12" ht="13.2">
      <c r="C481" s="2"/>
      <c r="H481" s="2"/>
      <c r="L481" s="2"/>
    </row>
    <row r="482" spans="3:12" ht="13.2">
      <c r="C482" s="2"/>
      <c r="H482" s="2"/>
      <c r="L482" s="2"/>
    </row>
    <row r="483" spans="3:12" ht="13.2">
      <c r="C483" s="2"/>
      <c r="H483" s="2"/>
      <c r="L483" s="2"/>
    </row>
    <row r="484" spans="3:12" ht="13.2">
      <c r="C484" s="2"/>
      <c r="H484" s="2"/>
      <c r="L484" s="2"/>
    </row>
    <row r="485" spans="3:12" ht="13.2">
      <c r="C485" s="2"/>
      <c r="H485" s="2"/>
      <c r="L485" s="2"/>
    </row>
    <row r="486" spans="3:12" ht="13.2">
      <c r="C486" s="2"/>
      <c r="H486" s="2"/>
      <c r="L486" s="2"/>
    </row>
    <row r="487" spans="3:12" ht="13.2">
      <c r="C487" s="2"/>
      <c r="H487" s="2"/>
      <c r="L487" s="2"/>
    </row>
    <row r="488" spans="3:12" ht="13.2">
      <c r="C488" s="2"/>
      <c r="H488" s="2"/>
      <c r="L488" s="2"/>
    </row>
    <row r="489" spans="3:12" ht="13.2">
      <c r="C489" s="2"/>
      <c r="H489" s="2"/>
      <c r="L489" s="2"/>
    </row>
    <row r="490" spans="3:12" ht="13.2">
      <c r="C490" s="2"/>
      <c r="H490" s="2"/>
      <c r="L490" s="2"/>
    </row>
    <row r="491" spans="3:12" ht="13.2">
      <c r="C491" s="2"/>
      <c r="H491" s="2"/>
      <c r="L491" s="2"/>
    </row>
    <row r="492" spans="3:12" ht="13.2">
      <c r="C492" s="2"/>
      <c r="H492" s="2"/>
      <c r="L492" s="2"/>
    </row>
    <row r="493" spans="3:12" ht="13.2">
      <c r="C493" s="2"/>
      <c r="H493" s="2"/>
      <c r="L493" s="2"/>
    </row>
    <row r="494" spans="3:12" ht="13.2">
      <c r="C494" s="2"/>
      <c r="H494" s="2"/>
      <c r="L494" s="2"/>
    </row>
    <row r="495" spans="3:12" ht="13.2">
      <c r="C495" s="2"/>
      <c r="H495" s="2"/>
      <c r="L495" s="2"/>
    </row>
    <row r="496" spans="3:12" ht="13.2">
      <c r="C496" s="2"/>
      <c r="H496" s="2"/>
      <c r="L496" s="2"/>
    </row>
    <row r="497" spans="3:12" ht="13.2">
      <c r="C497" s="2"/>
      <c r="H497" s="2"/>
      <c r="L497" s="2"/>
    </row>
    <row r="498" spans="3:12" ht="13.2">
      <c r="C498" s="2"/>
      <c r="H498" s="2"/>
      <c r="L498" s="2"/>
    </row>
    <row r="499" spans="3:12" ht="13.2">
      <c r="C499" s="2"/>
      <c r="H499" s="2"/>
      <c r="L499" s="2"/>
    </row>
    <row r="500" spans="3:12" ht="13.2">
      <c r="C500" s="2"/>
      <c r="H500" s="2"/>
      <c r="L500" s="2"/>
    </row>
    <row r="501" spans="3:12" ht="13.2">
      <c r="C501" s="2"/>
      <c r="H501" s="2"/>
      <c r="L501" s="2"/>
    </row>
    <row r="502" spans="3:12" ht="13.2">
      <c r="C502" s="2"/>
      <c r="H502" s="2"/>
      <c r="L502" s="2"/>
    </row>
    <row r="503" spans="3:12" ht="13.2">
      <c r="C503" s="2"/>
      <c r="H503" s="2"/>
      <c r="L503" s="2"/>
    </row>
    <row r="504" spans="3:12" ht="13.2">
      <c r="C504" s="2"/>
      <c r="H504" s="2"/>
      <c r="L504" s="2"/>
    </row>
    <row r="505" spans="3:12" ht="13.2">
      <c r="C505" s="2"/>
      <c r="H505" s="2"/>
      <c r="L505" s="2"/>
    </row>
    <row r="506" spans="3:12" ht="13.2">
      <c r="C506" s="2"/>
      <c r="H506" s="2"/>
      <c r="L506" s="2"/>
    </row>
    <row r="507" spans="3:12" ht="13.2">
      <c r="C507" s="2"/>
      <c r="H507" s="2"/>
      <c r="L507" s="2"/>
    </row>
    <row r="508" spans="3:12" ht="13.2">
      <c r="C508" s="2"/>
      <c r="H508" s="2"/>
      <c r="L508" s="2"/>
    </row>
    <row r="509" spans="3:12" ht="13.2">
      <c r="C509" s="2"/>
      <c r="H509" s="2"/>
      <c r="L509" s="2"/>
    </row>
    <row r="510" spans="3:12" ht="13.2">
      <c r="C510" s="2"/>
      <c r="H510" s="2"/>
      <c r="L510" s="2"/>
    </row>
    <row r="511" spans="3:12" ht="13.2">
      <c r="C511" s="2"/>
      <c r="H511" s="2"/>
      <c r="L511" s="2"/>
    </row>
    <row r="512" spans="3:12" ht="13.2">
      <c r="C512" s="2"/>
      <c r="H512" s="2"/>
      <c r="L512" s="2"/>
    </row>
    <row r="513" spans="3:12" ht="13.2">
      <c r="C513" s="2"/>
      <c r="H513" s="2"/>
      <c r="L513" s="2"/>
    </row>
    <row r="514" spans="3:12" ht="13.2">
      <c r="C514" s="2"/>
      <c r="H514" s="2"/>
      <c r="L514" s="2"/>
    </row>
    <row r="515" spans="3:12" ht="13.2">
      <c r="C515" s="2"/>
      <c r="H515" s="2"/>
      <c r="L515" s="2"/>
    </row>
    <row r="516" spans="3:12" ht="13.2">
      <c r="C516" s="2"/>
      <c r="H516" s="2"/>
      <c r="L516" s="2"/>
    </row>
    <row r="517" spans="3:12" ht="13.2">
      <c r="C517" s="2"/>
      <c r="H517" s="2"/>
      <c r="L517" s="2"/>
    </row>
    <row r="518" spans="3:12" ht="13.2">
      <c r="C518" s="2"/>
      <c r="H518" s="2"/>
      <c r="L518" s="2"/>
    </row>
    <row r="519" spans="3:12" ht="13.2">
      <c r="C519" s="2"/>
      <c r="H519" s="2"/>
      <c r="L519" s="2"/>
    </row>
    <row r="520" spans="3:12" ht="13.2">
      <c r="C520" s="2"/>
      <c r="H520" s="2"/>
      <c r="L520" s="2"/>
    </row>
    <row r="521" spans="3:12" ht="13.2">
      <c r="C521" s="2"/>
      <c r="H521" s="2"/>
      <c r="L521" s="2"/>
    </row>
    <row r="522" spans="3:12" ht="13.2">
      <c r="C522" s="2"/>
      <c r="H522" s="2"/>
      <c r="L522" s="2"/>
    </row>
    <row r="523" spans="3:12" ht="13.2">
      <c r="C523" s="2"/>
      <c r="H523" s="2"/>
      <c r="L523" s="2"/>
    </row>
    <row r="524" spans="3:12" ht="13.2">
      <c r="C524" s="2"/>
      <c r="H524" s="2"/>
      <c r="L524" s="2"/>
    </row>
    <row r="525" spans="3:12" ht="13.2">
      <c r="C525" s="2"/>
      <c r="H525" s="2"/>
      <c r="L525" s="2"/>
    </row>
    <row r="526" spans="3:12" ht="13.2">
      <c r="C526" s="2"/>
      <c r="H526" s="2"/>
      <c r="L526" s="2"/>
    </row>
    <row r="527" spans="3:12" ht="13.2">
      <c r="C527" s="2"/>
      <c r="H527" s="2"/>
      <c r="L527" s="2"/>
    </row>
    <row r="528" spans="3:12" ht="13.2">
      <c r="C528" s="2"/>
      <c r="H528" s="2"/>
      <c r="L528" s="2"/>
    </row>
    <row r="529" spans="3:12" ht="13.2">
      <c r="C529" s="2"/>
      <c r="H529" s="2"/>
      <c r="L529" s="2"/>
    </row>
    <row r="530" spans="3:12" ht="13.2">
      <c r="C530" s="2"/>
      <c r="H530" s="2"/>
      <c r="L530" s="2"/>
    </row>
    <row r="531" spans="3:12" ht="13.2">
      <c r="C531" s="2"/>
      <c r="H531" s="2"/>
      <c r="L531" s="2"/>
    </row>
    <row r="532" spans="3:12" ht="13.2">
      <c r="C532" s="2"/>
      <c r="H532" s="2"/>
      <c r="L532" s="2"/>
    </row>
    <row r="533" spans="3:12" ht="13.2">
      <c r="C533" s="2"/>
      <c r="H533" s="2"/>
      <c r="L533" s="2"/>
    </row>
    <row r="534" spans="3:12" ht="13.2">
      <c r="C534" s="2"/>
      <c r="H534" s="2"/>
      <c r="L534" s="2"/>
    </row>
    <row r="535" spans="3:12" ht="13.2">
      <c r="C535" s="2"/>
      <c r="H535" s="2"/>
      <c r="L535" s="2"/>
    </row>
    <row r="536" spans="3:12" ht="13.2">
      <c r="C536" s="2"/>
      <c r="H536" s="2"/>
      <c r="L536" s="2"/>
    </row>
    <row r="537" spans="3:12" ht="13.2">
      <c r="C537" s="2"/>
      <c r="H537" s="2"/>
      <c r="L537" s="2"/>
    </row>
    <row r="538" spans="3:12" ht="13.2">
      <c r="C538" s="2"/>
      <c r="H538" s="2"/>
      <c r="L538" s="2"/>
    </row>
    <row r="539" spans="3:12" ht="13.2">
      <c r="C539" s="2"/>
      <c r="H539" s="2"/>
      <c r="L539" s="2"/>
    </row>
    <row r="540" spans="3:12" ht="13.2">
      <c r="C540" s="2"/>
      <c r="H540" s="2"/>
      <c r="L540" s="2"/>
    </row>
    <row r="541" spans="3:12" ht="13.2">
      <c r="C541" s="2"/>
      <c r="H541" s="2"/>
      <c r="L541" s="2"/>
    </row>
    <row r="542" spans="3:12" ht="13.2">
      <c r="C542" s="2"/>
      <c r="H542" s="2"/>
      <c r="L542" s="2"/>
    </row>
    <row r="543" spans="3:12" ht="13.2">
      <c r="C543" s="2"/>
      <c r="H543" s="2"/>
      <c r="L543" s="2"/>
    </row>
    <row r="544" spans="3:12" ht="13.2">
      <c r="C544" s="2"/>
      <c r="H544" s="2"/>
      <c r="L544" s="2"/>
    </row>
    <row r="545" spans="3:12" ht="13.2">
      <c r="C545" s="2"/>
      <c r="H545" s="2"/>
      <c r="L545" s="2"/>
    </row>
    <row r="546" spans="3:12" ht="13.2">
      <c r="C546" s="2"/>
      <c r="H546" s="2"/>
      <c r="L546" s="2"/>
    </row>
    <row r="547" spans="3:12" ht="13.2">
      <c r="C547" s="2"/>
      <c r="H547" s="2"/>
      <c r="L547" s="2"/>
    </row>
    <row r="548" spans="3:12" ht="13.2">
      <c r="C548" s="2"/>
      <c r="H548" s="2"/>
      <c r="L548" s="2"/>
    </row>
    <row r="549" spans="3:12" ht="13.2">
      <c r="C549" s="2"/>
      <c r="H549" s="2"/>
      <c r="L549" s="2"/>
    </row>
    <row r="550" spans="3:12" ht="13.2">
      <c r="C550" s="2"/>
      <c r="H550" s="2"/>
      <c r="L550" s="2"/>
    </row>
    <row r="551" spans="3:12" ht="13.2">
      <c r="C551" s="2"/>
      <c r="H551" s="2"/>
      <c r="L551" s="2"/>
    </row>
    <row r="552" spans="3:12" ht="13.2">
      <c r="C552" s="2"/>
      <c r="H552" s="2"/>
      <c r="L552" s="2"/>
    </row>
    <row r="553" spans="3:12" ht="13.2">
      <c r="C553" s="2"/>
      <c r="H553" s="2"/>
      <c r="L553" s="2"/>
    </row>
    <row r="554" spans="3:12" ht="13.2">
      <c r="C554" s="2"/>
      <c r="H554" s="2"/>
      <c r="L554" s="2"/>
    </row>
    <row r="555" spans="3:12" ht="13.2">
      <c r="C555" s="2"/>
      <c r="H555" s="2"/>
      <c r="L555" s="2"/>
    </row>
    <row r="556" spans="3:12" ht="13.2">
      <c r="C556" s="2"/>
      <c r="H556" s="2"/>
      <c r="L556" s="2"/>
    </row>
    <row r="557" spans="3:12" ht="13.2">
      <c r="C557" s="2"/>
      <c r="H557" s="2"/>
      <c r="L557" s="2"/>
    </row>
    <row r="558" spans="3:12" ht="13.2">
      <c r="C558" s="2"/>
      <c r="H558" s="2"/>
      <c r="L558" s="2"/>
    </row>
    <row r="559" spans="3:12" ht="13.2">
      <c r="C559" s="2"/>
      <c r="H559" s="2"/>
      <c r="L559" s="2"/>
    </row>
    <row r="560" spans="3:12" ht="13.2">
      <c r="C560" s="2"/>
      <c r="H560" s="2"/>
      <c r="L560" s="2"/>
    </row>
    <row r="561" spans="3:12" ht="13.2">
      <c r="C561" s="2"/>
      <c r="H561" s="2"/>
      <c r="L561" s="2"/>
    </row>
    <row r="562" spans="3:12" ht="13.2">
      <c r="C562" s="2"/>
      <c r="H562" s="2"/>
      <c r="L562" s="2"/>
    </row>
    <row r="563" spans="3:12" ht="13.2">
      <c r="C563" s="2"/>
      <c r="H563" s="2"/>
      <c r="L563" s="2"/>
    </row>
    <row r="564" spans="3:12" ht="13.2">
      <c r="C564" s="2"/>
      <c r="H564" s="2"/>
      <c r="L564" s="2"/>
    </row>
    <row r="565" spans="3:12" ht="13.2">
      <c r="C565" s="2"/>
      <c r="H565" s="2"/>
      <c r="L565" s="2"/>
    </row>
    <row r="566" spans="3:12" ht="13.2">
      <c r="C566" s="2"/>
      <c r="H566" s="2"/>
      <c r="L566" s="2"/>
    </row>
    <row r="567" spans="3:12" ht="13.2">
      <c r="C567" s="2"/>
      <c r="H567" s="2"/>
      <c r="L567" s="2"/>
    </row>
    <row r="568" spans="3:12" ht="13.2">
      <c r="C568" s="2"/>
      <c r="H568" s="2"/>
      <c r="L568" s="2"/>
    </row>
    <row r="569" spans="3:12" ht="13.2">
      <c r="C569" s="2"/>
      <c r="H569" s="2"/>
      <c r="L569" s="2"/>
    </row>
    <row r="570" spans="3:12" ht="13.2">
      <c r="C570" s="2"/>
      <c r="H570" s="2"/>
      <c r="L570" s="2"/>
    </row>
    <row r="571" spans="3:12" ht="13.2">
      <c r="C571" s="2"/>
      <c r="H571" s="2"/>
      <c r="L571" s="2"/>
    </row>
    <row r="572" spans="3:12" ht="13.2">
      <c r="C572" s="2"/>
      <c r="H572" s="2"/>
      <c r="L572" s="2"/>
    </row>
    <row r="573" spans="3:12" ht="13.2">
      <c r="C573" s="2"/>
      <c r="H573" s="2"/>
      <c r="L573" s="2"/>
    </row>
    <row r="574" spans="3:12" ht="13.2">
      <c r="C574" s="2"/>
      <c r="H574" s="2"/>
      <c r="L574" s="2"/>
    </row>
    <row r="575" spans="3:12" ht="13.2">
      <c r="C575" s="2"/>
      <c r="H575" s="2"/>
      <c r="L575" s="2"/>
    </row>
    <row r="576" spans="3:12" ht="13.2">
      <c r="C576" s="2"/>
      <c r="H576" s="2"/>
      <c r="L576" s="2"/>
    </row>
    <row r="577" spans="3:12" ht="13.2">
      <c r="C577" s="2"/>
      <c r="H577" s="2"/>
      <c r="L577" s="2"/>
    </row>
    <row r="578" spans="3:12" ht="13.2">
      <c r="C578" s="2"/>
      <c r="H578" s="2"/>
      <c r="L578" s="2"/>
    </row>
    <row r="579" spans="3:12" ht="13.2">
      <c r="C579" s="2"/>
      <c r="H579" s="2"/>
      <c r="L579" s="2"/>
    </row>
    <row r="580" spans="3:12" ht="13.2">
      <c r="C580" s="2"/>
      <c r="H580" s="2"/>
      <c r="L580" s="2"/>
    </row>
    <row r="581" spans="3:12" ht="13.2">
      <c r="C581" s="2"/>
      <c r="H581" s="2"/>
      <c r="L581" s="2"/>
    </row>
    <row r="582" spans="3:12" ht="13.2">
      <c r="C582" s="2"/>
      <c r="H582" s="2"/>
      <c r="L582" s="2"/>
    </row>
    <row r="583" spans="3:12" ht="13.2">
      <c r="C583" s="2"/>
      <c r="H583" s="2"/>
      <c r="L583" s="2"/>
    </row>
    <row r="584" spans="3:12" ht="13.2">
      <c r="C584" s="2"/>
      <c r="H584" s="2"/>
      <c r="L584" s="2"/>
    </row>
    <row r="585" spans="3:12" ht="13.2">
      <c r="C585" s="2"/>
      <c r="H585" s="2"/>
      <c r="L585" s="2"/>
    </row>
    <row r="586" spans="3:12" ht="13.2">
      <c r="C586" s="2"/>
      <c r="H586" s="2"/>
      <c r="L586" s="2"/>
    </row>
    <row r="587" spans="3:12" ht="13.2">
      <c r="C587" s="2"/>
      <c r="H587" s="2"/>
      <c r="L587" s="2"/>
    </row>
    <row r="588" spans="3:12" ht="13.2">
      <c r="C588" s="2"/>
      <c r="H588" s="2"/>
      <c r="L588" s="2"/>
    </row>
    <row r="589" spans="3:12" ht="13.2">
      <c r="C589" s="2"/>
      <c r="H589" s="2"/>
      <c r="L589" s="2"/>
    </row>
    <row r="590" spans="3:12" ht="13.2">
      <c r="C590" s="2"/>
      <c r="H590" s="2"/>
      <c r="L590" s="2"/>
    </row>
    <row r="591" spans="3:12" ht="13.2">
      <c r="C591" s="2"/>
      <c r="H591" s="2"/>
      <c r="L591" s="2"/>
    </row>
    <row r="592" spans="3:12" ht="13.2">
      <c r="C592" s="2"/>
      <c r="H592" s="2"/>
      <c r="L592" s="2"/>
    </row>
    <row r="593" spans="3:12" ht="13.2">
      <c r="C593" s="2"/>
      <c r="H593" s="2"/>
      <c r="L593" s="2"/>
    </row>
    <row r="594" spans="3:12" ht="13.2">
      <c r="C594" s="2"/>
      <c r="H594" s="2"/>
      <c r="L594" s="2"/>
    </row>
    <row r="595" spans="3:12" ht="13.2">
      <c r="C595" s="2"/>
      <c r="H595" s="2"/>
      <c r="L595" s="2"/>
    </row>
    <row r="596" spans="3:12" ht="13.2">
      <c r="C596" s="2"/>
      <c r="H596" s="2"/>
      <c r="L596" s="2"/>
    </row>
    <row r="597" spans="3:12" ht="13.2">
      <c r="C597" s="2"/>
      <c r="H597" s="2"/>
      <c r="L597" s="2"/>
    </row>
    <row r="598" spans="3:12" ht="13.2">
      <c r="C598" s="2"/>
      <c r="H598" s="2"/>
      <c r="L598" s="2"/>
    </row>
    <row r="599" spans="3:12" ht="13.2">
      <c r="C599" s="2"/>
      <c r="H599" s="2"/>
      <c r="L599" s="2"/>
    </row>
    <row r="600" spans="3:12" ht="13.2">
      <c r="C600" s="2"/>
      <c r="H600" s="2"/>
      <c r="L600" s="2"/>
    </row>
    <row r="601" spans="3:12" ht="13.2">
      <c r="C601" s="2"/>
      <c r="H601" s="2"/>
      <c r="L601" s="2"/>
    </row>
    <row r="602" spans="3:12" ht="13.2">
      <c r="C602" s="2"/>
      <c r="H602" s="2"/>
      <c r="L602" s="2"/>
    </row>
    <row r="603" spans="3:12" ht="13.2">
      <c r="C603" s="2"/>
      <c r="H603" s="2"/>
      <c r="L603" s="2"/>
    </row>
    <row r="604" spans="3:12" ht="13.2">
      <c r="C604" s="2"/>
      <c r="H604" s="2"/>
      <c r="L604" s="2"/>
    </row>
    <row r="605" spans="3:12" ht="13.2">
      <c r="C605" s="2"/>
      <c r="H605" s="2"/>
      <c r="L605" s="2"/>
    </row>
    <row r="606" spans="3:12" ht="13.2">
      <c r="C606" s="2"/>
      <c r="H606" s="2"/>
      <c r="L606" s="2"/>
    </row>
    <row r="607" spans="3:12" ht="13.2">
      <c r="C607" s="2"/>
      <c r="H607" s="2"/>
      <c r="L607" s="2"/>
    </row>
    <row r="608" spans="3:12" ht="13.2">
      <c r="C608" s="2"/>
      <c r="H608" s="2"/>
      <c r="L608" s="2"/>
    </row>
    <row r="609" spans="3:12" ht="13.2">
      <c r="C609" s="2"/>
      <c r="H609" s="2"/>
      <c r="L609" s="2"/>
    </row>
    <row r="610" spans="3:12" ht="13.2">
      <c r="C610" s="2"/>
      <c r="H610" s="2"/>
      <c r="L610" s="2"/>
    </row>
    <row r="611" spans="3:12" ht="13.2">
      <c r="C611" s="2"/>
      <c r="H611" s="2"/>
      <c r="L611" s="2"/>
    </row>
    <row r="612" spans="3:12" ht="13.2">
      <c r="C612" s="2"/>
      <c r="H612" s="2"/>
      <c r="L612" s="2"/>
    </row>
    <row r="613" spans="3:12" ht="13.2">
      <c r="C613" s="2"/>
      <c r="H613" s="2"/>
      <c r="L613" s="2"/>
    </row>
    <row r="614" spans="3:12" ht="13.2">
      <c r="C614" s="2"/>
      <c r="H614" s="2"/>
      <c r="L614" s="2"/>
    </row>
    <row r="615" spans="3:12" ht="13.2">
      <c r="C615" s="2"/>
      <c r="H615" s="2"/>
      <c r="L615" s="2"/>
    </row>
    <row r="616" spans="3:12" ht="13.2">
      <c r="C616" s="2"/>
      <c r="H616" s="2"/>
      <c r="L616" s="2"/>
    </row>
    <row r="617" spans="3:12" ht="13.2">
      <c r="C617" s="2"/>
      <c r="H617" s="2"/>
      <c r="L617" s="2"/>
    </row>
    <row r="618" spans="3:12" ht="13.2">
      <c r="C618" s="2"/>
      <c r="H618" s="2"/>
      <c r="L618" s="2"/>
    </row>
    <row r="619" spans="3:12" ht="13.2">
      <c r="C619" s="2"/>
      <c r="H619" s="2"/>
      <c r="L619" s="2"/>
    </row>
    <row r="620" spans="3:12" ht="13.2">
      <c r="C620" s="2"/>
      <c r="H620" s="2"/>
      <c r="L620" s="2"/>
    </row>
    <row r="621" spans="3:12" ht="13.2">
      <c r="C621" s="2"/>
      <c r="H621" s="2"/>
      <c r="L621" s="2"/>
    </row>
    <row r="622" spans="3:12" ht="13.2">
      <c r="C622" s="2"/>
      <c r="H622" s="2"/>
      <c r="L622" s="2"/>
    </row>
    <row r="623" spans="3:12" ht="13.2">
      <c r="C623" s="2"/>
      <c r="H623" s="2"/>
      <c r="L623" s="2"/>
    </row>
    <row r="624" spans="3:12" ht="13.2">
      <c r="C624" s="2"/>
      <c r="H624" s="2"/>
      <c r="L624" s="2"/>
    </row>
    <row r="625" spans="3:12" ht="13.2">
      <c r="C625" s="2"/>
      <c r="H625" s="2"/>
      <c r="L625" s="2"/>
    </row>
    <row r="626" spans="3:12" ht="13.2">
      <c r="C626" s="2"/>
      <c r="H626" s="2"/>
      <c r="L626" s="2"/>
    </row>
    <row r="627" spans="3:12" ht="13.2">
      <c r="C627" s="2"/>
      <c r="H627" s="2"/>
      <c r="L627" s="2"/>
    </row>
    <row r="628" spans="3:12" ht="13.2">
      <c r="C628" s="2"/>
      <c r="H628" s="2"/>
      <c r="L628" s="2"/>
    </row>
    <row r="629" spans="3:12" ht="13.2">
      <c r="C629" s="2"/>
      <c r="H629" s="2"/>
      <c r="L629" s="2"/>
    </row>
    <row r="630" spans="3:12" ht="13.2">
      <c r="C630" s="2"/>
      <c r="H630" s="2"/>
      <c r="L630" s="2"/>
    </row>
    <row r="631" spans="3:12" ht="13.2">
      <c r="C631" s="2"/>
      <c r="H631" s="2"/>
      <c r="L631" s="2"/>
    </row>
    <row r="632" spans="3:12" ht="13.2">
      <c r="C632" s="2"/>
      <c r="H632" s="2"/>
      <c r="L632" s="2"/>
    </row>
    <row r="633" spans="3:12" ht="13.2">
      <c r="C633" s="2"/>
      <c r="H633" s="2"/>
      <c r="L633" s="2"/>
    </row>
    <row r="634" spans="3:12" ht="13.2">
      <c r="C634" s="2"/>
      <c r="H634" s="2"/>
      <c r="L634" s="2"/>
    </row>
    <row r="635" spans="3:12" ht="13.2">
      <c r="C635" s="2"/>
      <c r="H635" s="2"/>
      <c r="L635" s="2"/>
    </row>
    <row r="636" spans="3:12" ht="13.2">
      <c r="C636" s="2"/>
      <c r="H636" s="2"/>
      <c r="L636" s="2"/>
    </row>
    <row r="637" spans="3:12" ht="13.2">
      <c r="C637" s="2"/>
      <c r="H637" s="2"/>
      <c r="L637" s="2"/>
    </row>
    <row r="638" spans="3:12" ht="13.2">
      <c r="C638" s="2"/>
      <c r="H638" s="2"/>
      <c r="L638" s="2"/>
    </row>
    <row r="639" spans="3:12" ht="13.2">
      <c r="C639" s="2"/>
      <c r="H639" s="2"/>
      <c r="L639" s="2"/>
    </row>
    <row r="640" spans="3:12" ht="13.2">
      <c r="C640" s="2"/>
      <c r="H640" s="2"/>
      <c r="L640" s="2"/>
    </row>
    <row r="641" spans="3:12" ht="13.2">
      <c r="C641" s="2"/>
      <c r="H641" s="2"/>
      <c r="L641" s="2"/>
    </row>
    <row r="642" spans="3:12" ht="13.2">
      <c r="C642" s="2"/>
      <c r="H642" s="2"/>
      <c r="L642" s="2"/>
    </row>
    <row r="643" spans="3:12" ht="13.2">
      <c r="C643" s="2"/>
      <c r="H643" s="2"/>
      <c r="L643" s="2"/>
    </row>
    <row r="644" spans="3:12" ht="13.2">
      <c r="C644" s="2"/>
      <c r="H644" s="2"/>
      <c r="L644" s="2"/>
    </row>
    <row r="645" spans="3:12" ht="13.2">
      <c r="C645" s="2"/>
      <c r="H645" s="2"/>
      <c r="L645" s="2"/>
    </row>
    <row r="646" spans="3:12" ht="13.2">
      <c r="C646" s="2"/>
      <c r="H646" s="2"/>
      <c r="L646" s="2"/>
    </row>
    <row r="647" spans="3:12" ht="13.2">
      <c r="C647" s="2"/>
      <c r="H647" s="2"/>
      <c r="L647" s="2"/>
    </row>
    <row r="648" spans="3:12" ht="13.2">
      <c r="C648" s="2"/>
      <c r="H648" s="2"/>
      <c r="L648" s="2"/>
    </row>
    <row r="649" spans="3:12" ht="13.2">
      <c r="C649" s="2"/>
      <c r="H649" s="2"/>
      <c r="L649" s="2"/>
    </row>
    <row r="650" spans="3:12" ht="13.2">
      <c r="C650" s="2"/>
      <c r="H650" s="2"/>
      <c r="L650" s="2"/>
    </row>
    <row r="651" spans="3:12" ht="13.2">
      <c r="C651" s="2"/>
      <c r="H651" s="2"/>
      <c r="L651" s="2"/>
    </row>
    <row r="652" spans="3:12" ht="13.2">
      <c r="C652" s="2"/>
      <c r="H652" s="2"/>
      <c r="L652" s="2"/>
    </row>
    <row r="653" spans="3:12" ht="13.2">
      <c r="C653" s="2"/>
      <c r="H653" s="2"/>
      <c r="L653" s="2"/>
    </row>
    <row r="654" spans="3:12" ht="13.2">
      <c r="C654" s="2"/>
      <c r="H654" s="2"/>
      <c r="L654" s="2"/>
    </row>
    <row r="655" spans="3:12" ht="13.2">
      <c r="C655" s="2"/>
      <c r="H655" s="2"/>
      <c r="L655" s="2"/>
    </row>
    <row r="656" spans="3:12" ht="13.2">
      <c r="C656" s="2"/>
      <c r="H656" s="2"/>
      <c r="L656" s="2"/>
    </row>
    <row r="657" spans="3:12" ht="13.2">
      <c r="C657" s="2"/>
      <c r="H657" s="2"/>
      <c r="L657" s="2"/>
    </row>
    <row r="658" spans="3:12" ht="13.2">
      <c r="C658" s="2"/>
      <c r="H658" s="2"/>
      <c r="L658" s="2"/>
    </row>
    <row r="659" spans="3:12" ht="13.2">
      <c r="C659" s="2"/>
      <c r="H659" s="2"/>
      <c r="L659" s="2"/>
    </row>
    <row r="660" spans="3:12" ht="13.2">
      <c r="C660" s="2"/>
      <c r="H660" s="2"/>
      <c r="L660" s="2"/>
    </row>
    <row r="661" spans="3:12" ht="13.2">
      <c r="C661" s="2"/>
      <c r="H661" s="2"/>
      <c r="L661" s="2"/>
    </row>
    <row r="662" spans="3:12" ht="13.2">
      <c r="C662" s="2"/>
      <c r="H662" s="2"/>
      <c r="L662" s="2"/>
    </row>
    <row r="663" spans="3:12" ht="13.2">
      <c r="C663" s="2"/>
      <c r="H663" s="2"/>
      <c r="L663" s="2"/>
    </row>
    <row r="664" spans="3:12" ht="13.2">
      <c r="C664" s="2"/>
      <c r="H664" s="2"/>
      <c r="L664" s="2"/>
    </row>
    <row r="665" spans="3:12" ht="13.2">
      <c r="C665" s="2"/>
      <c r="H665" s="2"/>
      <c r="L665" s="2"/>
    </row>
    <row r="666" spans="3:12" ht="13.2">
      <c r="C666" s="2"/>
      <c r="H666" s="2"/>
      <c r="L666" s="2"/>
    </row>
    <row r="667" spans="3:12" ht="13.2">
      <c r="C667" s="2"/>
      <c r="H667" s="2"/>
      <c r="L667" s="2"/>
    </row>
    <row r="668" spans="3:12" ht="13.2">
      <c r="C668" s="2"/>
      <c r="H668" s="2"/>
      <c r="L668" s="2"/>
    </row>
    <row r="669" spans="3:12" ht="13.2">
      <c r="C669" s="2"/>
      <c r="H669" s="2"/>
      <c r="L669" s="2"/>
    </row>
    <row r="670" spans="3:12" ht="13.2">
      <c r="C670" s="2"/>
      <c r="H670" s="2"/>
      <c r="L670" s="2"/>
    </row>
    <row r="671" spans="3:12" ht="13.2">
      <c r="C671" s="2"/>
      <c r="H671" s="2"/>
      <c r="L671" s="2"/>
    </row>
    <row r="672" spans="3:12" ht="13.2">
      <c r="C672" s="2"/>
      <c r="H672" s="2"/>
      <c r="L672" s="2"/>
    </row>
    <row r="673" spans="3:12" ht="13.2">
      <c r="C673" s="2"/>
      <c r="H673" s="2"/>
      <c r="L673" s="2"/>
    </row>
    <row r="674" spans="3:12" ht="13.2">
      <c r="C674" s="2"/>
      <c r="H674" s="2"/>
      <c r="L674" s="2"/>
    </row>
    <row r="675" spans="3:12" ht="13.2">
      <c r="C675" s="2"/>
      <c r="H675" s="2"/>
      <c r="L675" s="2"/>
    </row>
    <row r="676" spans="3:12" ht="13.2">
      <c r="C676" s="2"/>
      <c r="H676" s="2"/>
      <c r="L676" s="2"/>
    </row>
    <row r="677" spans="3:12" ht="13.2">
      <c r="C677" s="2"/>
      <c r="H677" s="2"/>
      <c r="L677" s="2"/>
    </row>
    <row r="678" spans="3:12" ht="13.2">
      <c r="C678" s="2"/>
      <c r="H678" s="2"/>
      <c r="L678" s="2"/>
    </row>
    <row r="679" spans="3:12" ht="13.2">
      <c r="C679" s="2"/>
      <c r="H679" s="2"/>
      <c r="L679" s="2"/>
    </row>
    <row r="680" spans="3:12" ht="13.2">
      <c r="C680" s="2"/>
      <c r="H680" s="2"/>
      <c r="L680" s="2"/>
    </row>
    <row r="681" spans="3:12" ht="13.2">
      <c r="C681" s="2"/>
      <c r="H681" s="2"/>
      <c r="L681" s="2"/>
    </row>
    <row r="682" spans="3:12" ht="13.2">
      <c r="C682" s="2"/>
      <c r="H682" s="2"/>
      <c r="L682" s="2"/>
    </row>
    <row r="683" spans="3:12" ht="13.2">
      <c r="C683" s="2"/>
      <c r="H683" s="2"/>
      <c r="L683" s="2"/>
    </row>
    <row r="684" spans="3:12" ht="13.2">
      <c r="C684" s="2"/>
      <c r="H684" s="2"/>
      <c r="L684" s="2"/>
    </row>
    <row r="685" spans="3:12" ht="13.2">
      <c r="C685" s="2"/>
      <c r="H685" s="2"/>
      <c r="L685" s="2"/>
    </row>
    <row r="686" spans="3:12" ht="13.2">
      <c r="C686" s="2"/>
      <c r="H686" s="2"/>
      <c r="L686" s="2"/>
    </row>
    <row r="687" spans="3:12" ht="13.2">
      <c r="C687" s="2"/>
      <c r="H687" s="2"/>
      <c r="L687" s="2"/>
    </row>
    <row r="688" spans="3:12" ht="13.2">
      <c r="C688" s="2"/>
      <c r="H688" s="2"/>
      <c r="L688" s="2"/>
    </row>
    <row r="689" spans="3:12" ht="13.2">
      <c r="C689" s="2"/>
      <c r="H689" s="2"/>
      <c r="L689" s="2"/>
    </row>
    <row r="690" spans="3:12" ht="13.2">
      <c r="C690" s="2"/>
      <c r="H690" s="2"/>
      <c r="L690" s="2"/>
    </row>
    <row r="691" spans="3:12" ht="13.2">
      <c r="C691" s="2"/>
      <c r="H691" s="2"/>
      <c r="L691" s="2"/>
    </row>
    <row r="692" spans="3:12" ht="13.2">
      <c r="C692" s="2"/>
      <c r="H692" s="2"/>
      <c r="L692" s="2"/>
    </row>
    <row r="693" spans="3:12" ht="13.2">
      <c r="C693" s="2"/>
      <c r="H693" s="2"/>
      <c r="L693" s="2"/>
    </row>
    <row r="694" spans="3:12" ht="13.2">
      <c r="C694" s="2"/>
      <c r="H694" s="2"/>
      <c r="L694" s="2"/>
    </row>
    <row r="695" spans="3:12" ht="13.2">
      <c r="C695" s="2"/>
      <c r="H695" s="2"/>
      <c r="L695" s="2"/>
    </row>
    <row r="696" spans="3:12" ht="13.2">
      <c r="C696" s="2"/>
      <c r="H696" s="2"/>
      <c r="L696" s="2"/>
    </row>
    <row r="697" spans="3:12" ht="13.2">
      <c r="C697" s="2"/>
      <c r="H697" s="2"/>
      <c r="L697" s="2"/>
    </row>
    <row r="698" spans="3:12" ht="13.2">
      <c r="C698" s="2"/>
      <c r="H698" s="2"/>
      <c r="L698" s="2"/>
    </row>
    <row r="699" spans="3:12" ht="13.2">
      <c r="C699" s="2"/>
      <c r="H699" s="2"/>
      <c r="L699" s="2"/>
    </row>
    <row r="700" spans="3:12" ht="13.2">
      <c r="C700" s="2"/>
      <c r="H700" s="2"/>
      <c r="L700" s="2"/>
    </row>
    <row r="701" spans="3:12" ht="13.2">
      <c r="C701" s="2"/>
      <c r="H701" s="2"/>
      <c r="L701" s="2"/>
    </row>
    <row r="702" spans="3:12" ht="13.2">
      <c r="C702" s="2"/>
      <c r="H702" s="2"/>
      <c r="L702" s="2"/>
    </row>
    <row r="703" spans="3:12" ht="13.2">
      <c r="C703" s="2"/>
      <c r="H703" s="2"/>
      <c r="L703" s="2"/>
    </row>
    <row r="704" spans="3:12" ht="13.2">
      <c r="C704" s="2"/>
      <c r="H704" s="2"/>
      <c r="L704" s="2"/>
    </row>
    <row r="705" spans="3:12" ht="13.2">
      <c r="C705" s="2"/>
      <c r="H705" s="2"/>
      <c r="L705" s="2"/>
    </row>
    <row r="706" spans="3:12" ht="13.2">
      <c r="C706" s="2"/>
      <c r="H706" s="2"/>
      <c r="L706" s="2"/>
    </row>
    <row r="707" spans="3:12" ht="13.2">
      <c r="C707" s="2"/>
      <c r="H707" s="2"/>
      <c r="L707" s="2"/>
    </row>
    <row r="708" spans="3:12" ht="13.2">
      <c r="C708" s="2"/>
      <c r="H708" s="2"/>
      <c r="L708" s="2"/>
    </row>
    <row r="709" spans="3:12" ht="13.2">
      <c r="C709" s="2"/>
      <c r="H709" s="2"/>
      <c r="L709" s="2"/>
    </row>
    <row r="710" spans="3:12" ht="13.2">
      <c r="C710" s="2"/>
      <c r="H710" s="2"/>
      <c r="L710" s="2"/>
    </row>
    <row r="711" spans="3:12" ht="13.2">
      <c r="C711" s="2"/>
      <c r="H711" s="2"/>
      <c r="L711" s="2"/>
    </row>
    <row r="712" spans="3:12" ht="13.2">
      <c r="C712" s="2"/>
      <c r="H712" s="2"/>
      <c r="L712" s="2"/>
    </row>
    <row r="713" spans="3:12" ht="13.2">
      <c r="C713" s="2"/>
      <c r="H713" s="2"/>
      <c r="L713" s="2"/>
    </row>
    <row r="714" spans="3:12" ht="13.2">
      <c r="C714" s="2"/>
      <c r="H714" s="2"/>
      <c r="L714" s="2"/>
    </row>
    <row r="715" spans="3:12" ht="13.2">
      <c r="C715" s="2"/>
      <c r="H715" s="2"/>
      <c r="L715" s="2"/>
    </row>
    <row r="716" spans="3:12" ht="13.2">
      <c r="C716" s="2"/>
      <c r="H716" s="2"/>
      <c r="L716" s="2"/>
    </row>
    <row r="717" spans="3:12" ht="13.2">
      <c r="C717" s="2"/>
      <c r="H717" s="2"/>
      <c r="L717" s="2"/>
    </row>
    <row r="718" spans="3:12" ht="13.2">
      <c r="C718" s="2"/>
      <c r="H718" s="2"/>
      <c r="L718" s="2"/>
    </row>
    <row r="719" spans="3:12" ht="13.2">
      <c r="C719" s="2"/>
      <c r="H719" s="2"/>
      <c r="L719" s="2"/>
    </row>
    <row r="720" spans="3:12" ht="13.2">
      <c r="C720" s="2"/>
      <c r="H720" s="2"/>
      <c r="L720" s="2"/>
    </row>
    <row r="721" spans="3:12" ht="13.2">
      <c r="C721" s="2"/>
      <c r="H721" s="2"/>
      <c r="L721" s="2"/>
    </row>
    <row r="722" spans="3:12" ht="13.2">
      <c r="C722" s="2"/>
      <c r="H722" s="2"/>
      <c r="L722" s="2"/>
    </row>
    <row r="723" spans="3:12" ht="13.2">
      <c r="C723" s="2"/>
      <c r="H723" s="2"/>
      <c r="L723" s="2"/>
    </row>
    <row r="724" spans="3:12" ht="13.2">
      <c r="C724" s="2"/>
      <c r="H724" s="2"/>
      <c r="L724" s="2"/>
    </row>
    <row r="725" spans="3:12" ht="13.2">
      <c r="C725" s="2"/>
      <c r="H725" s="2"/>
      <c r="L725" s="2"/>
    </row>
    <row r="726" spans="3:12" ht="13.2">
      <c r="C726" s="2"/>
      <c r="H726" s="2"/>
      <c r="L726" s="2"/>
    </row>
    <row r="727" spans="3:12" ht="13.2">
      <c r="C727" s="2"/>
      <c r="H727" s="2"/>
      <c r="L727" s="2"/>
    </row>
    <row r="728" spans="3:12" ht="13.2">
      <c r="C728" s="2"/>
      <c r="H728" s="2"/>
      <c r="L728" s="2"/>
    </row>
    <row r="729" spans="3:12" ht="13.2">
      <c r="C729" s="2"/>
      <c r="H729" s="2"/>
      <c r="L729" s="2"/>
    </row>
    <row r="730" spans="3:12" ht="13.2">
      <c r="C730" s="2"/>
      <c r="H730" s="2"/>
      <c r="L730" s="2"/>
    </row>
    <row r="731" spans="3:12" ht="13.2">
      <c r="C731" s="2"/>
      <c r="H731" s="2"/>
      <c r="L731" s="2"/>
    </row>
    <row r="732" spans="3:12" ht="13.2">
      <c r="C732" s="2"/>
      <c r="H732" s="2"/>
      <c r="L732" s="2"/>
    </row>
    <row r="733" spans="3:12" ht="13.2">
      <c r="C733" s="2"/>
      <c r="H733" s="2"/>
      <c r="L733" s="2"/>
    </row>
    <row r="734" spans="3:12" ht="13.2">
      <c r="C734" s="2"/>
      <c r="H734" s="2"/>
      <c r="L734" s="2"/>
    </row>
    <row r="735" spans="3:12" ht="13.2">
      <c r="C735" s="2"/>
      <c r="H735" s="2"/>
      <c r="L735" s="2"/>
    </row>
    <row r="736" spans="3:12" ht="13.2">
      <c r="C736" s="2"/>
      <c r="H736" s="2"/>
      <c r="L736" s="2"/>
    </row>
    <row r="737" spans="3:12" ht="13.2">
      <c r="C737" s="2"/>
      <c r="H737" s="2"/>
      <c r="L737" s="2"/>
    </row>
    <row r="738" spans="3:12" ht="13.2">
      <c r="C738" s="2"/>
      <c r="H738" s="2"/>
      <c r="L738" s="2"/>
    </row>
    <row r="739" spans="3:12" ht="13.2">
      <c r="C739" s="2"/>
      <c r="H739" s="2"/>
      <c r="L739" s="2"/>
    </row>
    <row r="740" spans="3:12" ht="13.2">
      <c r="C740" s="2"/>
      <c r="H740" s="2"/>
      <c r="L740" s="2"/>
    </row>
    <row r="741" spans="3:12" ht="13.2">
      <c r="C741" s="2"/>
      <c r="H741" s="2"/>
      <c r="L741" s="2"/>
    </row>
    <row r="742" spans="3:12" ht="13.2">
      <c r="C742" s="2"/>
      <c r="H742" s="2"/>
      <c r="L742" s="2"/>
    </row>
    <row r="743" spans="3:12" ht="13.2">
      <c r="C743" s="2"/>
      <c r="H743" s="2"/>
      <c r="L743" s="2"/>
    </row>
    <row r="744" spans="3:12" ht="13.2">
      <c r="C744" s="2"/>
      <c r="H744" s="2"/>
      <c r="L744" s="2"/>
    </row>
    <row r="745" spans="3:12" ht="13.2">
      <c r="C745" s="2"/>
      <c r="H745" s="2"/>
      <c r="L745" s="2"/>
    </row>
    <row r="746" spans="3:12" ht="13.2">
      <c r="C746" s="2"/>
      <c r="H746" s="2"/>
      <c r="L746" s="2"/>
    </row>
    <row r="747" spans="3:12" ht="13.2">
      <c r="C747" s="2"/>
      <c r="H747" s="2"/>
      <c r="L747" s="2"/>
    </row>
    <row r="748" spans="3:12" ht="13.2">
      <c r="C748" s="2"/>
      <c r="H748" s="2"/>
      <c r="L748" s="2"/>
    </row>
    <row r="749" spans="3:12" ht="13.2">
      <c r="C749" s="2"/>
      <c r="H749" s="2"/>
      <c r="L749" s="2"/>
    </row>
    <row r="750" spans="3:12" ht="13.2">
      <c r="C750" s="2"/>
      <c r="H750" s="2"/>
      <c r="L750" s="2"/>
    </row>
    <row r="751" spans="3:12" ht="13.2">
      <c r="C751" s="2"/>
      <c r="H751" s="2"/>
      <c r="L751" s="2"/>
    </row>
    <row r="752" spans="3:12" ht="13.2">
      <c r="C752" s="2"/>
      <c r="H752" s="2"/>
      <c r="L752" s="2"/>
    </row>
    <row r="753" spans="3:12" ht="13.2">
      <c r="C753" s="2"/>
      <c r="H753" s="2"/>
      <c r="L753" s="2"/>
    </row>
    <row r="754" spans="3:12" ht="13.2">
      <c r="C754" s="2"/>
      <c r="H754" s="2"/>
      <c r="L754" s="2"/>
    </row>
    <row r="755" spans="3:12" ht="13.2">
      <c r="C755" s="2"/>
      <c r="H755" s="2"/>
      <c r="L755" s="2"/>
    </row>
    <row r="756" spans="3:12" ht="13.2">
      <c r="C756" s="2"/>
      <c r="H756" s="2"/>
      <c r="L756" s="2"/>
    </row>
    <row r="757" spans="3:12" ht="13.2">
      <c r="C757" s="2"/>
      <c r="H757" s="2"/>
      <c r="L757" s="2"/>
    </row>
    <row r="758" spans="3:12" ht="13.2">
      <c r="C758" s="2"/>
      <c r="H758" s="2"/>
      <c r="L758" s="2"/>
    </row>
    <row r="759" spans="3:12" ht="13.2">
      <c r="C759" s="2"/>
      <c r="H759" s="2"/>
      <c r="L759" s="2"/>
    </row>
    <row r="760" spans="3:12" ht="13.2">
      <c r="C760" s="2"/>
      <c r="H760" s="2"/>
      <c r="L760" s="2"/>
    </row>
    <row r="761" spans="3:12" ht="13.2">
      <c r="C761" s="2"/>
      <c r="H761" s="2"/>
      <c r="L761" s="2"/>
    </row>
    <row r="762" spans="3:12" ht="13.2">
      <c r="C762" s="2"/>
      <c r="H762" s="2"/>
      <c r="L762" s="2"/>
    </row>
    <row r="763" spans="3:12" ht="13.2">
      <c r="C763" s="2"/>
      <c r="H763" s="2"/>
      <c r="L763" s="2"/>
    </row>
    <row r="764" spans="3:12" ht="13.2">
      <c r="C764" s="2"/>
      <c r="H764" s="2"/>
      <c r="L764" s="2"/>
    </row>
    <row r="765" spans="3:12" ht="13.2">
      <c r="C765" s="2"/>
      <c r="H765" s="2"/>
      <c r="L765" s="2"/>
    </row>
    <row r="766" spans="3:12" ht="13.2">
      <c r="C766" s="2"/>
      <c r="H766" s="2"/>
      <c r="L766" s="2"/>
    </row>
    <row r="767" spans="3:12" ht="13.2">
      <c r="C767" s="2"/>
      <c r="H767" s="2"/>
      <c r="L767" s="2"/>
    </row>
    <row r="768" spans="3:12" ht="13.2">
      <c r="C768" s="2"/>
      <c r="H768" s="2"/>
      <c r="L768" s="2"/>
    </row>
    <row r="769" spans="3:12" ht="13.2">
      <c r="C769" s="2"/>
      <c r="H769" s="2"/>
      <c r="L769" s="2"/>
    </row>
    <row r="770" spans="3:12" ht="13.2">
      <c r="C770" s="2"/>
      <c r="H770" s="2"/>
      <c r="L770" s="2"/>
    </row>
    <row r="771" spans="3:12" ht="13.2">
      <c r="C771" s="2"/>
      <c r="H771" s="2"/>
      <c r="L771" s="2"/>
    </row>
    <row r="772" spans="3:12" ht="13.2">
      <c r="C772" s="2"/>
      <c r="H772" s="2"/>
      <c r="L772" s="2"/>
    </row>
    <row r="773" spans="3:12" ht="13.2">
      <c r="C773" s="2"/>
      <c r="H773" s="2"/>
      <c r="L773" s="2"/>
    </row>
    <row r="774" spans="3:12" ht="13.2">
      <c r="C774" s="2"/>
      <c r="H774" s="2"/>
      <c r="L774" s="2"/>
    </row>
    <row r="775" spans="3:12" ht="13.2">
      <c r="C775" s="2"/>
      <c r="H775" s="2"/>
      <c r="L775" s="2"/>
    </row>
    <row r="776" spans="3:12" ht="13.2">
      <c r="C776" s="2"/>
      <c r="H776" s="2"/>
      <c r="L776" s="2"/>
    </row>
    <row r="777" spans="3:12" ht="13.2">
      <c r="C777" s="2"/>
      <c r="H777" s="2"/>
      <c r="L777" s="2"/>
    </row>
    <row r="778" spans="3:12" ht="13.2">
      <c r="C778" s="2"/>
      <c r="H778" s="2"/>
      <c r="L778" s="2"/>
    </row>
    <row r="779" spans="3:12" ht="13.2">
      <c r="C779" s="2"/>
      <c r="H779" s="2"/>
      <c r="L779" s="2"/>
    </row>
    <row r="780" spans="3:12" ht="13.2">
      <c r="C780" s="2"/>
      <c r="H780" s="2"/>
      <c r="L780" s="2"/>
    </row>
    <row r="781" spans="3:12" ht="13.2">
      <c r="C781" s="2"/>
      <c r="H781" s="2"/>
      <c r="L781" s="2"/>
    </row>
    <row r="782" spans="3:12" ht="13.2">
      <c r="C782" s="2"/>
      <c r="H782" s="2"/>
      <c r="L782" s="2"/>
    </row>
    <row r="783" spans="3:12" ht="13.2">
      <c r="C783" s="2"/>
      <c r="H783" s="2"/>
      <c r="L783" s="2"/>
    </row>
    <row r="784" spans="3:12" ht="13.2">
      <c r="C784" s="2"/>
      <c r="H784" s="2"/>
      <c r="L784" s="2"/>
    </row>
    <row r="785" spans="3:12" ht="13.2">
      <c r="C785" s="2"/>
      <c r="H785" s="2"/>
      <c r="L785" s="2"/>
    </row>
    <row r="786" spans="3:12" ht="13.2">
      <c r="C786" s="2"/>
      <c r="H786" s="2"/>
      <c r="L786" s="2"/>
    </row>
    <row r="787" spans="3:12" ht="13.2">
      <c r="C787" s="2"/>
      <c r="H787" s="2"/>
      <c r="L787" s="2"/>
    </row>
    <row r="788" spans="3:12" ht="13.2">
      <c r="C788" s="2"/>
      <c r="H788" s="2"/>
      <c r="L788" s="2"/>
    </row>
    <row r="789" spans="3:12" ht="13.2">
      <c r="C789" s="2"/>
      <c r="H789" s="2"/>
      <c r="L789" s="2"/>
    </row>
    <row r="790" spans="3:12" ht="13.2">
      <c r="C790" s="2"/>
      <c r="H790" s="2"/>
      <c r="L790" s="2"/>
    </row>
    <row r="791" spans="3:12" ht="13.2">
      <c r="C791" s="2"/>
      <c r="H791" s="2"/>
      <c r="L791" s="2"/>
    </row>
    <row r="792" spans="3:12" ht="13.2">
      <c r="C792" s="2"/>
      <c r="H792" s="2"/>
      <c r="L792" s="2"/>
    </row>
    <row r="793" spans="3:12" ht="13.2">
      <c r="C793" s="2"/>
      <c r="H793" s="2"/>
      <c r="L793" s="2"/>
    </row>
    <row r="794" spans="3:12" ht="13.2">
      <c r="C794" s="2"/>
      <c r="H794" s="2"/>
      <c r="L794" s="2"/>
    </row>
    <row r="795" spans="3:12" ht="13.2">
      <c r="C795" s="2"/>
      <c r="H795" s="2"/>
      <c r="L795" s="2"/>
    </row>
    <row r="796" spans="3:12" ht="13.2">
      <c r="C796" s="2"/>
      <c r="H796" s="2"/>
      <c r="L796" s="2"/>
    </row>
    <row r="797" spans="3:12" ht="13.2">
      <c r="C797" s="2"/>
      <c r="H797" s="2"/>
      <c r="L797" s="2"/>
    </row>
    <row r="798" spans="3:12" ht="13.2">
      <c r="C798" s="2"/>
      <c r="H798" s="2"/>
      <c r="L798" s="2"/>
    </row>
    <row r="799" spans="3:12" ht="13.2">
      <c r="C799" s="2"/>
      <c r="H799" s="2"/>
      <c r="L799" s="2"/>
    </row>
    <row r="800" spans="3:12" ht="13.2">
      <c r="C800" s="2"/>
      <c r="H800" s="2"/>
      <c r="L800" s="2"/>
    </row>
    <row r="801" spans="3:12" ht="13.2">
      <c r="C801" s="2"/>
      <c r="H801" s="2"/>
      <c r="L801" s="2"/>
    </row>
    <row r="802" spans="3:12" ht="13.2">
      <c r="C802" s="2"/>
      <c r="H802" s="2"/>
      <c r="L802" s="2"/>
    </row>
    <row r="803" spans="3:12" ht="13.2">
      <c r="C803" s="2"/>
      <c r="H803" s="2"/>
      <c r="L803" s="2"/>
    </row>
    <row r="804" spans="3:12" ht="13.2">
      <c r="C804" s="2"/>
      <c r="H804" s="2"/>
      <c r="L804" s="2"/>
    </row>
    <row r="805" spans="3:12" ht="13.2">
      <c r="C805" s="2"/>
      <c r="H805" s="2"/>
      <c r="L805" s="2"/>
    </row>
    <row r="806" spans="3:12" ht="13.2">
      <c r="C806" s="2"/>
      <c r="H806" s="2"/>
      <c r="L806" s="2"/>
    </row>
    <row r="807" spans="3:12" ht="13.2">
      <c r="C807" s="2"/>
      <c r="H807" s="2"/>
      <c r="L807" s="2"/>
    </row>
    <row r="808" spans="3:12" ht="13.2">
      <c r="C808" s="2"/>
      <c r="H808" s="2"/>
      <c r="L808" s="2"/>
    </row>
    <row r="809" spans="3:12" ht="13.2">
      <c r="C809" s="2"/>
      <c r="H809" s="2"/>
      <c r="L809" s="2"/>
    </row>
    <row r="810" spans="3:12" ht="13.2">
      <c r="C810" s="2"/>
      <c r="H810" s="2"/>
      <c r="L810" s="2"/>
    </row>
    <row r="811" spans="3:12" ht="13.2">
      <c r="C811" s="2"/>
      <c r="H811" s="2"/>
      <c r="L811" s="2"/>
    </row>
    <row r="812" spans="3:12" ht="13.2">
      <c r="C812" s="2"/>
      <c r="H812" s="2"/>
      <c r="L812" s="2"/>
    </row>
    <row r="813" spans="3:12" ht="13.2">
      <c r="C813" s="2"/>
      <c r="H813" s="2"/>
      <c r="L813" s="2"/>
    </row>
    <row r="814" spans="3:12" ht="13.2">
      <c r="C814" s="2"/>
      <c r="H814" s="2"/>
      <c r="L814" s="2"/>
    </row>
    <row r="815" spans="3:12" ht="13.2">
      <c r="C815" s="2"/>
      <c r="H815" s="2"/>
      <c r="L815" s="2"/>
    </row>
    <row r="816" spans="3:12" ht="13.2">
      <c r="C816" s="2"/>
      <c r="H816" s="2"/>
      <c r="L816" s="2"/>
    </row>
    <row r="817" spans="3:12" ht="13.2">
      <c r="C817" s="2"/>
      <c r="H817" s="2"/>
      <c r="L817" s="2"/>
    </row>
    <row r="818" spans="3:12" ht="13.2">
      <c r="C818" s="2"/>
      <c r="H818" s="2"/>
      <c r="L818" s="2"/>
    </row>
    <row r="819" spans="3:12" ht="13.2">
      <c r="C819" s="2"/>
      <c r="H819" s="2"/>
      <c r="L819" s="2"/>
    </row>
    <row r="820" spans="3:12" ht="13.2">
      <c r="C820" s="2"/>
      <c r="H820" s="2"/>
      <c r="L820" s="2"/>
    </row>
    <row r="821" spans="3:12" ht="13.2">
      <c r="C821" s="2"/>
      <c r="H821" s="2"/>
      <c r="L821" s="2"/>
    </row>
    <row r="822" spans="3:12" ht="13.2">
      <c r="C822" s="2"/>
      <c r="H822" s="2"/>
      <c r="L822" s="2"/>
    </row>
    <row r="823" spans="3:12" ht="13.2">
      <c r="C823" s="2"/>
      <c r="H823" s="2"/>
      <c r="L823" s="2"/>
    </row>
    <row r="824" spans="3:12" ht="13.2">
      <c r="C824" s="2"/>
      <c r="H824" s="2"/>
      <c r="L824" s="2"/>
    </row>
    <row r="825" spans="3:12" ht="13.2">
      <c r="C825" s="2"/>
      <c r="H825" s="2"/>
      <c r="L825" s="2"/>
    </row>
    <row r="826" spans="3:12" ht="13.2">
      <c r="C826" s="2"/>
      <c r="H826" s="2"/>
      <c r="L826" s="2"/>
    </row>
    <row r="827" spans="3:12" ht="13.2">
      <c r="C827" s="2"/>
      <c r="H827" s="2"/>
      <c r="L827" s="2"/>
    </row>
    <row r="828" spans="3:12" ht="13.2">
      <c r="C828" s="2"/>
      <c r="H828" s="2"/>
      <c r="L828" s="2"/>
    </row>
    <row r="829" spans="3:12" ht="13.2">
      <c r="C829" s="2"/>
      <c r="H829" s="2"/>
      <c r="L829" s="2"/>
    </row>
    <row r="830" spans="3:12" ht="13.2">
      <c r="C830" s="2"/>
      <c r="H830" s="2"/>
      <c r="L830" s="2"/>
    </row>
    <row r="831" spans="3:12" ht="13.2">
      <c r="C831" s="2"/>
      <c r="H831" s="2"/>
      <c r="L831" s="2"/>
    </row>
    <row r="832" spans="3:12" ht="13.2">
      <c r="C832" s="2"/>
      <c r="H832" s="2"/>
      <c r="L832" s="2"/>
    </row>
    <row r="833" spans="3:12" ht="13.2">
      <c r="C833" s="2"/>
      <c r="H833" s="2"/>
      <c r="L833" s="2"/>
    </row>
    <row r="834" spans="3:12" ht="13.2">
      <c r="C834" s="2"/>
      <c r="H834" s="2"/>
      <c r="L834" s="2"/>
    </row>
    <row r="835" spans="3:12" ht="13.2">
      <c r="C835" s="2"/>
      <c r="H835" s="2"/>
      <c r="L835" s="2"/>
    </row>
    <row r="836" spans="3:12" ht="13.2">
      <c r="C836" s="2"/>
      <c r="H836" s="2"/>
      <c r="L836" s="2"/>
    </row>
    <row r="837" spans="3:12" ht="13.2">
      <c r="C837" s="2"/>
      <c r="H837" s="2"/>
      <c r="L837" s="2"/>
    </row>
    <row r="838" spans="3:12" ht="13.2">
      <c r="C838" s="2"/>
      <c r="H838" s="2"/>
      <c r="L838" s="2"/>
    </row>
    <row r="839" spans="3:12" ht="13.2">
      <c r="C839" s="2"/>
      <c r="H839" s="2"/>
      <c r="L839" s="2"/>
    </row>
    <row r="840" spans="3:12" ht="13.2">
      <c r="C840" s="2"/>
      <c r="H840" s="2"/>
      <c r="L840" s="2"/>
    </row>
    <row r="841" spans="3:12" ht="13.2">
      <c r="C841" s="2"/>
      <c r="H841" s="2"/>
      <c r="L841" s="2"/>
    </row>
    <row r="842" spans="3:12" ht="13.2">
      <c r="C842" s="2"/>
      <c r="H842" s="2"/>
      <c r="L842" s="2"/>
    </row>
    <row r="843" spans="3:12" ht="13.2">
      <c r="C843" s="2"/>
      <c r="H843" s="2"/>
      <c r="L843" s="2"/>
    </row>
    <row r="844" spans="3:12" ht="13.2">
      <c r="C844" s="2"/>
      <c r="H844" s="2"/>
      <c r="L844" s="2"/>
    </row>
    <row r="845" spans="3:12" ht="13.2">
      <c r="C845" s="2"/>
      <c r="H845" s="2"/>
      <c r="L845" s="2"/>
    </row>
    <row r="846" spans="3:12" ht="13.2">
      <c r="C846" s="2"/>
      <c r="H846" s="2"/>
      <c r="L846" s="2"/>
    </row>
    <row r="847" spans="3:12" ht="13.2">
      <c r="C847" s="2"/>
      <c r="H847" s="2"/>
      <c r="L847" s="2"/>
    </row>
    <row r="848" spans="3:12" ht="13.2">
      <c r="C848" s="2"/>
      <c r="H848" s="2"/>
      <c r="L848" s="2"/>
    </row>
    <row r="849" spans="3:12" ht="13.2">
      <c r="C849" s="2"/>
      <c r="H849" s="2"/>
      <c r="L849" s="2"/>
    </row>
    <row r="850" spans="3:12" ht="13.2">
      <c r="C850" s="2"/>
      <c r="H850" s="2"/>
      <c r="L850" s="2"/>
    </row>
    <row r="851" spans="3:12" ht="13.2">
      <c r="C851" s="2"/>
      <c r="H851" s="2"/>
      <c r="L851" s="2"/>
    </row>
    <row r="852" spans="3:12" ht="13.2">
      <c r="C852" s="2"/>
      <c r="H852" s="2"/>
      <c r="L852" s="2"/>
    </row>
    <row r="853" spans="3:12" ht="13.2">
      <c r="C853" s="2"/>
      <c r="H853" s="2"/>
      <c r="L853" s="2"/>
    </row>
    <row r="854" spans="3:12" ht="13.2">
      <c r="C854" s="2"/>
      <c r="H854" s="2"/>
      <c r="L854" s="2"/>
    </row>
    <row r="855" spans="3:12" ht="13.2">
      <c r="C855" s="2"/>
      <c r="H855" s="2"/>
      <c r="L855" s="2"/>
    </row>
    <row r="856" spans="3:12" ht="13.2">
      <c r="C856" s="2"/>
      <c r="H856" s="2"/>
      <c r="L856" s="2"/>
    </row>
    <row r="857" spans="3:12" ht="13.2">
      <c r="C857" s="2"/>
      <c r="H857" s="2"/>
      <c r="L857" s="2"/>
    </row>
    <row r="858" spans="3:12" ht="13.2">
      <c r="C858" s="2"/>
      <c r="H858" s="2"/>
      <c r="L858" s="2"/>
    </row>
    <row r="859" spans="3:12" ht="13.2">
      <c r="C859" s="2"/>
      <c r="H859" s="2"/>
      <c r="L859" s="2"/>
    </row>
    <row r="860" spans="3:12" ht="13.2">
      <c r="C860" s="2"/>
      <c r="H860" s="2"/>
      <c r="L860" s="2"/>
    </row>
    <row r="861" spans="3:12" ht="13.2">
      <c r="C861" s="2"/>
      <c r="H861" s="2"/>
      <c r="L861" s="2"/>
    </row>
    <row r="862" spans="3:12" ht="13.2">
      <c r="C862" s="2"/>
      <c r="H862" s="2"/>
      <c r="L862" s="2"/>
    </row>
    <row r="863" spans="3:12" ht="13.2">
      <c r="C863" s="2"/>
      <c r="H863" s="2"/>
      <c r="L863" s="2"/>
    </row>
    <row r="864" spans="3:12" ht="13.2">
      <c r="C864" s="2"/>
      <c r="H864" s="2"/>
      <c r="L864" s="2"/>
    </row>
    <row r="865" spans="3:12" ht="13.2">
      <c r="C865" s="2"/>
      <c r="H865" s="2"/>
      <c r="L865" s="2"/>
    </row>
    <row r="866" spans="3:12" ht="13.2">
      <c r="C866" s="2"/>
      <c r="H866" s="2"/>
      <c r="L866" s="2"/>
    </row>
    <row r="867" spans="3:12" ht="13.2">
      <c r="C867" s="2"/>
      <c r="H867" s="2"/>
      <c r="L867" s="2"/>
    </row>
    <row r="868" spans="3:12" ht="13.2">
      <c r="C868" s="2"/>
      <c r="H868" s="2"/>
      <c r="L868" s="2"/>
    </row>
    <row r="869" spans="3:12" ht="13.2">
      <c r="C869" s="2"/>
      <c r="H869" s="2"/>
      <c r="L869" s="2"/>
    </row>
    <row r="870" spans="3:12" ht="13.2">
      <c r="C870" s="2"/>
      <c r="H870" s="2"/>
      <c r="L870" s="2"/>
    </row>
    <row r="871" spans="3:12" ht="13.2">
      <c r="C871" s="2"/>
      <c r="H871" s="2"/>
      <c r="L871" s="2"/>
    </row>
    <row r="872" spans="3:12" ht="13.2">
      <c r="C872" s="2"/>
      <c r="H872" s="2"/>
      <c r="L872" s="2"/>
    </row>
    <row r="873" spans="3:12" ht="13.2">
      <c r="C873" s="2"/>
      <c r="H873" s="2"/>
      <c r="L873" s="2"/>
    </row>
    <row r="874" spans="3:12" ht="13.2">
      <c r="C874" s="2"/>
      <c r="H874" s="2"/>
      <c r="L874" s="2"/>
    </row>
    <row r="875" spans="3:12" ht="13.2">
      <c r="C875" s="2"/>
      <c r="H875" s="2"/>
      <c r="L875" s="2"/>
    </row>
    <row r="876" spans="3:12" ht="13.2">
      <c r="C876" s="2"/>
      <c r="H876" s="2"/>
      <c r="L876" s="2"/>
    </row>
    <row r="877" spans="3:12" ht="13.2">
      <c r="C877" s="2"/>
      <c r="H877" s="2"/>
      <c r="L877" s="2"/>
    </row>
    <row r="878" spans="3:12" ht="13.2">
      <c r="C878" s="2"/>
      <c r="H878" s="2"/>
      <c r="L878" s="2"/>
    </row>
    <row r="879" spans="3:12" ht="13.2">
      <c r="C879" s="2"/>
      <c r="H879" s="2"/>
      <c r="L879" s="2"/>
    </row>
    <row r="880" spans="3:12" ht="13.2">
      <c r="C880" s="2"/>
      <c r="H880" s="2"/>
      <c r="L880" s="2"/>
    </row>
    <row r="881" spans="3:12" ht="13.2">
      <c r="C881" s="2"/>
      <c r="H881" s="2"/>
      <c r="L881" s="2"/>
    </row>
    <row r="882" spans="3:12" ht="13.2">
      <c r="C882" s="2"/>
      <c r="H882" s="2"/>
      <c r="L882" s="2"/>
    </row>
    <row r="883" spans="3:12" ht="13.2">
      <c r="C883" s="2"/>
      <c r="H883" s="2"/>
      <c r="L883" s="2"/>
    </row>
    <row r="884" spans="3:12" ht="13.2">
      <c r="C884" s="2"/>
      <c r="H884" s="2"/>
      <c r="L884" s="2"/>
    </row>
    <row r="885" spans="3:12" ht="13.2">
      <c r="C885" s="2"/>
      <c r="H885" s="2"/>
      <c r="L885" s="2"/>
    </row>
    <row r="886" spans="3:12" ht="13.2">
      <c r="C886" s="2"/>
      <c r="H886" s="2"/>
      <c r="L886" s="2"/>
    </row>
    <row r="887" spans="3:12" ht="13.2">
      <c r="C887" s="2"/>
      <c r="H887" s="2"/>
      <c r="L887" s="2"/>
    </row>
    <row r="888" spans="3:12" ht="13.2">
      <c r="C888" s="2"/>
      <c r="H888" s="2"/>
      <c r="L888" s="2"/>
    </row>
    <row r="889" spans="3:12" ht="13.2">
      <c r="C889" s="2"/>
      <c r="H889" s="2"/>
      <c r="L889" s="2"/>
    </row>
    <row r="890" spans="3:12" ht="13.2">
      <c r="C890" s="2"/>
      <c r="H890" s="2"/>
      <c r="L890" s="2"/>
    </row>
    <row r="891" spans="3:12" ht="13.2">
      <c r="C891" s="2"/>
      <c r="H891" s="2"/>
      <c r="L891" s="2"/>
    </row>
    <row r="892" spans="3:12" ht="13.2">
      <c r="C892" s="2"/>
      <c r="H892" s="2"/>
      <c r="L892" s="2"/>
    </row>
    <row r="893" spans="3:12" ht="13.2">
      <c r="C893" s="2"/>
      <c r="H893" s="2"/>
      <c r="L893" s="2"/>
    </row>
    <row r="894" spans="3:12" ht="13.2">
      <c r="C894" s="2"/>
      <c r="H894" s="2"/>
      <c r="L894" s="2"/>
    </row>
    <row r="895" spans="3:12" ht="13.2">
      <c r="C895" s="2"/>
      <c r="H895" s="2"/>
      <c r="L895" s="2"/>
    </row>
    <row r="896" spans="3:12" ht="13.2">
      <c r="C896" s="2"/>
      <c r="H896" s="2"/>
      <c r="L896" s="2"/>
    </row>
    <row r="897" spans="3:12" ht="13.2">
      <c r="C897" s="2"/>
      <c r="H897" s="2"/>
      <c r="L897" s="2"/>
    </row>
    <row r="898" spans="3:12" ht="13.2">
      <c r="C898" s="2"/>
      <c r="H898" s="2"/>
      <c r="L898" s="2"/>
    </row>
    <row r="899" spans="3:12" ht="13.2">
      <c r="C899" s="2"/>
      <c r="H899" s="2"/>
      <c r="L899" s="2"/>
    </row>
    <row r="900" spans="3:12" ht="13.2">
      <c r="C900" s="2"/>
      <c r="H900" s="2"/>
      <c r="L900" s="2"/>
    </row>
    <row r="901" spans="3:12" ht="13.2">
      <c r="C901" s="2"/>
      <c r="H901" s="2"/>
      <c r="L901" s="2"/>
    </row>
    <row r="902" spans="3:12" ht="13.2">
      <c r="C902" s="2"/>
      <c r="H902" s="2"/>
      <c r="L902" s="2"/>
    </row>
    <row r="903" spans="3:12" ht="13.2">
      <c r="C903" s="2"/>
      <c r="H903" s="2"/>
      <c r="L903" s="2"/>
    </row>
    <row r="904" spans="3:12" ht="13.2">
      <c r="C904" s="2"/>
      <c r="H904" s="2"/>
      <c r="L904" s="2"/>
    </row>
    <row r="905" spans="3:12" ht="13.2">
      <c r="C905" s="2"/>
      <c r="H905" s="2"/>
      <c r="L905" s="2"/>
    </row>
    <row r="906" spans="3:12" ht="13.2">
      <c r="C906" s="2"/>
      <c r="H906" s="2"/>
      <c r="L906" s="2"/>
    </row>
    <row r="907" spans="3:12" ht="13.2">
      <c r="C907" s="2"/>
      <c r="H907" s="2"/>
      <c r="L907" s="2"/>
    </row>
    <row r="908" spans="3:12" ht="13.2">
      <c r="C908" s="2"/>
      <c r="H908" s="2"/>
      <c r="L908" s="2"/>
    </row>
    <row r="909" spans="3:12" ht="13.2">
      <c r="C909" s="2"/>
      <c r="H909" s="2"/>
      <c r="L909" s="2"/>
    </row>
    <row r="910" spans="3:12" ht="13.2">
      <c r="C910" s="2"/>
      <c r="H910" s="2"/>
      <c r="L910" s="2"/>
    </row>
    <row r="911" spans="3:12" ht="13.2">
      <c r="C911" s="2"/>
      <c r="H911" s="2"/>
      <c r="L911" s="2"/>
    </row>
    <row r="912" spans="3:12" ht="13.2">
      <c r="C912" s="2"/>
      <c r="H912" s="2"/>
      <c r="L912" s="2"/>
    </row>
    <row r="913" spans="3:12" ht="13.2">
      <c r="C913" s="2"/>
      <c r="H913" s="2"/>
      <c r="L913" s="2"/>
    </row>
    <row r="914" spans="3:12" ht="13.2">
      <c r="C914" s="2"/>
      <c r="H914" s="2"/>
      <c r="L914" s="2"/>
    </row>
    <row r="915" spans="3:12" ht="13.2">
      <c r="C915" s="2"/>
      <c r="H915" s="2"/>
      <c r="L915" s="2"/>
    </row>
    <row r="916" spans="3:12" ht="13.2">
      <c r="C916" s="2"/>
      <c r="H916" s="2"/>
      <c r="L916" s="2"/>
    </row>
    <row r="917" spans="3:12" ht="13.2">
      <c r="C917" s="2"/>
      <c r="H917" s="2"/>
      <c r="L917" s="2"/>
    </row>
    <row r="918" spans="3:12" ht="13.2">
      <c r="C918" s="2"/>
      <c r="H918" s="2"/>
      <c r="L918" s="2"/>
    </row>
    <row r="919" spans="3:12" ht="13.2">
      <c r="C919" s="2"/>
      <c r="H919" s="2"/>
      <c r="L919" s="2"/>
    </row>
    <row r="920" spans="3:12" ht="13.2">
      <c r="C920" s="2"/>
      <c r="H920" s="2"/>
      <c r="L920" s="2"/>
    </row>
    <row r="921" spans="3:12" ht="13.2">
      <c r="C921" s="2"/>
      <c r="H921" s="2"/>
      <c r="L921" s="2"/>
    </row>
    <row r="922" spans="3:12" ht="13.2">
      <c r="C922" s="2"/>
      <c r="H922" s="2"/>
      <c r="L922" s="2"/>
    </row>
    <row r="923" spans="3:12" ht="13.2">
      <c r="C923" s="2"/>
      <c r="H923" s="2"/>
      <c r="L923" s="2"/>
    </row>
    <row r="924" spans="3:12" ht="13.2">
      <c r="C924" s="2"/>
      <c r="H924" s="2"/>
      <c r="L924" s="2"/>
    </row>
    <row r="925" spans="3:12" ht="13.2">
      <c r="C925" s="2"/>
      <c r="H925" s="2"/>
      <c r="L925" s="2"/>
    </row>
    <row r="926" spans="3:12" ht="13.2">
      <c r="C926" s="2"/>
      <c r="H926" s="2"/>
      <c r="L926" s="2"/>
    </row>
    <row r="927" spans="3:12" ht="13.2">
      <c r="C927" s="2"/>
      <c r="H927" s="2"/>
      <c r="L927" s="2"/>
    </row>
    <row r="928" spans="3:12" ht="13.2">
      <c r="C928" s="2"/>
      <c r="H928" s="2"/>
      <c r="L928" s="2"/>
    </row>
    <row r="929" spans="3:12" ht="13.2">
      <c r="C929" s="2"/>
      <c r="H929" s="2"/>
      <c r="L929" s="2"/>
    </row>
    <row r="930" spans="3:12" ht="13.2">
      <c r="C930" s="2"/>
      <c r="H930" s="2"/>
      <c r="L930" s="2"/>
    </row>
    <row r="931" spans="3:12" ht="13.2">
      <c r="C931" s="2"/>
      <c r="H931" s="2"/>
      <c r="L931" s="2"/>
    </row>
    <row r="932" spans="3:12" ht="13.2">
      <c r="C932" s="2"/>
      <c r="H932" s="2"/>
      <c r="L932" s="2"/>
    </row>
    <row r="933" spans="3:12" ht="13.2">
      <c r="C933" s="2"/>
      <c r="H933" s="2"/>
      <c r="L933" s="2"/>
    </row>
    <row r="934" spans="3:12" ht="13.2">
      <c r="C934" s="2"/>
      <c r="H934" s="2"/>
      <c r="L934" s="2"/>
    </row>
    <row r="935" spans="3:12" ht="13.2">
      <c r="C935" s="2"/>
      <c r="H935" s="2"/>
      <c r="L935" s="2"/>
    </row>
    <row r="936" spans="3:12" ht="13.2">
      <c r="C936" s="2"/>
      <c r="H936" s="2"/>
      <c r="L936" s="2"/>
    </row>
    <row r="937" spans="3:12" ht="13.2">
      <c r="C937" s="2"/>
      <c r="H937" s="2"/>
      <c r="L937" s="2"/>
    </row>
    <row r="938" spans="3:12" ht="13.2">
      <c r="C938" s="2"/>
      <c r="H938" s="2"/>
      <c r="L938" s="2"/>
    </row>
    <row r="939" spans="3:12" ht="13.2">
      <c r="C939" s="2"/>
      <c r="H939" s="2"/>
      <c r="L939" s="2"/>
    </row>
    <row r="940" spans="3:12" ht="13.2">
      <c r="C940" s="2"/>
      <c r="H940" s="2"/>
      <c r="L940" s="2"/>
    </row>
    <row r="941" spans="3:12" ht="13.2">
      <c r="C941" s="2"/>
      <c r="H941" s="2"/>
      <c r="L941" s="2"/>
    </row>
    <row r="942" spans="3:12" ht="13.2">
      <c r="C942" s="2"/>
      <c r="H942" s="2"/>
      <c r="L942" s="2"/>
    </row>
    <row r="943" spans="3:12" ht="13.2">
      <c r="C943" s="2"/>
      <c r="H943" s="2"/>
      <c r="L943" s="2"/>
    </row>
    <row r="944" spans="3:12" ht="13.2">
      <c r="C944" s="2"/>
      <c r="H944" s="2"/>
      <c r="L944" s="2"/>
    </row>
    <row r="945" spans="3:12" ht="13.2">
      <c r="C945" s="2"/>
      <c r="H945" s="2"/>
      <c r="L945" s="2"/>
    </row>
    <row r="946" spans="3:12" ht="13.2">
      <c r="C946" s="2"/>
      <c r="H946" s="2"/>
      <c r="L946" s="2"/>
    </row>
    <row r="947" spans="3:12" ht="13.2">
      <c r="C947" s="2"/>
      <c r="H947" s="2"/>
      <c r="L947" s="2"/>
    </row>
    <row r="948" spans="3:12" ht="13.2">
      <c r="C948" s="2"/>
      <c r="H948" s="2"/>
      <c r="L948" s="2"/>
    </row>
    <row r="949" spans="3:12" ht="13.2">
      <c r="C949" s="2"/>
      <c r="H949" s="2"/>
      <c r="L949" s="2"/>
    </row>
    <row r="950" spans="3:12" ht="13.2">
      <c r="C950" s="2"/>
      <c r="H950" s="2"/>
      <c r="L950" s="2"/>
    </row>
    <row r="951" spans="3:12" ht="13.2">
      <c r="C951" s="2"/>
      <c r="H951" s="2"/>
      <c r="L951" s="2"/>
    </row>
    <row r="952" spans="3:12" ht="13.2">
      <c r="C952" s="2"/>
      <c r="H952" s="2"/>
      <c r="L952" s="2"/>
    </row>
    <row r="953" spans="3:12" ht="13.2">
      <c r="C953" s="2"/>
      <c r="H953" s="2"/>
      <c r="L953" s="2"/>
    </row>
    <row r="954" spans="3:12" ht="13.2">
      <c r="C954" s="2"/>
      <c r="H954" s="2"/>
      <c r="L954" s="2"/>
    </row>
    <row r="955" spans="3:12" ht="13.2">
      <c r="C955" s="2"/>
      <c r="H955" s="2"/>
      <c r="L955" s="2"/>
    </row>
    <row r="956" spans="3:12" ht="13.2">
      <c r="C956" s="2"/>
      <c r="H956" s="2"/>
      <c r="L956" s="2"/>
    </row>
    <row r="957" spans="3:12" ht="13.2">
      <c r="C957" s="2"/>
      <c r="H957" s="2"/>
      <c r="L957" s="2"/>
    </row>
    <row r="958" spans="3:12" ht="13.2">
      <c r="C958" s="2"/>
      <c r="H958" s="2"/>
      <c r="L958" s="2"/>
    </row>
    <row r="959" spans="3:12" ht="13.2">
      <c r="C959" s="2"/>
      <c r="H959" s="2"/>
      <c r="L959" s="2"/>
    </row>
    <row r="960" spans="3:12" ht="13.2">
      <c r="C960" s="2"/>
      <c r="H960" s="2"/>
      <c r="L960" s="2"/>
    </row>
    <row r="961" spans="3:12" ht="13.2">
      <c r="C961" s="2"/>
      <c r="H961" s="2"/>
      <c r="L961" s="2"/>
    </row>
    <row r="962" spans="3:12" ht="13.2">
      <c r="C962" s="2"/>
      <c r="H962" s="2"/>
      <c r="L962" s="2"/>
    </row>
    <row r="963" spans="3:12" ht="13.2">
      <c r="C963" s="2"/>
      <c r="H963" s="2"/>
      <c r="L963" s="2"/>
    </row>
    <row r="964" spans="3:12" ht="13.2">
      <c r="C964" s="2"/>
      <c r="H964" s="2"/>
      <c r="L964" s="2"/>
    </row>
    <row r="965" spans="3:12" ht="13.2">
      <c r="C965" s="2"/>
      <c r="H965" s="2"/>
      <c r="L965" s="2"/>
    </row>
    <row r="966" spans="3:12" ht="13.2">
      <c r="C966" s="2"/>
      <c r="H966" s="2"/>
      <c r="L966" s="2"/>
    </row>
    <row r="967" spans="3:12" ht="13.2">
      <c r="C967" s="2"/>
      <c r="H967" s="2"/>
      <c r="L967" s="2"/>
    </row>
    <row r="968" spans="3:12" ht="13.2">
      <c r="C968" s="2"/>
      <c r="H968" s="2"/>
      <c r="L968" s="2"/>
    </row>
    <row r="969" spans="3:12" ht="13.2">
      <c r="C969" s="2"/>
      <c r="H969" s="2"/>
      <c r="L969" s="2"/>
    </row>
    <row r="970" spans="3:12" ht="13.2">
      <c r="C970" s="2"/>
      <c r="H970" s="2"/>
      <c r="L970" s="2"/>
    </row>
    <row r="971" spans="3:12" ht="13.2">
      <c r="C971" s="2"/>
      <c r="H971" s="2"/>
      <c r="L971" s="2"/>
    </row>
    <row r="972" spans="3:12" ht="13.2">
      <c r="C972" s="2"/>
      <c r="H972" s="2"/>
      <c r="L972" s="2"/>
    </row>
    <row r="973" spans="3:12" ht="13.2">
      <c r="C973" s="2"/>
      <c r="H973" s="2"/>
      <c r="L973" s="2"/>
    </row>
    <row r="974" spans="3:12" ht="13.2">
      <c r="C974" s="2"/>
      <c r="H974" s="2"/>
      <c r="L974" s="2"/>
    </row>
    <row r="975" spans="3:12" ht="13.2">
      <c r="C975" s="2"/>
      <c r="H975" s="2"/>
      <c r="L975" s="2"/>
    </row>
    <row r="976" spans="3:12" ht="13.2">
      <c r="C976" s="2"/>
      <c r="H976" s="2"/>
      <c r="L976" s="2"/>
    </row>
    <row r="977" spans="3:12" ht="13.2">
      <c r="C977" s="2"/>
      <c r="H977" s="2"/>
      <c r="L977" s="2"/>
    </row>
    <row r="978" spans="3:12" ht="13.2">
      <c r="C978" s="2"/>
      <c r="H978" s="2"/>
      <c r="L978" s="2"/>
    </row>
    <row r="979" spans="3:12" ht="13.2">
      <c r="C979" s="2"/>
      <c r="H979" s="2"/>
      <c r="L979" s="2"/>
    </row>
    <row r="980" spans="3:12" ht="13.2">
      <c r="C980" s="2"/>
      <c r="H980" s="2"/>
      <c r="L980" s="2"/>
    </row>
    <row r="981" spans="3:12" ht="13.2">
      <c r="C981" s="2"/>
      <c r="H981" s="2"/>
      <c r="L981" s="2"/>
    </row>
    <row r="982" spans="3:12" ht="13.2">
      <c r="C982" s="2"/>
      <c r="H982" s="2"/>
      <c r="L982" s="2"/>
    </row>
    <row r="983" spans="3:12" ht="13.2">
      <c r="C983" s="2"/>
      <c r="H983" s="2"/>
      <c r="L983" s="2"/>
    </row>
    <row r="984" spans="3:12" ht="13.2">
      <c r="C984" s="2"/>
      <c r="H984" s="2"/>
      <c r="L984" s="2"/>
    </row>
    <row r="985" spans="3:12" ht="13.2">
      <c r="C985" s="2"/>
      <c r="H985" s="2"/>
      <c r="L985" s="2"/>
    </row>
    <row r="986" spans="3:12" ht="13.2">
      <c r="C986" s="2"/>
      <c r="H986" s="2"/>
      <c r="L986" s="2"/>
    </row>
    <row r="987" spans="3:12" ht="13.2">
      <c r="C987" s="2"/>
      <c r="H987" s="2"/>
      <c r="L987" s="2"/>
    </row>
    <row r="988" spans="3:12" ht="13.2">
      <c r="C988" s="2"/>
      <c r="H988" s="2"/>
      <c r="L988" s="2"/>
    </row>
    <row r="989" spans="3:12" ht="13.2">
      <c r="C989" s="2"/>
      <c r="H989" s="2"/>
      <c r="L989" s="2"/>
    </row>
    <row r="990" spans="3:12" ht="13.2">
      <c r="C990" s="2"/>
      <c r="H990" s="2"/>
      <c r="L99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1"/>
  <sheetViews>
    <sheetView workbookViewId="0"/>
  </sheetViews>
  <sheetFormatPr defaultColWidth="12.6640625" defaultRowHeight="15.75" customHeight="1"/>
  <cols>
    <col min="1" max="1" width="3.44140625" customWidth="1"/>
    <col min="2" max="2" width="52.6640625" customWidth="1"/>
    <col min="5" max="5" width="30" customWidth="1"/>
  </cols>
  <sheetData>
    <row r="1" spans="1:6">
      <c r="A1" s="1" t="s">
        <v>21</v>
      </c>
      <c r="B1" s="14"/>
      <c r="C1" s="2"/>
      <c r="E1" s="3" t="s">
        <v>22</v>
      </c>
    </row>
    <row r="2" spans="1:6">
      <c r="B2" s="3" t="s">
        <v>23</v>
      </c>
      <c r="C2" s="4">
        <v>1.4</v>
      </c>
      <c r="E2" s="3" t="s">
        <v>24</v>
      </c>
    </row>
    <row r="3" spans="1:6">
      <c r="B3" s="3" t="s">
        <v>25</v>
      </c>
      <c r="C3" s="4">
        <v>7000</v>
      </c>
      <c r="E3" s="3" t="s">
        <v>26</v>
      </c>
    </row>
    <row r="4" spans="1:6">
      <c r="B4" s="3" t="s">
        <v>27</v>
      </c>
      <c r="C4" s="4">
        <v>70</v>
      </c>
      <c r="D4" s="4">
        <v>0.5</v>
      </c>
      <c r="E4" s="3" t="s">
        <v>28</v>
      </c>
    </row>
    <row r="5" spans="1:6">
      <c r="B5" s="3" t="s">
        <v>29</v>
      </c>
      <c r="C5" s="3">
        <v>1600</v>
      </c>
      <c r="D5" s="3">
        <v>17</v>
      </c>
      <c r="E5" s="3" t="s">
        <v>30</v>
      </c>
    </row>
    <row r="11" spans="1:6">
      <c r="E11" s="2"/>
      <c r="F11" s="4">
        <v>50</v>
      </c>
    </row>
    <row r="12" spans="1:6">
      <c r="E12" s="4">
        <v>100</v>
      </c>
      <c r="F12" s="2">
        <f>E12*$F$11</f>
        <v>5000</v>
      </c>
    </row>
    <row r="13" spans="1:6">
      <c r="E13" s="4">
        <v>80</v>
      </c>
      <c r="F13" s="2">
        <f>(E12-E13)*F11</f>
        <v>1000</v>
      </c>
    </row>
    <row r="14" spans="1:6">
      <c r="E14" s="2"/>
      <c r="F14" s="2">
        <f t="shared" ref="F14:F19" si="0">E14*$F$11</f>
        <v>0</v>
      </c>
    </row>
    <row r="15" spans="1:6">
      <c r="E15" s="2"/>
      <c r="F15" s="2">
        <f t="shared" si="0"/>
        <v>0</v>
      </c>
    </row>
    <row r="16" spans="1:6">
      <c r="E16" s="2"/>
      <c r="F16" s="2">
        <f t="shared" si="0"/>
        <v>0</v>
      </c>
    </row>
    <row r="17" spans="5:6">
      <c r="E17" s="2"/>
      <c r="F17" s="2">
        <f t="shared" si="0"/>
        <v>0</v>
      </c>
    </row>
    <row r="18" spans="5:6">
      <c r="E18" s="2"/>
      <c r="F18" s="2">
        <f t="shared" si="0"/>
        <v>0</v>
      </c>
    </row>
    <row r="19" spans="5:6">
      <c r="E19" s="2"/>
      <c r="F19" s="2">
        <f t="shared" si="0"/>
        <v>0</v>
      </c>
    </row>
    <row r="20" spans="5:6">
      <c r="E20" s="2"/>
      <c r="F20" s="2"/>
    </row>
    <row r="21" spans="5:6">
      <c r="E21" s="2"/>
      <c r="F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42"/>
  <sheetViews>
    <sheetView workbookViewId="0"/>
  </sheetViews>
  <sheetFormatPr defaultColWidth="12.6640625" defaultRowHeight="15.75" customHeight="1"/>
  <cols>
    <col min="2" max="2" width="20.6640625" customWidth="1"/>
    <col min="3" max="3" width="17.33203125" customWidth="1"/>
    <col min="4" max="4" width="26.109375" customWidth="1"/>
    <col min="8" max="8" width="21.6640625" customWidth="1"/>
    <col min="9" max="9" width="25.33203125" customWidth="1"/>
  </cols>
  <sheetData>
    <row r="1" spans="1:10">
      <c r="A1" s="1" t="s">
        <v>31</v>
      </c>
    </row>
    <row r="2" spans="1:10">
      <c r="G2" s="15">
        <v>25</v>
      </c>
    </row>
    <row r="3" spans="1:10">
      <c r="A3" s="3" t="s">
        <v>32</v>
      </c>
      <c r="B3" s="3" t="s">
        <v>33</v>
      </c>
      <c r="C3" s="3" t="s">
        <v>34</v>
      </c>
      <c r="D3" s="3" t="s">
        <v>35</v>
      </c>
      <c r="F3" s="3" t="s">
        <v>36</v>
      </c>
      <c r="G3" s="3" t="s">
        <v>37</v>
      </c>
      <c r="H3" s="3" t="s">
        <v>34</v>
      </c>
      <c r="I3" s="3" t="s">
        <v>35</v>
      </c>
    </row>
    <row r="4" spans="1:10">
      <c r="A4" s="3">
        <v>1</v>
      </c>
      <c r="B4" s="3">
        <v>100</v>
      </c>
      <c r="C4" s="16">
        <f t="shared" ref="C4:C19" si="0">A4*B4</f>
        <v>100</v>
      </c>
      <c r="D4" s="16">
        <f>C4</f>
        <v>100</v>
      </c>
      <c r="F4" s="3">
        <v>1</v>
      </c>
      <c r="G4" s="3">
        <v>6</v>
      </c>
      <c r="H4" s="3">
        <v>6</v>
      </c>
      <c r="I4" s="3">
        <v>6</v>
      </c>
    </row>
    <row r="5" spans="1:10">
      <c r="A5" s="3">
        <v>2</v>
      </c>
      <c r="B5" s="16">
        <f>(B4*0.8)</f>
        <v>80</v>
      </c>
      <c r="C5" s="16">
        <f t="shared" si="0"/>
        <v>160</v>
      </c>
      <c r="D5" s="16">
        <f t="shared" ref="D5:D19" si="1">C5-C4</f>
        <v>60</v>
      </c>
      <c r="F5" s="3">
        <v>2</v>
      </c>
      <c r="G5" s="3">
        <v>4.8</v>
      </c>
      <c r="H5" s="16">
        <f>G4+G5</f>
        <v>10.8</v>
      </c>
      <c r="I5" s="16">
        <f>H5/F5</f>
        <v>5.4</v>
      </c>
      <c r="J5" s="17">
        <f>I5/I4</f>
        <v>0.9</v>
      </c>
    </row>
    <row r="6" spans="1:10">
      <c r="A6" s="3">
        <v>3</v>
      </c>
      <c r="B6" s="3">
        <v>70.209999999999994</v>
      </c>
      <c r="C6" s="16">
        <f t="shared" si="0"/>
        <v>210.63</v>
      </c>
      <c r="D6" s="16">
        <f t="shared" si="1"/>
        <v>50.629999999999995</v>
      </c>
      <c r="F6" s="3">
        <v>3</v>
      </c>
    </row>
    <row r="7" spans="1:10">
      <c r="A7" s="3">
        <v>4</v>
      </c>
      <c r="B7" s="16">
        <f>B5*0.8</f>
        <v>64</v>
      </c>
      <c r="C7" s="16">
        <f t="shared" si="0"/>
        <v>256</v>
      </c>
      <c r="D7" s="16">
        <f t="shared" si="1"/>
        <v>45.370000000000005</v>
      </c>
      <c r="F7" s="3">
        <v>4</v>
      </c>
      <c r="G7" s="16">
        <f>I5*J5</f>
        <v>4.8600000000000003</v>
      </c>
    </row>
    <row r="8" spans="1:10">
      <c r="A8" s="3">
        <v>5</v>
      </c>
      <c r="B8" s="3">
        <v>59.56</v>
      </c>
      <c r="C8" s="16">
        <f t="shared" si="0"/>
        <v>297.8</v>
      </c>
      <c r="D8" s="16">
        <f t="shared" si="1"/>
        <v>41.800000000000011</v>
      </c>
      <c r="F8" s="3">
        <v>5</v>
      </c>
    </row>
    <row r="9" spans="1:10">
      <c r="A9" s="3">
        <v>6</v>
      </c>
      <c r="B9" s="3">
        <v>56.17</v>
      </c>
      <c r="C9" s="16">
        <f t="shared" si="0"/>
        <v>337.02</v>
      </c>
      <c r="D9" s="16">
        <f t="shared" si="1"/>
        <v>39.21999999999997</v>
      </c>
      <c r="F9" s="3">
        <v>6</v>
      </c>
    </row>
    <row r="10" spans="1:10">
      <c r="A10" s="3">
        <v>7</v>
      </c>
      <c r="B10" s="3">
        <v>53.45</v>
      </c>
      <c r="C10" s="16">
        <f t="shared" si="0"/>
        <v>374.15000000000003</v>
      </c>
      <c r="D10" s="16">
        <f t="shared" si="1"/>
        <v>37.130000000000052</v>
      </c>
      <c r="F10" s="3">
        <v>7</v>
      </c>
    </row>
    <row r="11" spans="1:10">
      <c r="A11" s="3">
        <v>8</v>
      </c>
      <c r="B11" s="16">
        <f>B7*0.8</f>
        <v>51.2</v>
      </c>
      <c r="C11" s="16">
        <f t="shared" si="0"/>
        <v>409.6</v>
      </c>
      <c r="D11" s="16">
        <f t="shared" si="1"/>
        <v>35.449999999999989</v>
      </c>
      <c r="F11" s="3">
        <v>8</v>
      </c>
      <c r="G11" s="16">
        <f>G7*J5</f>
        <v>4.3740000000000006</v>
      </c>
      <c r="H11" s="16">
        <f>F11*G11</f>
        <v>34.992000000000004</v>
      </c>
    </row>
    <row r="12" spans="1:10">
      <c r="A12" s="3">
        <v>9</v>
      </c>
      <c r="B12" s="3">
        <v>49.29</v>
      </c>
      <c r="C12" s="16">
        <f t="shared" si="0"/>
        <v>443.61</v>
      </c>
      <c r="D12" s="16">
        <f t="shared" si="1"/>
        <v>34.009999999999991</v>
      </c>
      <c r="H12" s="18">
        <f>G2*H11</f>
        <v>874.80000000000007</v>
      </c>
    </row>
    <row r="13" spans="1:10">
      <c r="A13" s="3">
        <v>10</v>
      </c>
      <c r="B13" s="3">
        <v>47.65</v>
      </c>
      <c r="C13" s="16">
        <f t="shared" si="0"/>
        <v>476.5</v>
      </c>
      <c r="D13" s="16">
        <f t="shared" si="1"/>
        <v>32.889999999999986</v>
      </c>
    </row>
    <row r="14" spans="1:10">
      <c r="A14" s="3">
        <v>11</v>
      </c>
      <c r="B14" s="3">
        <v>46.21</v>
      </c>
      <c r="C14" s="16">
        <f t="shared" si="0"/>
        <v>508.31</v>
      </c>
      <c r="D14" s="16">
        <f t="shared" si="1"/>
        <v>31.810000000000002</v>
      </c>
    </row>
    <row r="15" spans="1:10">
      <c r="A15" s="3">
        <v>12</v>
      </c>
      <c r="B15" s="3">
        <v>44.93</v>
      </c>
      <c r="C15" s="16">
        <f t="shared" si="0"/>
        <v>539.16</v>
      </c>
      <c r="D15" s="16">
        <f t="shared" si="1"/>
        <v>30.849999999999966</v>
      </c>
    </row>
    <row r="16" spans="1:10">
      <c r="A16" s="3">
        <v>13</v>
      </c>
      <c r="B16" s="3">
        <v>43.79</v>
      </c>
      <c r="C16" s="16">
        <f t="shared" si="0"/>
        <v>569.27</v>
      </c>
      <c r="D16" s="16">
        <f t="shared" si="1"/>
        <v>30.110000000000014</v>
      </c>
    </row>
    <row r="17" spans="1:4">
      <c r="A17" s="3">
        <v>14</v>
      </c>
      <c r="B17" s="3">
        <v>42.76</v>
      </c>
      <c r="C17" s="16">
        <f t="shared" si="0"/>
        <v>598.64</v>
      </c>
      <c r="D17" s="16">
        <f t="shared" si="1"/>
        <v>29.370000000000005</v>
      </c>
    </row>
    <row r="18" spans="1:4">
      <c r="A18" s="3">
        <v>15</v>
      </c>
      <c r="B18" s="3">
        <v>41.82</v>
      </c>
      <c r="C18" s="16">
        <f t="shared" si="0"/>
        <v>627.29999999999995</v>
      </c>
      <c r="D18" s="16">
        <f t="shared" si="1"/>
        <v>28.659999999999968</v>
      </c>
    </row>
    <row r="19" spans="1:4">
      <c r="A19" s="3">
        <v>16</v>
      </c>
      <c r="B19" s="16">
        <f>B11*0.8</f>
        <v>40.960000000000008</v>
      </c>
      <c r="C19" s="16">
        <f t="shared" si="0"/>
        <v>655.36000000000013</v>
      </c>
      <c r="D19" s="16">
        <f t="shared" si="1"/>
        <v>28.060000000000173</v>
      </c>
    </row>
    <row r="24" spans="1:4">
      <c r="A24" s="1" t="s">
        <v>38</v>
      </c>
    </row>
    <row r="26" spans="1:4">
      <c r="A26" s="3" t="s">
        <v>32</v>
      </c>
      <c r="B26" s="3" t="s">
        <v>33</v>
      </c>
      <c r="C26" s="3" t="s">
        <v>34</v>
      </c>
      <c r="D26" s="3" t="s">
        <v>39</v>
      </c>
    </row>
    <row r="27" spans="1:4">
      <c r="A27" s="3">
        <v>1</v>
      </c>
      <c r="B27" s="3">
        <v>100</v>
      </c>
      <c r="C27" s="16">
        <f>B27</f>
        <v>100</v>
      </c>
      <c r="D27" s="16">
        <f t="shared" ref="D27:D42" si="2">C27/A27</f>
        <v>100</v>
      </c>
    </row>
    <row r="28" spans="1:4">
      <c r="A28" s="3">
        <v>2</v>
      </c>
      <c r="B28" s="16">
        <f>(B27*0.8)</f>
        <v>80</v>
      </c>
      <c r="C28" s="16">
        <f t="shared" ref="C28:C42" si="3">C27+B28</f>
        <v>180</v>
      </c>
      <c r="D28" s="16">
        <f t="shared" si="2"/>
        <v>90</v>
      </c>
    </row>
    <row r="29" spans="1:4">
      <c r="A29" s="3">
        <v>3</v>
      </c>
      <c r="B29" s="3">
        <v>70.209999999999994</v>
      </c>
      <c r="C29" s="16">
        <f t="shared" si="3"/>
        <v>250.20999999999998</v>
      </c>
      <c r="D29" s="16">
        <f t="shared" si="2"/>
        <v>83.403333333333322</v>
      </c>
    </row>
    <row r="30" spans="1:4">
      <c r="A30" s="3">
        <v>4</v>
      </c>
      <c r="B30" s="16">
        <f>B28*0.8</f>
        <v>64</v>
      </c>
      <c r="C30" s="16">
        <f t="shared" si="3"/>
        <v>314.20999999999998</v>
      </c>
      <c r="D30" s="16">
        <f t="shared" si="2"/>
        <v>78.552499999999995</v>
      </c>
    </row>
    <row r="31" spans="1:4">
      <c r="A31" s="3">
        <v>5</v>
      </c>
      <c r="B31" s="3">
        <v>59.56</v>
      </c>
      <c r="C31" s="16">
        <f t="shared" si="3"/>
        <v>373.77</v>
      </c>
      <c r="D31" s="16">
        <f t="shared" si="2"/>
        <v>74.753999999999991</v>
      </c>
    </row>
    <row r="32" spans="1:4">
      <c r="A32" s="3">
        <v>6</v>
      </c>
      <c r="B32" s="3">
        <v>56.17</v>
      </c>
      <c r="C32" s="16">
        <f t="shared" si="3"/>
        <v>429.94</v>
      </c>
      <c r="D32" s="16">
        <f t="shared" si="2"/>
        <v>71.656666666666666</v>
      </c>
    </row>
    <row r="33" spans="1:4">
      <c r="A33" s="3">
        <v>7</v>
      </c>
      <c r="B33" s="3">
        <v>53.45</v>
      </c>
      <c r="C33" s="16">
        <f t="shared" si="3"/>
        <v>483.39</v>
      </c>
      <c r="D33" s="16">
        <f t="shared" si="2"/>
        <v>69.055714285714288</v>
      </c>
    </row>
    <row r="34" spans="1:4">
      <c r="A34" s="3">
        <v>8</v>
      </c>
      <c r="B34" s="16">
        <f>B30*0.8</f>
        <v>51.2</v>
      </c>
      <c r="C34" s="16">
        <f t="shared" si="3"/>
        <v>534.59</v>
      </c>
      <c r="D34" s="16">
        <f t="shared" si="2"/>
        <v>66.823750000000004</v>
      </c>
    </row>
    <row r="35" spans="1:4">
      <c r="A35" s="3">
        <v>9</v>
      </c>
      <c r="B35" s="3">
        <v>49.29</v>
      </c>
      <c r="C35" s="16">
        <f t="shared" si="3"/>
        <v>583.88</v>
      </c>
      <c r="D35" s="16">
        <f t="shared" si="2"/>
        <v>64.87555555555555</v>
      </c>
    </row>
    <row r="36" spans="1:4">
      <c r="A36" s="3">
        <v>10</v>
      </c>
      <c r="B36" s="3">
        <v>47.65</v>
      </c>
      <c r="C36" s="16">
        <f t="shared" si="3"/>
        <v>631.53</v>
      </c>
      <c r="D36" s="16">
        <f t="shared" si="2"/>
        <v>63.152999999999999</v>
      </c>
    </row>
    <row r="37" spans="1:4">
      <c r="A37" s="3">
        <v>11</v>
      </c>
      <c r="B37" s="3">
        <v>46.21</v>
      </c>
      <c r="C37" s="16">
        <f t="shared" si="3"/>
        <v>677.74</v>
      </c>
      <c r="D37" s="16">
        <f t="shared" si="2"/>
        <v>61.612727272727277</v>
      </c>
    </row>
    <row r="38" spans="1:4">
      <c r="A38" s="3">
        <v>12</v>
      </c>
      <c r="B38" s="3">
        <v>44.93</v>
      </c>
      <c r="C38" s="16">
        <f t="shared" si="3"/>
        <v>722.67</v>
      </c>
      <c r="D38" s="16">
        <f t="shared" si="2"/>
        <v>60.222499999999997</v>
      </c>
    </row>
    <row r="39" spans="1:4">
      <c r="A39" s="3">
        <v>13</v>
      </c>
      <c r="B39" s="3">
        <v>43.79</v>
      </c>
      <c r="C39" s="16">
        <f t="shared" si="3"/>
        <v>766.45999999999992</v>
      </c>
      <c r="D39" s="16">
        <f t="shared" si="2"/>
        <v>58.958461538461535</v>
      </c>
    </row>
    <row r="40" spans="1:4">
      <c r="A40" s="3">
        <v>14</v>
      </c>
      <c r="B40" s="3">
        <v>42.76</v>
      </c>
      <c r="C40" s="16">
        <f t="shared" si="3"/>
        <v>809.21999999999991</v>
      </c>
      <c r="D40" s="16">
        <f t="shared" si="2"/>
        <v>57.801428571428566</v>
      </c>
    </row>
    <row r="41" spans="1:4">
      <c r="A41" s="3">
        <v>15</v>
      </c>
      <c r="B41" s="3">
        <v>41.82</v>
      </c>
      <c r="C41" s="16">
        <f t="shared" si="3"/>
        <v>851.04</v>
      </c>
      <c r="D41" s="16">
        <f t="shared" si="2"/>
        <v>56.735999999999997</v>
      </c>
    </row>
    <row r="42" spans="1:4">
      <c r="A42" s="3">
        <v>16</v>
      </c>
      <c r="B42" s="16">
        <f>B34*0.8</f>
        <v>40.960000000000008</v>
      </c>
      <c r="C42" s="16">
        <f t="shared" si="3"/>
        <v>892</v>
      </c>
      <c r="D42" s="16">
        <f t="shared" si="2"/>
        <v>55.75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43"/>
  <sheetViews>
    <sheetView topLeftCell="A23" workbookViewId="0"/>
  </sheetViews>
  <sheetFormatPr defaultColWidth="12.6640625" defaultRowHeight="15.75" customHeight="1"/>
  <cols>
    <col min="1" max="1" width="4.109375" customWidth="1"/>
    <col min="2" max="2" width="28.21875" customWidth="1"/>
    <col min="7" max="7" width="4.109375" customWidth="1"/>
    <col min="8" max="8" width="26.109375" customWidth="1"/>
  </cols>
  <sheetData>
    <row r="1" spans="1:9">
      <c r="A1" s="1" t="s">
        <v>40</v>
      </c>
      <c r="G1" s="1" t="s">
        <v>41</v>
      </c>
    </row>
    <row r="3" spans="1:9">
      <c r="G3" s="3" t="s">
        <v>42</v>
      </c>
    </row>
    <row r="4" spans="1:9">
      <c r="A4" s="3" t="s">
        <v>42</v>
      </c>
      <c r="H4" s="3" t="s">
        <v>43</v>
      </c>
      <c r="I4" s="4">
        <v>960000</v>
      </c>
    </row>
    <row r="5" spans="1:9">
      <c r="B5" s="3" t="s">
        <v>43</v>
      </c>
      <c r="C5" s="4">
        <v>960000</v>
      </c>
      <c r="H5" s="19" t="s">
        <v>44</v>
      </c>
      <c r="I5" s="20">
        <v>32000</v>
      </c>
    </row>
    <row r="6" spans="1:9">
      <c r="B6" s="19" t="s">
        <v>44</v>
      </c>
      <c r="C6" s="20">
        <v>32000</v>
      </c>
      <c r="D6" s="3" t="s">
        <v>45</v>
      </c>
      <c r="H6" s="3" t="s">
        <v>46</v>
      </c>
      <c r="I6" s="21">
        <f>I4/I5</f>
        <v>30</v>
      </c>
    </row>
    <row r="7" spans="1:9">
      <c r="B7" s="3" t="s">
        <v>46</v>
      </c>
      <c r="C7" s="21">
        <f>C5/C6</f>
        <v>30</v>
      </c>
      <c r="D7" s="3" t="s">
        <v>47</v>
      </c>
    </row>
    <row r="8" spans="1:9">
      <c r="G8" s="3" t="s">
        <v>48</v>
      </c>
    </row>
    <row r="9" spans="1:9">
      <c r="A9" s="3" t="s">
        <v>48</v>
      </c>
      <c r="H9" s="3" t="s">
        <v>43</v>
      </c>
      <c r="I9" s="4">
        <v>992000</v>
      </c>
    </row>
    <row r="10" spans="1:9">
      <c r="B10" s="3" t="s">
        <v>43</v>
      </c>
      <c r="C10" s="4">
        <v>992000</v>
      </c>
      <c r="H10" s="19" t="s">
        <v>44</v>
      </c>
      <c r="I10" s="20">
        <v>31000</v>
      </c>
    </row>
    <row r="11" spans="1:9">
      <c r="B11" s="19" t="s">
        <v>44</v>
      </c>
      <c r="C11" s="20">
        <v>31000</v>
      </c>
      <c r="D11" s="3" t="s">
        <v>45</v>
      </c>
      <c r="H11" s="19" t="s">
        <v>49</v>
      </c>
      <c r="I11" s="4">
        <v>3500</v>
      </c>
    </row>
    <row r="12" spans="1:9">
      <c r="B12" s="19" t="s">
        <v>49</v>
      </c>
      <c r="C12" s="4">
        <v>3500</v>
      </c>
      <c r="H12" s="19" t="s">
        <v>44</v>
      </c>
      <c r="I12" s="3">
        <v>160</v>
      </c>
    </row>
    <row r="13" spans="1:9">
      <c r="B13" s="19" t="s">
        <v>44</v>
      </c>
      <c r="C13" s="3">
        <v>160</v>
      </c>
      <c r="D13" s="3" t="s">
        <v>45</v>
      </c>
      <c r="H13" s="3" t="s">
        <v>50</v>
      </c>
      <c r="I13" s="4">
        <v>20</v>
      </c>
    </row>
    <row r="14" spans="1:9">
      <c r="B14" s="3" t="s">
        <v>50</v>
      </c>
      <c r="C14" s="4">
        <v>20</v>
      </c>
      <c r="D14" s="3" t="s">
        <v>51</v>
      </c>
      <c r="H14" s="3" t="s">
        <v>52</v>
      </c>
      <c r="I14" s="21">
        <f>I9/I10</f>
        <v>32</v>
      </c>
    </row>
    <row r="16" spans="1:9">
      <c r="G16" s="22" t="s">
        <v>53</v>
      </c>
      <c r="H16" s="23"/>
      <c r="I16" s="24">
        <f>I17+I20</f>
        <v>11820</v>
      </c>
    </row>
    <row r="17" spans="1:26">
      <c r="A17" s="22" t="s">
        <v>53</v>
      </c>
      <c r="B17" s="23"/>
      <c r="C17" s="24">
        <f>C18+C21</f>
        <v>11500</v>
      </c>
      <c r="G17" s="8" t="s">
        <v>54</v>
      </c>
      <c r="H17" s="8"/>
      <c r="I17" s="9">
        <f>I18+I19</f>
        <v>6700</v>
      </c>
    </row>
    <row r="18" spans="1:26">
      <c r="A18" s="8" t="s">
        <v>54</v>
      </c>
      <c r="B18" s="8"/>
      <c r="C18" s="9">
        <f>C19+C20</f>
        <v>6700</v>
      </c>
      <c r="H18" s="19" t="s">
        <v>49</v>
      </c>
      <c r="I18" s="2">
        <f>I11</f>
        <v>3500</v>
      </c>
    </row>
    <row r="19" spans="1:26">
      <c r="B19" s="19" t="s">
        <v>49</v>
      </c>
      <c r="C19" s="2">
        <f>C12</f>
        <v>3500</v>
      </c>
      <c r="H19" s="19" t="s">
        <v>44</v>
      </c>
      <c r="I19" s="2">
        <f>I13*I12</f>
        <v>3200</v>
      </c>
    </row>
    <row r="20" spans="1:26">
      <c r="B20" s="19" t="s">
        <v>44</v>
      </c>
      <c r="C20" s="2">
        <f>C14*C13</f>
        <v>3200</v>
      </c>
      <c r="G20" s="8" t="s">
        <v>43</v>
      </c>
      <c r="H20" s="8"/>
      <c r="I20" s="9">
        <f>I14*I12</f>
        <v>5120</v>
      </c>
    </row>
    <row r="21" spans="1:26">
      <c r="A21" s="8" t="s">
        <v>43</v>
      </c>
      <c r="B21" s="8"/>
      <c r="C21" s="9">
        <f>C7*C13</f>
        <v>4800</v>
      </c>
    </row>
    <row r="24" spans="1:26">
      <c r="A24" s="25" t="s">
        <v>55</v>
      </c>
      <c r="B24" s="26"/>
      <c r="C24" s="26"/>
      <c r="D24" s="26"/>
      <c r="E24" s="26"/>
      <c r="F24" s="26"/>
      <c r="G24" s="25" t="s">
        <v>55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>
      <c r="A25" s="3"/>
    </row>
    <row r="26" spans="1:26">
      <c r="A26" s="3" t="s">
        <v>42</v>
      </c>
      <c r="G26" s="3" t="s">
        <v>42</v>
      </c>
    </row>
    <row r="27" spans="1:26">
      <c r="B27" s="3" t="s">
        <v>43</v>
      </c>
      <c r="C27" s="4">
        <v>1260000</v>
      </c>
      <c r="H27" s="3" t="s">
        <v>43</v>
      </c>
      <c r="I27" s="4">
        <v>1296000</v>
      </c>
    </row>
    <row r="28" spans="1:26">
      <c r="B28" s="19" t="s">
        <v>44</v>
      </c>
      <c r="C28" s="20">
        <v>35000</v>
      </c>
      <c r="H28" s="19" t="s">
        <v>44</v>
      </c>
      <c r="I28" s="20">
        <v>36000</v>
      </c>
    </row>
    <row r="29" spans="1:26">
      <c r="B29" s="3" t="s">
        <v>46</v>
      </c>
      <c r="C29" s="21">
        <f>C27/C28</f>
        <v>36</v>
      </c>
      <c r="H29" s="3" t="s">
        <v>46</v>
      </c>
      <c r="I29" s="21">
        <f>I27/I28</f>
        <v>36</v>
      </c>
    </row>
    <row r="31" spans="1:26">
      <c r="A31" s="3" t="s">
        <v>48</v>
      </c>
      <c r="G31" s="3" t="s">
        <v>48</v>
      </c>
    </row>
    <row r="32" spans="1:26">
      <c r="B32" s="3" t="s">
        <v>43</v>
      </c>
      <c r="C32" s="4">
        <v>1472000</v>
      </c>
      <c r="H32" s="3" t="s">
        <v>43</v>
      </c>
      <c r="I32" s="4">
        <v>1260000</v>
      </c>
    </row>
    <row r="33" spans="1:9">
      <c r="B33" s="19" t="s">
        <v>44</v>
      </c>
      <c r="C33" s="20">
        <v>32000</v>
      </c>
      <c r="H33" s="19" t="s">
        <v>44</v>
      </c>
      <c r="I33" s="20">
        <v>28000</v>
      </c>
    </row>
    <row r="34" spans="1:9">
      <c r="B34" s="19" t="s">
        <v>49</v>
      </c>
      <c r="C34" s="4">
        <v>3000</v>
      </c>
      <c r="H34" s="19" t="s">
        <v>49</v>
      </c>
      <c r="I34" s="4">
        <v>3000</v>
      </c>
    </row>
    <row r="35" spans="1:9">
      <c r="B35" s="19" t="s">
        <v>44</v>
      </c>
      <c r="C35" s="3">
        <v>170</v>
      </c>
      <c r="H35" s="19" t="s">
        <v>44</v>
      </c>
      <c r="I35" s="3">
        <v>130</v>
      </c>
    </row>
    <row r="36" spans="1:9">
      <c r="B36" s="3" t="s">
        <v>50</v>
      </c>
      <c r="C36" s="4">
        <v>23</v>
      </c>
      <c r="H36" s="3" t="s">
        <v>50</v>
      </c>
      <c r="I36" s="4">
        <v>17</v>
      </c>
    </row>
    <row r="37" spans="1:9">
      <c r="H37" s="3" t="s">
        <v>52</v>
      </c>
      <c r="I37" s="21">
        <f>I32/I33</f>
        <v>45</v>
      </c>
    </row>
    <row r="39" spans="1:9">
      <c r="A39" s="22" t="s">
        <v>53</v>
      </c>
      <c r="B39" s="23"/>
      <c r="C39" s="24">
        <f>C40+C43</f>
        <v>13030</v>
      </c>
      <c r="G39" s="22" t="s">
        <v>53</v>
      </c>
      <c r="H39" s="23"/>
      <c r="I39" s="24">
        <f>I40+I43</f>
        <v>11060</v>
      </c>
    </row>
    <row r="40" spans="1:9">
      <c r="A40" s="8" t="s">
        <v>54</v>
      </c>
      <c r="B40" s="8"/>
      <c r="C40" s="9">
        <f>C41+C42</f>
        <v>6910</v>
      </c>
      <c r="G40" s="8" t="s">
        <v>54</v>
      </c>
      <c r="H40" s="8"/>
      <c r="I40" s="9">
        <f>I41+I42</f>
        <v>5210</v>
      </c>
    </row>
    <row r="41" spans="1:9">
      <c r="B41" s="19" t="s">
        <v>49</v>
      </c>
      <c r="C41" s="2">
        <f>C34</f>
        <v>3000</v>
      </c>
      <c r="H41" s="19" t="s">
        <v>49</v>
      </c>
      <c r="I41" s="2">
        <f>I34</f>
        <v>3000</v>
      </c>
    </row>
    <row r="42" spans="1:9">
      <c r="B42" s="19" t="s">
        <v>44</v>
      </c>
      <c r="C42" s="2">
        <f>C36*C35</f>
        <v>3910</v>
      </c>
      <c r="H42" s="19" t="s">
        <v>44</v>
      </c>
      <c r="I42" s="2">
        <f>I36*I35</f>
        <v>2210</v>
      </c>
    </row>
    <row r="43" spans="1:9">
      <c r="A43" s="8" t="s">
        <v>43</v>
      </c>
      <c r="B43" s="8"/>
      <c r="C43" s="9">
        <f>C29*C35</f>
        <v>6120</v>
      </c>
      <c r="G43" s="8" t="s">
        <v>43</v>
      </c>
      <c r="H43" s="8"/>
      <c r="I43" s="9">
        <f>I37*I35</f>
        <v>5850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35"/>
  <sheetViews>
    <sheetView workbookViewId="0"/>
  </sheetViews>
  <sheetFormatPr defaultColWidth="12.6640625" defaultRowHeight="15.75" customHeight="1"/>
  <cols>
    <col min="1" max="1" width="5.77734375" customWidth="1"/>
    <col min="2" max="2" width="29" customWidth="1"/>
    <col min="10" max="10" width="2.88671875" customWidth="1"/>
    <col min="11" max="11" width="40.77734375" customWidth="1"/>
  </cols>
  <sheetData>
    <row r="1" spans="1:17">
      <c r="A1" s="27" t="s">
        <v>56</v>
      </c>
      <c r="J1" s="3" t="s">
        <v>57</v>
      </c>
    </row>
    <row r="2" spans="1:17">
      <c r="C2" s="3" t="s">
        <v>58</v>
      </c>
      <c r="D2" s="3"/>
      <c r="E2" s="3" t="s">
        <v>59</v>
      </c>
      <c r="L2" s="3" t="s">
        <v>58</v>
      </c>
      <c r="M2" s="3"/>
      <c r="N2" s="3" t="s">
        <v>59</v>
      </c>
    </row>
    <row r="3" spans="1:17">
      <c r="B3" s="3" t="s">
        <v>60</v>
      </c>
      <c r="C3" s="4">
        <v>9</v>
      </c>
      <c r="D3" s="4"/>
      <c r="E3" s="4">
        <v>15</v>
      </c>
      <c r="K3" s="3" t="s">
        <v>61</v>
      </c>
      <c r="L3" s="28">
        <v>9</v>
      </c>
      <c r="M3" s="4"/>
      <c r="N3" s="28">
        <v>16</v>
      </c>
    </row>
    <row r="4" spans="1:17">
      <c r="B4" s="3" t="s">
        <v>62</v>
      </c>
      <c r="C4" s="3">
        <v>0.5</v>
      </c>
      <c r="D4" s="3"/>
      <c r="E4" s="3">
        <v>0.6</v>
      </c>
      <c r="K4" s="3" t="s">
        <v>63</v>
      </c>
      <c r="L4" s="29">
        <v>0.5</v>
      </c>
      <c r="M4" s="3"/>
      <c r="N4" s="29">
        <v>0.6</v>
      </c>
    </row>
    <row r="5" spans="1:17">
      <c r="B5" s="3" t="s">
        <v>64</v>
      </c>
      <c r="C5" s="3">
        <v>20</v>
      </c>
      <c r="D5" s="3"/>
      <c r="E5" s="3">
        <v>20</v>
      </c>
      <c r="K5" s="3" t="s">
        <v>65</v>
      </c>
      <c r="L5" s="29">
        <v>20</v>
      </c>
      <c r="M5" s="3"/>
      <c r="N5" s="29">
        <v>20</v>
      </c>
    </row>
    <row r="6" spans="1:17">
      <c r="B6" s="3" t="s">
        <v>66</v>
      </c>
      <c r="F6" s="3">
        <v>234000</v>
      </c>
      <c r="K6" s="3" t="s">
        <v>66</v>
      </c>
      <c r="O6" s="29">
        <v>114000</v>
      </c>
    </row>
    <row r="8" spans="1:17">
      <c r="B8" s="3" t="s">
        <v>67</v>
      </c>
      <c r="C8" s="16">
        <f>C4*C10</f>
        <v>10000</v>
      </c>
      <c r="E8" s="16">
        <f>E4*E10</f>
        <v>3000</v>
      </c>
      <c r="F8" s="16">
        <f>C8+E8</f>
        <v>13000</v>
      </c>
      <c r="P8" s="2"/>
    </row>
    <row r="9" spans="1:17">
      <c r="A9" s="3" t="s">
        <v>68</v>
      </c>
      <c r="G9" s="3" t="s">
        <v>69</v>
      </c>
      <c r="Q9" s="3" t="s">
        <v>69</v>
      </c>
    </row>
    <row r="10" spans="1:17">
      <c r="B10" s="3" t="s">
        <v>70</v>
      </c>
      <c r="C10" s="20">
        <v>20000</v>
      </c>
      <c r="D10" s="20"/>
      <c r="E10" s="20">
        <v>5000</v>
      </c>
      <c r="H10" s="30">
        <f t="shared" ref="H10:H15" si="0">C10+E10</f>
        <v>25000</v>
      </c>
    </row>
    <row r="11" spans="1:17">
      <c r="B11" s="3" t="s">
        <v>71</v>
      </c>
      <c r="C11" s="2">
        <f>C10*C3</f>
        <v>180000</v>
      </c>
      <c r="E11" s="2">
        <f>E10*E3</f>
        <v>75000</v>
      </c>
      <c r="H11" s="2">
        <f t="shared" si="0"/>
        <v>255000</v>
      </c>
    </row>
    <row r="12" spans="1:17">
      <c r="B12" s="3" t="s">
        <v>67</v>
      </c>
      <c r="C12" s="2">
        <f>C4*C5*C10</f>
        <v>200000</v>
      </c>
      <c r="D12" s="2">
        <f t="shared" ref="D12:D15" si="1">C12/$C$10</f>
        <v>10</v>
      </c>
      <c r="E12" s="2">
        <f>E4*E5*E10</f>
        <v>60000</v>
      </c>
      <c r="F12" s="2">
        <f t="shared" ref="F12:F15" si="2">E12/$E$10</f>
        <v>12</v>
      </c>
      <c r="G12" s="2">
        <f>F6/F8</f>
        <v>18</v>
      </c>
      <c r="H12" s="2">
        <f t="shared" si="0"/>
        <v>260000</v>
      </c>
      <c r="K12" s="3" t="s">
        <v>72</v>
      </c>
      <c r="L12" s="29">
        <v>250</v>
      </c>
      <c r="N12" s="29">
        <v>50</v>
      </c>
    </row>
    <row r="13" spans="1:17">
      <c r="B13" s="3" t="s">
        <v>73</v>
      </c>
      <c r="C13" s="2">
        <f>C11+C12</f>
        <v>380000</v>
      </c>
      <c r="D13" s="2">
        <f t="shared" si="1"/>
        <v>19</v>
      </c>
      <c r="E13" s="2">
        <f>E11+E12</f>
        <v>135000</v>
      </c>
      <c r="F13" s="2">
        <f t="shared" si="2"/>
        <v>27</v>
      </c>
      <c r="H13" s="2">
        <f t="shared" si="0"/>
        <v>515000</v>
      </c>
      <c r="K13" s="3" t="s">
        <v>74</v>
      </c>
      <c r="L13" s="29">
        <v>1</v>
      </c>
      <c r="M13" s="31"/>
      <c r="N13" s="29">
        <v>3</v>
      </c>
    </row>
    <row r="14" spans="1:17">
      <c r="B14" s="3" t="s">
        <v>75</v>
      </c>
      <c r="C14" s="2">
        <f>C4*C10*G12</f>
        <v>180000</v>
      </c>
      <c r="D14" s="2">
        <f t="shared" si="1"/>
        <v>9</v>
      </c>
      <c r="E14" s="2">
        <f>E4*E10*G12</f>
        <v>54000</v>
      </c>
      <c r="F14" s="2">
        <f t="shared" si="2"/>
        <v>10.8</v>
      </c>
      <c r="H14" s="2">
        <f t="shared" si="0"/>
        <v>234000</v>
      </c>
      <c r="K14" s="3" t="s">
        <v>76</v>
      </c>
      <c r="Q14" s="3">
        <v>120000</v>
      </c>
    </row>
    <row r="15" spans="1:17">
      <c r="C15" s="2">
        <f>C13+C14</f>
        <v>560000</v>
      </c>
      <c r="D15" s="2">
        <f t="shared" si="1"/>
        <v>28</v>
      </c>
      <c r="E15" s="2">
        <f>E13+E14</f>
        <v>189000</v>
      </c>
      <c r="F15" s="2">
        <f t="shared" si="2"/>
        <v>37.799999999999997</v>
      </c>
      <c r="H15" s="2">
        <f t="shared" si="0"/>
        <v>749000</v>
      </c>
      <c r="L15" s="2"/>
      <c r="M15" s="2"/>
      <c r="N15" s="2"/>
    </row>
    <row r="16" spans="1:17">
      <c r="M16" s="2"/>
    </row>
    <row r="17" spans="1:17">
      <c r="K17" s="3" t="s">
        <v>70</v>
      </c>
      <c r="L17" s="32">
        <v>20000</v>
      </c>
      <c r="M17" s="20"/>
      <c r="N17" s="32">
        <v>5000</v>
      </c>
    </row>
    <row r="18" spans="1:17">
      <c r="K18" s="3" t="s">
        <v>77</v>
      </c>
      <c r="L18" s="16">
        <f>L17/L12</f>
        <v>80</v>
      </c>
      <c r="M18" s="2"/>
      <c r="N18" s="16">
        <f>N17/N12</f>
        <v>100</v>
      </c>
    </row>
    <row r="19" spans="1:17">
      <c r="K19" s="3" t="s">
        <v>78</v>
      </c>
      <c r="L19" s="3">
        <v>1</v>
      </c>
      <c r="N19" s="3">
        <v>3</v>
      </c>
      <c r="Q19" s="29">
        <v>114000</v>
      </c>
    </row>
    <row r="20" spans="1:17">
      <c r="K20" s="3" t="s">
        <v>79</v>
      </c>
      <c r="L20" s="16">
        <f>L18*L19</f>
        <v>80</v>
      </c>
      <c r="N20" s="16">
        <f>N18*N19</f>
        <v>300</v>
      </c>
      <c r="Q20" s="16">
        <f>L20+N20</f>
        <v>380</v>
      </c>
    </row>
    <row r="21" spans="1:17">
      <c r="A21" s="27" t="s">
        <v>56</v>
      </c>
      <c r="K21" s="3" t="s">
        <v>76</v>
      </c>
      <c r="Q21" s="3">
        <v>120000</v>
      </c>
    </row>
    <row r="22" spans="1:17">
      <c r="C22" s="3" t="s">
        <v>58</v>
      </c>
      <c r="D22" s="3"/>
      <c r="E22" s="3" t="s">
        <v>59</v>
      </c>
      <c r="K22" s="3" t="s">
        <v>63</v>
      </c>
      <c r="L22" s="29">
        <v>0.5</v>
      </c>
      <c r="M22" s="3"/>
      <c r="N22" s="29">
        <v>0.6</v>
      </c>
      <c r="Q22" s="16">
        <f t="shared" ref="Q22:Q23" si="3">L22+N22</f>
        <v>1.1000000000000001</v>
      </c>
    </row>
    <row r="23" spans="1:17">
      <c r="B23" s="3" t="s">
        <v>61</v>
      </c>
      <c r="C23" s="28">
        <v>11</v>
      </c>
      <c r="D23" s="4"/>
      <c r="E23" s="28">
        <v>16</v>
      </c>
      <c r="K23" s="3" t="s">
        <v>80</v>
      </c>
      <c r="L23" s="16">
        <f>L17*L4</f>
        <v>10000</v>
      </c>
      <c r="N23" s="16">
        <f>N17*N4</f>
        <v>3000</v>
      </c>
      <c r="Q23" s="16">
        <f t="shared" si="3"/>
        <v>13000</v>
      </c>
    </row>
    <row r="24" spans="1:17">
      <c r="B24" s="3" t="s">
        <v>63</v>
      </c>
      <c r="C24" s="29">
        <v>0.5</v>
      </c>
      <c r="D24" s="3"/>
      <c r="E24" s="29">
        <v>0.7</v>
      </c>
    </row>
    <row r="25" spans="1:17">
      <c r="B25" s="3" t="s">
        <v>65</v>
      </c>
      <c r="C25" s="29">
        <v>30</v>
      </c>
      <c r="D25" s="3"/>
      <c r="E25" s="29">
        <v>30</v>
      </c>
    </row>
    <row r="26" spans="1:17">
      <c r="B26" s="3" t="s">
        <v>66</v>
      </c>
      <c r="F26" s="29">
        <v>384280</v>
      </c>
      <c r="K26" s="3" t="s">
        <v>81</v>
      </c>
      <c r="L26" s="16">
        <f>O6/Q20</f>
        <v>300</v>
      </c>
    </row>
    <row r="27" spans="1:17">
      <c r="K27" s="3" t="s">
        <v>82</v>
      </c>
      <c r="L27" s="33">
        <f>Q14/Q23</f>
        <v>9.2307692307692299</v>
      </c>
    </row>
    <row r="28" spans="1:17">
      <c r="B28" s="3" t="s">
        <v>67</v>
      </c>
      <c r="C28" s="16">
        <f>C24*C30</f>
        <v>11000</v>
      </c>
      <c r="E28" s="16">
        <f>E24*E30</f>
        <v>3779.9999999999995</v>
      </c>
      <c r="F28" s="16">
        <f>C28+E28</f>
        <v>14780</v>
      </c>
      <c r="G28" s="2">
        <f>F26/F28</f>
        <v>26</v>
      </c>
    </row>
    <row r="29" spans="1:17">
      <c r="A29" s="3" t="s">
        <v>68</v>
      </c>
      <c r="H29" s="3" t="s">
        <v>69</v>
      </c>
    </row>
    <row r="30" spans="1:17">
      <c r="B30" s="3" t="s">
        <v>70</v>
      </c>
      <c r="C30" s="32">
        <v>22000</v>
      </c>
      <c r="D30" s="20"/>
      <c r="E30" s="32">
        <v>5400</v>
      </c>
      <c r="H30" s="30">
        <f t="shared" ref="H30:H35" si="4">C30+E30</f>
        <v>27400</v>
      </c>
      <c r="J30" s="3" t="s">
        <v>69</v>
      </c>
      <c r="L30" s="3" t="s">
        <v>58</v>
      </c>
      <c r="M30" s="3"/>
      <c r="N30" s="3" t="s">
        <v>59</v>
      </c>
    </row>
    <row r="31" spans="1:17">
      <c r="B31" s="3" t="s">
        <v>71</v>
      </c>
      <c r="C31" s="2">
        <f>C30*C23</f>
        <v>242000</v>
      </c>
      <c r="D31" s="3">
        <v>11</v>
      </c>
      <c r="E31" s="2">
        <f>E30*E23</f>
        <v>86400</v>
      </c>
      <c r="F31" s="3">
        <v>16</v>
      </c>
      <c r="H31" s="2">
        <f t="shared" si="4"/>
        <v>328400</v>
      </c>
      <c r="K31" s="3" t="s">
        <v>61</v>
      </c>
      <c r="L31" s="28">
        <v>9</v>
      </c>
      <c r="M31" s="4"/>
      <c r="N31" s="28">
        <v>16</v>
      </c>
    </row>
    <row r="32" spans="1:17">
      <c r="B32" s="3" t="s">
        <v>67</v>
      </c>
      <c r="C32" s="2">
        <f>C24*C25*C30</f>
        <v>330000</v>
      </c>
      <c r="D32" s="2">
        <f t="shared" ref="D32:D35" si="5">C32/$C$30</f>
        <v>15</v>
      </c>
      <c r="E32" s="2">
        <f>E24*E25*E30</f>
        <v>113400</v>
      </c>
      <c r="F32" s="2">
        <f t="shared" ref="F32:F35" si="6">E32/$E$30</f>
        <v>21</v>
      </c>
      <c r="H32" s="2">
        <f t="shared" si="4"/>
        <v>443400</v>
      </c>
      <c r="K32" s="3" t="s">
        <v>63</v>
      </c>
      <c r="L32" s="29">
        <v>0.5</v>
      </c>
      <c r="M32" s="3"/>
      <c r="N32" s="29">
        <v>0.6</v>
      </c>
    </row>
    <row r="33" spans="2:14">
      <c r="B33" s="3" t="s">
        <v>73</v>
      </c>
      <c r="C33" s="2">
        <f>C31+C32</f>
        <v>572000</v>
      </c>
      <c r="D33" s="2">
        <f t="shared" si="5"/>
        <v>26</v>
      </c>
      <c r="E33" s="2">
        <f>E31+E32</f>
        <v>199800</v>
      </c>
      <c r="F33" s="2">
        <f t="shared" si="6"/>
        <v>37</v>
      </c>
      <c r="H33" s="2">
        <f t="shared" si="4"/>
        <v>771800</v>
      </c>
      <c r="K33" s="3" t="s">
        <v>65</v>
      </c>
      <c r="L33" s="29">
        <v>20</v>
      </c>
      <c r="M33" s="3"/>
      <c r="N33" s="29">
        <v>20</v>
      </c>
    </row>
    <row r="34" spans="2:14">
      <c r="B34" s="3" t="s">
        <v>75</v>
      </c>
      <c r="C34" s="2">
        <f>C24*C30*G28</f>
        <v>286000</v>
      </c>
      <c r="D34" s="2">
        <f t="shared" si="5"/>
        <v>13</v>
      </c>
      <c r="E34" s="2">
        <f>E24*E30*G28</f>
        <v>98279.999999999985</v>
      </c>
      <c r="F34" s="2">
        <f t="shared" si="6"/>
        <v>18.199999999999996</v>
      </c>
      <c r="H34" s="2">
        <f t="shared" si="4"/>
        <v>384280</v>
      </c>
    </row>
    <row r="35" spans="2:14">
      <c r="C35" s="2">
        <f>C33+C34</f>
        <v>858000</v>
      </c>
      <c r="D35" s="2">
        <f t="shared" si="5"/>
        <v>39</v>
      </c>
      <c r="E35" s="2">
        <f>E33+E34</f>
        <v>298080</v>
      </c>
      <c r="F35" s="2">
        <f t="shared" si="6"/>
        <v>55.2</v>
      </c>
      <c r="H35" s="2">
        <f t="shared" si="4"/>
        <v>1156080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E34"/>
  <sheetViews>
    <sheetView workbookViewId="0"/>
  </sheetViews>
  <sheetFormatPr defaultColWidth="12.6640625" defaultRowHeight="15.75" customHeight="1"/>
  <cols>
    <col min="1" max="1" width="7.6640625" customWidth="1"/>
    <col min="2" max="2" width="44.44140625" customWidth="1"/>
  </cols>
  <sheetData>
    <row r="2" spans="1:5">
      <c r="B2" s="3" t="s">
        <v>83</v>
      </c>
      <c r="C2" s="4">
        <v>500</v>
      </c>
      <c r="D2" s="2">
        <f>C2*C5</f>
        <v>1000000</v>
      </c>
      <c r="E2" s="3" t="s">
        <v>84</v>
      </c>
    </row>
    <row r="3" spans="1:5">
      <c r="B3" s="3" t="s">
        <v>85</v>
      </c>
      <c r="C3" s="4">
        <v>400</v>
      </c>
      <c r="D3" s="2">
        <f>C3*C5</f>
        <v>800000</v>
      </c>
    </row>
    <row r="4" spans="1:5">
      <c r="B4" s="3" t="s">
        <v>86</v>
      </c>
      <c r="C4" s="4">
        <v>150000</v>
      </c>
      <c r="D4" s="2">
        <f>C4</f>
        <v>150000</v>
      </c>
    </row>
    <row r="5" spans="1:5">
      <c r="B5" s="3" t="s">
        <v>87</v>
      </c>
      <c r="C5" s="3">
        <v>2000</v>
      </c>
    </row>
    <row r="8" spans="1:5">
      <c r="A8" s="3" t="s">
        <v>88</v>
      </c>
    </row>
    <row r="9" spans="1:5">
      <c r="A9" s="3" t="s">
        <v>89</v>
      </c>
      <c r="B9" s="3" t="s">
        <v>90</v>
      </c>
    </row>
    <row r="10" spans="1:5">
      <c r="B10" s="4">
        <f>D2-D3</f>
        <v>200000</v>
      </c>
    </row>
    <row r="11" spans="1:5">
      <c r="B11" s="2">
        <f>B10-D4</f>
        <v>50000</v>
      </c>
      <c r="C11" s="3" t="s">
        <v>91</v>
      </c>
    </row>
    <row r="13" spans="1:5">
      <c r="A13" s="3" t="s">
        <v>92</v>
      </c>
    </row>
    <row r="14" spans="1:5">
      <c r="B14" s="3" t="s">
        <v>93</v>
      </c>
    </row>
    <row r="15" spans="1:5">
      <c r="B15" s="4">
        <f>(C2-C3)*C5</f>
        <v>200000</v>
      </c>
    </row>
    <row r="16" spans="1:5">
      <c r="B16" s="2">
        <f>B15-D4</f>
        <v>50000</v>
      </c>
      <c r="C16" s="3" t="s">
        <v>91</v>
      </c>
    </row>
    <row r="20" spans="1:5">
      <c r="B20" s="3" t="s">
        <v>83</v>
      </c>
      <c r="C20" s="4">
        <v>600</v>
      </c>
      <c r="D20" s="2">
        <f>C20*C23</f>
        <v>1320000</v>
      </c>
      <c r="E20" s="3" t="s">
        <v>84</v>
      </c>
    </row>
    <row r="21" spans="1:5">
      <c r="B21" s="3" t="s">
        <v>85</v>
      </c>
      <c r="C21" s="4">
        <v>500</v>
      </c>
      <c r="D21" s="2">
        <f>C21*C23</f>
        <v>1100000</v>
      </c>
    </row>
    <row r="22" spans="1:5">
      <c r="B22" s="3" t="s">
        <v>86</v>
      </c>
      <c r="C22" s="4">
        <v>170000</v>
      </c>
      <c r="D22" s="2">
        <f>C22</f>
        <v>170000</v>
      </c>
    </row>
    <row r="23" spans="1:5">
      <c r="B23" s="3" t="s">
        <v>87</v>
      </c>
      <c r="C23" s="3">
        <v>2200</v>
      </c>
    </row>
    <row r="26" spans="1:5">
      <c r="A26" s="3" t="s">
        <v>88</v>
      </c>
    </row>
    <row r="27" spans="1:5">
      <c r="A27" s="3" t="s">
        <v>89</v>
      </c>
      <c r="B27" s="3" t="s">
        <v>90</v>
      </c>
    </row>
    <row r="28" spans="1:5">
      <c r="B28" s="4">
        <f>D20-D21</f>
        <v>220000</v>
      </c>
    </row>
    <row r="29" spans="1:5">
      <c r="B29" s="2">
        <f>B28-D22</f>
        <v>50000</v>
      </c>
      <c r="C29" s="3" t="s">
        <v>91</v>
      </c>
    </row>
    <row r="31" spans="1:5">
      <c r="A31" s="3" t="s">
        <v>92</v>
      </c>
    </row>
    <row r="32" spans="1:5">
      <c r="B32" s="3" t="s">
        <v>93</v>
      </c>
    </row>
    <row r="33" spans="2:3">
      <c r="B33" s="4">
        <f>(C20-C21)*C23</f>
        <v>220000</v>
      </c>
    </row>
    <row r="34" spans="2:3">
      <c r="B34" s="2">
        <f>B33-D22</f>
        <v>50000</v>
      </c>
      <c r="C34" s="3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R54"/>
  <sheetViews>
    <sheetView topLeftCell="AA1" workbookViewId="0"/>
  </sheetViews>
  <sheetFormatPr defaultColWidth="12.6640625" defaultRowHeight="15.75" customHeight="1"/>
  <cols>
    <col min="1" max="1" width="14.88671875" customWidth="1"/>
    <col min="6" max="6" width="19.44140625" customWidth="1"/>
    <col min="8" max="8" width="16.109375" customWidth="1"/>
  </cols>
  <sheetData>
    <row r="2" spans="1:15">
      <c r="B2" s="3" t="s">
        <v>94</v>
      </c>
      <c r="C2" s="3" t="s">
        <v>95</v>
      </c>
      <c r="G2" s="3" t="s">
        <v>94</v>
      </c>
      <c r="H2" s="3" t="s">
        <v>95</v>
      </c>
      <c r="N2" s="3" t="s">
        <v>94</v>
      </c>
      <c r="O2" s="3" t="s">
        <v>95</v>
      </c>
    </row>
    <row r="3" spans="1:15">
      <c r="A3" s="3" t="s">
        <v>96</v>
      </c>
      <c r="B3" s="3">
        <v>21000</v>
      </c>
      <c r="C3" s="3">
        <v>10000</v>
      </c>
      <c r="F3" s="3" t="s">
        <v>97</v>
      </c>
      <c r="G3" s="20">
        <v>20000</v>
      </c>
      <c r="H3" s="20">
        <v>10000</v>
      </c>
      <c r="M3" s="3" t="s">
        <v>97</v>
      </c>
      <c r="N3" s="20">
        <v>25000</v>
      </c>
      <c r="O3" s="20">
        <v>14000</v>
      </c>
    </row>
    <row r="4" spans="1:15">
      <c r="A4" s="3" t="s">
        <v>98</v>
      </c>
      <c r="B4" s="4">
        <v>25</v>
      </c>
      <c r="C4" s="4">
        <v>40</v>
      </c>
      <c r="G4" s="20"/>
      <c r="H4" s="20"/>
      <c r="N4" s="20"/>
      <c r="O4" s="20"/>
    </row>
    <row r="5" spans="1:15">
      <c r="A5" s="3" t="s">
        <v>99</v>
      </c>
      <c r="B5" s="3">
        <v>2000</v>
      </c>
      <c r="C5" s="3">
        <v>1000</v>
      </c>
      <c r="F5" s="3" t="s">
        <v>100</v>
      </c>
      <c r="G5" s="20"/>
      <c r="H5" s="20"/>
      <c r="M5" s="3" t="s">
        <v>100</v>
      </c>
      <c r="N5" s="20"/>
      <c r="O5" s="20"/>
    </row>
    <row r="6" spans="1:15">
      <c r="A6" s="3" t="s">
        <v>101</v>
      </c>
      <c r="B6" s="3">
        <v>3000</v>
      </c>
      <c r="C6" s="3">
        <v>1000</v>
      </c>
      <c r="F6" s="3" t="s">
        <v>102</v>
      </c>
      <c r="G6" s="4">
        <v>3</v>
      </c>
      <c r="H6" s="20" t="s">
        <v>103</v>
      </c>
      <c r="M6" s="3" t="s">
        <v>102</v>
      </c>
      <c r="N6" s="4">
        <v>3</v>
      </c>
      <c r="O6" s="20" t="s">
        <v>103</v>
      </c>
    </row>
    <row r="7" spans="1:15">
      <c r="B7" s="34"/>
      <c r="C7" s="34"/>
      <c r="F7" s="3" t="s">
        <v>104</v>
      </c>
      <c r="G7" s="4">
        <v>4</v>
      </c>
      <c r="H7" s="20" t="s">
        <v>105</v>
      </c>
      <c r="M7" s="3" t="s">
        <v>104</v>
      </c>
      <c r="N7" s="4">
        <v>4</v>
      </c>
      <c r="O7" s="20" t="s">
        <v>105</v>
      </c>
    </row>
    <row r="8" spans="1:15">
      <c r="B8" s="2"/>
      <c r="C8" s="2"/>
      <c r="F8" s="3" t="s">
        <v>106</v>
      </c>
      <c r="G8" s="4">
        <v>20</v>
      </c>
      <c r="H8" s="20" t="s">
        <v>51</v>
      </c>
      <c r="M8" s="3" t="s">
        <v>106</v>
      </c>
      <c r="N8" s="4">
        <v>21</v>
      </c>
      <c r="O8" s="20" t="s">
        <v>51</v>
      </c>
    </row>
    <row r="9" spans="1:15">
      <c r="A9" s="3" t="s">
        <v>107</v>
      </c>
      <c r="B9" s="2">
        <f t="shared" ref="B9:C9" si="0">B3*B4</f>
        <v>525000</v>
      </c>
      <c r="C9" s="2">
        <f t="shared" si="0"/>
        <v>400000</v>
      </c>
      <c r="D9" s="2">
        <f>B9+C9</f>
        <v>925000</v>
      </c>
      <c r="G9" s="20"/>
      <c r="H9" s="20"/>
      <c r="N9" s="20"/>
      <c r="O9" s="20"/>
    </row>
    <row r="10" spans="1:15">
      <c r="A10" s="3"/>
      <c r="B10" s="3"/>
      <c r="C10" s="3"/>
    </row>
    <row r="11" spans="1:15">
      <c r="A11" s="3" t="s">
        <v>96</v>
      </c>
      <c r="B11" s="20">
        <v>21000</v>
      </c>
      <c r="C11" s="20">
        <v>10000</v>
      </c>
      <c r="G11" s="3" t="s">
        <v>108</v>
      </c>
      <c r="H11" s="3" t="s">
        <v>109</v>
      </c>
      <c r="N11" s="3" t="s">
        <v>108</v>
      </c>
      <c r="O11" s="3" t="s">
        <v>109</v>
      </c>
    </row>
    <row r="12" spans="1:15">
      <c r="A12" s="3" t="s">
        <v>99</v>
      </c>
      <c r="B12" s="20">
        <v>2000</v>
      </c>
      <c r="C12" s="20">
        <v>1000</v>
      </c>
      <c r="F12" s="3" t="s">
        <v>110</v>
      </c>
      <c r="G12" s="3">
        <v>12000</v>
      </c>
      <c r="H12" s="3">
        <v>7000</v>
      </c>
      <c r="M12" s="3" t="s">
        <v>110</v>
      </c>
      <c r="N12" s="3">
        <v>13000</v>
      </c>
      <c r="O12" s="3">
        <v>11000</v>
      </c>
    </row>
    <row r="13" spans="1:15">
      <c r="A13" s="3" t="s">
        <v>111</v>
      </c>
      <c r="B13" s="30">
        <f t="shared" ref="B13:C13" si="1">B11+B12</f>
        <v>23000</v>
      </c>
      <c r="C13" s="30">
        <f t="shared" si="1"/>
        <v>11000</v>
      </c>
      <c r="F13" s="3" t="s">
        <v>112</v>
      </c>
      <c r="G13" s="3">
        <v>7000</v>
      </c>
      <c r="H13" s="3">
        <v>5000</v>
      </c>
      <c r="M13" s="3" t="s">
        <v>112</v>
      </c>
      <c r="N13" s="3">
        <v>13000</v>
      </c>
      <c r="O13" s="3">
        <v>11000</v>
      </c>
    </row>
    <row r="14" spans="1:15">
      <c r="A14" s="3" t="s">
        <v>101</v>
      </c>
      <c r="B14" s="20">
        <v>3000</v>
      </c>
      <c r="C14" s="20">
        <v>1000</v>
      </c>
    </row>
    <row r="15" spans="1:15">
      <c r="B15" s="30">
        <f t="shared" ref="B15:C15" si="2">B13-B14</f>
        <v>20000</v>
      </c>
      <c r="C15" s="30">
        <f t="shared" si="2"/>
        <v>10000</v>
      </c>
    </row>
    <row r="16" spans="1:15">
      <c r="G16" s="3" t="s">
        <v>94</v>
      </c>
      <c r="H16" s="3" t="s">
        <v>95</v>
      </c>
      <c r="N16" s="3" t="s">
        <v>94</v>
      </c>
      <c r="O16" s="3" t="s">
        <v>95</v>
      </c>
    </row>
    <row r="17" spans="1:16">
      <c r="F17" s="3" t="s">
        <v>102</v>
      </c>
      <c r="G17" s="20">
        <v>2</v>
      </c>
      <c r="H17" s="20">
        <v>3</v>
      </c>
      <c r="M17" s="3" t="s">
        <v>102</v>
      </c>
      <c r="N17" s="20">
        <v>2</v>
      </c>
      <c r="O17" s="20">
        <v>3</v>
      </c>
    </row>
    <row r="18" spans="1:16">
      <c r="F18" s="3" t="s">
        <v>104</v>
      </c>
      <c r="G18" s="20">
        <v>1</v>
      </c>
      <c r="H18" s="35">
        <v>1.5</v>
      </c>
      <c r="M18" s="3" t="s">
        <v>104</v>
      </c>
      <c r="N18" s="20">
        <v>1</v>
      </c>
      <c r="O18" s="35">
        <v>3</v>
      </c>
    </row>
    <row r="19" spans="1:16">
      <c r="F19" s="3" t="s">
        <v>113</v>
      </c>
      <c r="G19" s="36">
        <v>0.15</v>
      </c>
      <c r="H19" s="36">
        <v>0.2</v>
      </c>
      <c r="M19" s="3" t="s">
        <v>113</v>
      </c>
      <c r="N19" s="36">
        <v>0.1</v>
      </c>
      <c r="O19" s="36">
        <v>0.3</v>
      </c>
    </row>
    <row r="20" spans="1:16">
      <c r="G20" s="20"/>
      <c r="H20" s="20"/>
      <c r="N20" s="20"/>
      <c r="O20" s="20"/>
    </row>
    <row r="21" spans="1:16">
      <c r="B21" s="3" t="s">
        <v>94</v>
      </c>
      <c r="C21" s="3" t="s">
        <v>95</v>
      </c>
      <c r="G21" s="3" t="s">
        <v>102</v>
      </c>
      <c r="H21" s="20" t="s">
        <v>104</v>
      </c>
      <c r="N21" s="3" t="s">
        <v>102</v>
      </c>
      <c r="O21" s="20" t="s">
        <v>104</v>
      </c>
    </row>
    <row r="22" spans="1:16">
      <c r="A22" s="3" t="s">
        <v>96</v>
      </c>
      <c r="B22" s="3">
        <v>22500</v>
      </c>
      <c r="C22" s="3">
        <v>14000</v>
      </c>
      <c r="F22" s="3" t="s">
        <v>101</v>
      </c>
      <c r="G22" s="20">
        <v>12000</v>
      </c>
      <c r="H22" s="20">
        <v>7000</v>
      </c>
      <c r="M22" s="3" t="s">
        <v>101</v>
      </c>
      <c r="N22" s="20">
        <v>13000</v>
      </c>
      <c r="O22" s="20">
        <v>13000</v>
      </c>
    </row>
    <row r="23" spans="1:16">
      <c r="A23" s="3" t="s">
        <v>98</v>
      </c>
      <c r="B23" s="4">
        <v>27</v>
      </c>
      <c r="C23" s="4">
        <v>43</v>
      </c>
      <c r="F23" s="3" t="s">
        <v>114</v>
      </c>
      <c r="G23" s="20">
        <v>10000</v>
      </c>
      <c r="H23" s="20">
        <v>5000</v>
      </c>
      <c r="M23" s="3" t="s">
        <v>114</v>
      </c>
      <c r="N23" s="20">
        <v>11000</v>
      </c>
      <c r="O23" s="20">
        <v>11000</v>
      </c>
    </row>
    <row r="24" spans="1:16">
      <c r="A24" s="3" t="s">
        <v>99</v>
      </c>
      <c r="B24" s="3">
        <v>1700</v>
      </c>
      <c r="C24" s="3">
        <v>700</v>
      </c>
      <c r="G24" s="20"/>
      <c r="H24" s="20"/>
      <c r="N24" s="20"/>
      <c r="O24" s="20"/>
    </row>
    <row r="25" spans="1:16">
      <c r="A25" s="3" t="s">
        <v>101</v>
      </c>
      <c r="B25" s="3">
        <v>3200</v>
      </c>
      <c r="C25" s="3">
        <v>700</v>
      </c>
      <c r="G25" s="3" t="s">
        <v>102</v>
      </c>
      <c r="H25" s="20" t="s">
        <v>104</v>
      </c>
      <c r="N25" s="3" t="s">
        <v>102</v>
      </c>
      <c r="O25" s="20" t="s">
        <v>104</v>
      </c>
    </row>
    <row r="26" spans="1:16">
      <c r="B26" s="34"/>
      <c r="C26" s="34"/>
      <c r="F26" s="3" t="s">
        <v>115</v>
      </c>
      <c r="G26" s="20">
        <f>G3*G17</f>
        <v>40000</v>
      </c>
      <c r="H26" s="20">
        <f>G3*G18</f>
        <v>20000</v>
      </c>
      <c r="M26" s="3" t="s">
        <v>115</v>
      </c>
      <c r="N26" s="20">
        <f>N3*N17</f>
        <v>50000</v>
      </c>
      <c r="O26" s="20">
        <f>N3*N18</f>
        <v>25000</v>
      </c>
    </row>
    <row r="27" spans="1:16">
      <c r="B27" s="2"/>
      <c r="C27" s="2"/>
      <c r="F27" s="3" t="s">
        <v>116</v>
      </c>
      <c r="G27" s="20">
        <f>H3*H17</f>
        <v>30000</v>
      </c>
      <c r="H27" s="20">
        <f>H3*H18</f>
        <v>15000</v>
      </c>
      <c r="M27" s="3" t="s">
        <v>116</v>
      </c>
      <c r="N27" s="20">
        <f>O3*O17</f>
        <v>42000</v>
      </c>
      <c r="O27" s="20">
        <f>O3*O18</f>
        <v>42000</v>
      </c>
    </row>
    <row r="28" spans="1:16">
      <c r="A28" s="3" t="s">
        <v>117</v>
      </c>
      <c r="B28" s="18">
        <v>607500</v>
      </c>
      <c r="C28" s="18">
        <v>602000</v>
      </c>
      <c r="D28" s="18">
        <v>1209500</v>
      </c>
      <c r="F28" s="3" t="s">
        <v>118</v>
      </c>
      <c r="G28" s="32">
        <f t="shared" ref="G28:H28" si="3">G26+G27</f>
        <v>70000</v>
      </c>
      <c r="H28" s="32">
        <f t="shared" si="3"/>
        <v>35000</v>
      </c>
      <c r="M28" s="3" t="s">
        <v>118</v>
      </c>
      <c r="N28" s="32">
        <f t="shared" ref="N28:O28" si="4">N26+N27</f>
        <v>92000</v>
      </c>
      <c r="O28" s="32">
        <f t="shared" si="4"/>
        <v>67000</v>
      </c>
    </row>
    <row r="29" spans="1:16">
      <c r="A29" s="3"/>
      <c r="B29" s="3"/>
      <c r="C29" s="3"/>
      <c r="G29" s="20"/>
      <c r="H29" s="20"/>
      <c r="I29" s="3" t="s">
        <v>69</v>
      </c>
      <c r="N29" s="20"/>
      <c r="O29" s="20"/>
      <c r="P29" s="3" t="s">
        <v>69</v>
      </c>
    </row>
    <row r="30" spans="1:16">
      <c r="A30" s="3" t="s">
        <v>119</v>
      </c>
      <c r="B30" s="3"/>
      <c r="C30" s="3"/>
      <c r="G30" s="20"/>
      <c r="H30" s="20"/>
      <c r="N30" s="20"/>
      <c r="O30" s="20"/>
    </row>
    <row r="31" spans="1:16">
      <c r="A31" s="3" t="s">
        <v>96</v>
      </c>
      <c r="B31" s="3">
        <v>22500</v>
      </c>
      <c r="C31" s="3">
        <v>14000</v>
      </c>
      <c r="F31" s="3" t="s">
        <v>120</v>
      </c>
      <c r="G31" s="3" t="s">
        <v>102</v>
      </c>
      <c r="H31" s="20" t="s">
        <v>104</v>
      </c>
      <c r="M31" s="3" t="s">
        <v>120</v>
      </c>
      <c r="N31" s="3" t="s">
        <v>102</v>
      </c>
      <c r="O31" s="20" t="s">
        <v>104</v>
      </c>
    </row>
    <row r="32" spans="1:16">
      <c r="A32" s="3" t="s">
        <v>99</v>
      </c>
      <c r="B32" s="3">
        <v>1700</v>
      </c>
      <c r="C32" s="3">
        <v>700</v>
      </c>
      <c r="F32" s="3" t="s">
        <v>102</v>
      </c>
      <c r="G32" s="4">
        <f>G12*G6</f>
        <v>36000</v>
      </c>
      <c r="H32" s="20"/>
      <c r="M32" s="3" t="s">
        <v>102</v>
      </c>
      <c r="N32" s="4">
        <f>N12*N6</f>
        <v>39000</v>
      </c>
      <c r="O32" s="20"/>
    </row>
    <row r="33" spans="1:16">
      <c r="A33" s="3" t="s">
        <v>111</v>
      </c>
      <c r="B33" s="30">
        <v>24200</v>
      </c>
      <c r="C33" s="30">
        <v>14700</v>
      </c>
      <c r="F33" s="3" t="s">
        <v>104</v>
      </c>
      <c r="H33" s="4">
        <f>H12*G7</f>
        <v>28000</v>
      </c>
      <c r="M33" s="3" t="s">
        <v>104</v>
      </c>
      <c r="O33" s="4">
        <f>N13*N7</f>
        <v>52000</v>
      </c>
    </row>
    <row r="34" spans="1:16">
      <c r="A34" s="3" t="s">
        <v>101</v>
      </c>
      <c r="B34" s="3">
        <v>3200</v>
      </c>
      <c r="C34" s="3">
        <v>700</v>
      </c>
      <c r="F34" s="3" t="s">
        <v>121</v>
      </c>
      <c r="M34" s="3" t="s">
        <v>121</v>
      </c>
    </row>
    <row r="35" spans="1:16">
      <c r="A35" s="3" t="s">
        <v>122</v>
      </c>
      <c r="B35" s="30">
        <v>21000</v>
      </c>
      <c r="C35" s="30">
        <v>14000</v>
      </c>
      <c r="F35" s="3" t="s">
        <v>102</v>
      </c>
      <c r="G35" s="2">
        <f>(G28-G22)*G6</f>
        <v>174000</v>
      </c>
      <c r="M35" s="3" t="s">
        <v>102</v>
      </c>
      <c r="N35" s="2">
        <f>(N28-N22)*N6</f>
        <v>237000</v>
      </c>
    </row>
    <row r="36" spans="1:16">
      <c r="F36" s="3" t="s">
        <v>104</v>
      </c>
      <c r="H36" s="2">
        <f>(H28-H22)*G7</f>
        <v>112000</v>
      </c>
      <c r="M36" s="3" t="s">
        <v>104</v>
      </c>
      <c r="O36" s="2">
        <f>(O28-O22)*N7</f>
        <v>216000</v>
      </c>
    </row>
    <row r="37" spans="1:16">
      <c r="F37" s="3" t="s">
        <v>123</v>
      </c>
      <c r="G37" s="2">
        <f t="shared" ref="G37:H37" si="5">SUM(G32:G36)</f>
        <v>210000</v>
      </c>
      <c r="H37" s="30">
        <f t="shared" si="5"/>
        <v>140000</v>
      </c>
      <c r="I37" s="2">
        <f>G37+H37</f>
        <v>350000</v>
      </c>
      <c r="M37" s="3" t="s">
        <v>123</v>
      </c>
      <c r="N37" s="2">
        <f t="shared" ref="N37:O37" si="6">SUM(N32:N36)</f>
        <v>276000</v>
      </c>
      <c r="O37" s="30">
        <f t="shared" si="6"/>
        <v>268000</v>
      </c>
      <c r="P37" s="2">
        <f>N37+O37</f>
        <v>544000</v>
      </c>
    </row>
    <row r="39" spans="1:16">
      <c r="G39" s="3" t="s">
        <v>102</v>
      </c>
      <c r="H39" s="20" t="s">
        <v>104</v>
      </c>
      <c r="N39" s="3" t="s">
        <v>102</v>
      </c>
      <c r="O39" s="20" t="s">
        <v>104</v>
      </c>
    </row>
    <row r="40" spans="1:16">
      <c r="F40" s="3" t="s">
        <v>124</v>
      </c>
      <c r="G40" s="32">
        <f t="shared" ref="G40:H40" si="7">G28</f>
        <v>70000</v>
      </c>
      <c r="H40" s="32">
        <f t="shared" si="7"/>
        <v>35000</v>
      </c>
      <c r="M40" s="3" t="s">
        <v>124</v>
      </c>
      <c r="N40" s="32">
        <f t="shared" ref="N40:O40" si="8">N28</f>
        <v>92000</v>
      </c>
      <c r="O40" s="32">
        <f t="shared" si="8"/>
        <v>67000</v>
      </c>
    </row>
    <row r="41" spans="1:16">
      <c r="F41" s="3" t="s">
        <v>114</v>
      </c>
      <c r="G41" s="20">
        <v>10000</v>
      </c>
      <c r="H41" s="20">
        <v>5000</v>
      </c>
      <c r="M41" s="3" t="s">
        <v>114</v>
      </c>
      <c r="N41" s="20">
        <f t="shared" ref="N41:O41" si="9">N23</f>
        <v>11000</v>
      </c>
      <c r="O41" s="20">
        <f t="shared" si="9"/>
        <v>11000</v>
      </c>
    </row>
    <row r="42" spans="1:16">
      <c r="F42" s="3" t="s">
        <v>125</v>
      </c>
      <c r="G42" s="30">
        <f t="shared" ref="G42:H42" si="10">G40+G41</f>
        <v>80000</v>
      </c>
      <c r="H42" s="30">
        <f t="shared" si="10"/>
        <v>40000</v>
      </c>
      <c r="M42" s="3" t="s">
        <v>125</v>
      </c>
      <c r="N42" s="30">
        <f t="shared" ref="N42:O42" si="11">N40+N41</f>
        <v>103000</v>
      </c>
      <c r="O42" s="30">
        <f t="shared" si="11"/>
        <v>78000</v>
      </c>
    </row>
    <row r="43" spans="1:16">
      <c r="F43" s="3" t="s">
        <v>101</v>
      </c>
      <c r="G43" s="20">
        <v>12000</v>
      </c>
      <c r="H43" s="20">
        <v>7000</v>
      </c>
      <c r="M43" s="3" t="s">
        <v>101</v>
      </c>
      <c r="N43" s="20">
        <f>N12</f>
        <v>13000</v>
      </c>
      <c r="O43" s="20">
        <f>N13</f>
        <v>13000</v>
      </c>
    </row>
    <row r="44" spans="1:16">
      <c r="F44" s="3" t="s">
        <v>126</v>
      </c>
      <c r="G44" s="37">
        <f t="shared" ref="G44:H44" si="12">G42-G43</f>
        <v>68000</v>
      </c>
      <c r="H44" s="37">
        <f t="shared" si="12"/>
        <v>33000</v>
      </c>
      <c r="M44" s="3" t="s">
        <v>126</v>
      </c>
      <c r="N44" s="37">
        <f t="shared" ref="N44:O44" si="13">N42-N43</f>
        <v>90000</v>
      </c>
      <c r="O44" s="37">
        <f t="shared" si="13"/>
        <v>65000</v>
      </c>
    </row>
    <row r="47" spans="1:16">
      <c r="G47" s="3" t="s">
        <v>102</v>
      </c>
      <c r="H47" s="20" t="s">
        <v>104</v>
      </c>
      <c r="N47" s="3" t="s">
        <v>102</v>
      </c>
      <c r="O47" s="20" t="s">
        <v>104</v>
      </c>
    </row>
    <row r="48" spans="1:16">
      <c r="F48" s="3" t="s">
        <v>127</v>
      </c>
      <c r="G48" s="2">
        <f>G44*G6</f>
        <v>204000</v>
      </c>
      <c r="H48" s="2">
        <f>H44*G7</f>
        <v>132000</v>
      </c>
      <c r="I48" s="2">
        <f>G48+H48</f>
        <v>336000</v>
      </c>
      <c r="M48" s="3" t="s">
        <v>127</v>
      </c>
      <c r="N48" s="2">
        <f>N44*N6</f>
        <v>270000</v>
      </c>
      <c r="O48" s="2">
        <f>O44*N7</f>
        <v>260000</v>
      </c>
      <c r="P48" s="2">
        <f>N48+O48</f>
        <v>530000</v>
      </c>
    </row>
    <row r="51" spans="6:18">
      <c r="F51" s="3" t="s">
        <v>128</v>
      </c>
      <c r="G51" s="3" t="s">
        <v>129</v>
      </c>
      <c r="H51" s="3" t="s">
        <v>130</v>
      </c>
      <c r="I51" s="3" t="s">
        <v>131</v>
      </c>
      <c r="J51" s="3" t="s">
        <v>132</v>
      </c>
      <c r="K51" s="3" t="s">
        <v>133</v>
      </c>
      <c r="M51" s="3" t="s">
        <v>128</v>
      </c>
      <c r="N51" s="3" t="s">
        <v>129</v>
      </c>
      <c r="O51" s="3" t="s">
        <v>130</v>
      </c>
      <c r="P51" s="3" t="s">
        <v>131</v>
      </c>
      <c r="Q51" s="3" t="s">
        <v>132</v>
      </c>
      <c r="R51" s="3" t="s">
        <v>133</v>
      </c>
    </row>
    <row r="52" spans="6:18">
      <c r="F52" s="3" t="s">
        <v>94</v>
      </c>
      <c r="G52" s="20">
        <f>G3</f>
        <v>20000</v>
      </c>
      <c r="H52" s="38">
        <f>G19</f>
        <v>0.15</v>
      </c>
      <c r="I52" s="2">
        <f t="shared" ref="I52:I53" si="14">G52*H52</f>
        <v>3000</v>
      </c>
      <c r="J52" s="3">
        <v>20</v>
      </c>
      <c r="K52" s="2">
        <f t="shared" ref="K52:K53" si="15">I52*J52</f>
        <v>60000</v>
      </c>
      <c r="M52" s="3" t="s">
        <v>94</v>
      </c>
      <c r="N52" s="20">
        <f>N3</f>
        <v>25000</v>
      </c>
      <c r="O52" s="38">
        <f>N19</f>
        <v>0.1</v>
      </c>
      <c r="P52" s="2">
        <f t="shared" ref="P52:P53" si="16">N52*O52</f>
        <v>2500</v>
      </c>
      <c r="Q52" s="4">
        <f>N8</f>
        <v>21</v>
      </c>
      <c r="R52" s="2">
        <f t="shared" ref="R52:R53" si="17">P52*Q52</f>
        <v>52500</v>
      </c>
    </row>
    <row r="53" spans="6:18">
      <c r="F53" s="3" t="s">
        <v>95</v>
      </c>
      <c r="G53" s="20">
        <f>H3</f>
        <v>10000</v>
      </c>
      <c r="H53" s="38">
        <f>H19</f>
        <v>0.2</v>
      </c>
      <c r="I53" s="2">
        <f t="shared" si="14"/>
        <v>2000</v>
      </c>
      <c r="J53" s="3">
        <v>20</v>
      </c>
      <c r="K53" s="2">
        <f t="shared" si="15"/>
        <v>40000</v>
      </c>
      <c r="M53" s="3" t="s">
        <v>95</v>
      </c>
      <c r="N53" s="20">
        <f>O3</f>
        <v>14000</v>
      </c>
      <c r="O53" s="38">
        <f>O19</f>
        <v>0.3</v>
      </c>
      <c r="P53" s="2">
        <f t="shared" si="16"/>
        <v>4200</v>
      </c>
      <c r="Q53" s="4">
        <f>N8</f>
        <v>21</v>
      </c>
      <c r="R53" s="2">
        <f t="shared" si="17"/>
        <v>88200</v>
      </c>
    </row>
    <row r="54" spans="6:18">
      <c r="F54" s="3" t="s">
        <v>69</v>
      </c>
      <c r="I54" s="2">
        <f>I52+I53</f>
        <v>5000</v>
      </c>
      <c r="K54" s="2">
        <f>K52+K53</f>
        <v>100000</v>
      </c>
      <c r="M54" s="3" t="s">
        <v>69</v>
      </c>
      <c r="P54" s="2">
        <f>P52+P53</f>
        <v>6700</v>
      </c>
      <c r="R54" s="2">
        <f>R52+R53</f>
        <v>140700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3:G20"/>
  <sheetViews>
    <sheetView workbookViewId="0"/>
  </sheetViews>
  <sheetFormatPr defaultColWidth="12.6640625" defaultRowHeight="15.75" customHeight="1"/>
  <cols>
    <col min="1" max="1" width="18.44140625" customWidth="1"/>
    <col min="5" max="5" width="17.88671875" customWidth="1"/>
  </cols>
  <sheetData>
    <row r="3" spans="1:7">
      <c r="A3" s="3" t="s">
        <v>134</v>
      </c>
      <c r="B3" s="3">
        <v>1100</v>
      </c>
      <c r="C3" s="3" t="s">
        <v>45</v>
      </c>
      <c r="E3" s="3" t="s">
        <v>134</v>
      </c>
      <c r="F3" s="3">
        <v>1100</v>
      </c>
      <c r="G3" s="3" t="s">
        <v>45</v>
      </c>
    </row>
    <row r="5" spans="1:7">
      <c r="B5" s="3" t="s">
        <v>94</v>
      </c>
      <c r="C5" s="3" t="s">
        <v>95</v>
      </c>
      <c r="F5" s="3" t="s">
        <v>94</v>
      </c>
      <c r="G5" s="3" t="s">
        <v>95</v>
      </c>
    </row>
    <row r="6" spans="1:7">
      <c r="A6" s="3" t="s">
        <v>135</v>
      </c>
      <c r="B6" s="3">
        <v>20000</v>
      </c>
      <c r="C6" s="3">
        <v>10000</v>
      </c>
      <c r="E6" s="3" t="s">
        <v>135</v>
      </c>
      <c r="F6" s="3">
        <v>26000</v>
      </c>
      <c r="G6" s="3">
        <v>14000</v>
      </c>
    </row>
    <row r="7" spans="1:7">
      <c r="A7" s="3" t="s">
        <v>136</v>
      </c>
      <c r="B7" s="3">
        <v>100</v>
      </c>
      <c r="C7" s="3">
        <v>80</v>
      </c>
      <c r="E7" s="3" t="s">
        <v>136</v>
      </c>
      <c r="F7" s="3">
        <v>100</v>
      </c>
      <c r="G7" s="3">
        <v>100</v>
      </c>
    </row>
    <row r="8" spans="1:7">
      <c r="A8" s="3" t="s">
        <v>137</v>
      </c>
      <c r="B8" s="3">
        <v>3</v>
      </c>
      <c r="C8" s="3">
        <v>4</v>
      </c>
      <c r="E8" s="3" t="s">
        <v>137</v>
      </c>
      <c r="F8" s="3">
        <v>3</v>
      </c>
      <c r="G8" s="3">
        <v>4</v>
      </c>
    </row>
    <row r="9" spans="1:7">
      <c r="A9" s="3" t="s">
        <v>138</v>
      </c>
      <c r="B9" s="16">
        <f t="shared" ref="B9:C9" si="0">B6/B7</f>
        <v>200</v>
      </c>
      <c r="C9" s="16">
        <f t="shared" si="0"/>
        <v>125</v>
      </c>
      <c r="E9" s="3" t="s">
        <v>138</v>
      </c>
      <c r="F9" s="16">
        <f t="shared" ref="F9:G9" si="1">F6/F7</f>
        <v>260</v>
      </c>
      <c r="G9" s="16">
        <f t="shared" si="1"/>
        <v>140</v>
      </c>
    </row>
    <row r="10" spans="1:7">
      <c r="A10" s="3" t="s">
        <v>139</v>
      </c>
      <c r="B10" s="16">
        <f t="shared" ref="B10:C10" si="2">B8*B9</f>
        <v>600</v>
      </c>
      <c r="C10" s="16">
        <f t="shared" si="2"/>
        <v>500</v>
      </c>
      <c r="E10" s="3" t="s">
        <v>139</v>
      </c>
      <c r="F10" s="16">
        <f t="shared" ref="F10:G10" si="3">F8*F9</f>
        <v>780</v>
      </c>
      <c r="G10" s="16">
        <f t="shared" si="3"/>
        <v>560</v>
      </c>
    </row>
    <row r="13" spans="1:7">
      <c r="A13" s="3" t="s">
        <v>140</v>
      </c>
      <c r="B13" s="4">
        <v>60</v>
      </c>
      <c r="C13" s="3" t="s">
        <v>51</v>
      </c>
      <c r="E13" s="3" t="s">
        <v>140</v>
      </c>
      <c r="F13" s="4">
        <v>55</v>
      </c>
      <c r="G13" s="3" t="s">
        <v>51</v>
      </c>
    </row>
    <row r="14" spans="1:7">
      <c r="A14" s="3" t="s">
        <v>141</v>
      </c>
      <c r="B14" s="4">
        <v>77000</v>
      </c>
      <c r="E14" s="3" t="s">
        <v>141</v>
      </c>
      <c r="F14" s="4">
        <v>73000</v>
      </c>
    </row>
    <row r="17" spans="1:6">
      <c r="A17" s="3" t="s">
        <v>142</v>
      </c>
      <c r="B17" s="2">
        <f>B13*(B10+C10)</f>
        <v>66000</v>
      </c>
      <c r="E17" s="3" t="s">
        <v>142</v>
      </c>
      <c r="F17" s="2">
        <f>F13*(F10+G10)</f>
        <v>73700</v>
      </c>
    </row>
    <row r="18" spans="1:6">
      <c r="A18" s="3" t="s">
        <v>143</v>
      </c>
      <c r="B18" s="2">
        <f>B14</f>
        <v>77000</v>
      </c>
      <c r="E18" s="3" t="s">
        <v>143</v>
      </c>
      <c r="F18" s="2">
        <f>F14</f>
        <v>73000</v>
      </c>
    </row>
    <row r="19" spans="1:6">
      <c r="A19" s="3" t="s">
        <v>69</v>
      </c>
      <c r="B19" s="2">
        <f>B17+B18</f>
        <v>143000</v>
      </c>
      <c r="E19" s="3" t="s">
        <v>144</v>
      </c>
      <c r="F19" s="2">
        <f>F17+F18</f>
        <v>146700</v>
      </c>
    </row>
    <row r="20" spans="1:6">
      <c r="F20" s="2">
        <f>F17+F18+F19</f>
        <v>293400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1"/>
  <sheetViews>
    <sheetView workbookViewId="0"/>
  </sheetViews>
  <sheetFormatPr defaultColWidth="12.6640625" defaultRowHeight="15.75" customHeight="1"/>
  <cols>
    <col min="1" max="1" width="14.44140625" customWidth="1"/>
  </cols>
  <sheetData>
    <row r="1" spans="1:3">
      <c r="A1" s="3" t="s">
        <v>89</v>
      </c>
    </row>
    <row r="2" spans="1:3">
      <c r="B2" s="3" t="s">
        <v>94</v>
      </c>
      <c r="C2" s="3" t="s">
        <v>95</v>
      </c>
    </row>
    <row r="3" spans="1:3">
      <c r="A3" s="3" t="s">
        <v>145</v>
      </c>
      <c r="B3" s="3">
        <v>2000</v>
      </c>
      <c r="C3" s="3">
        <v>1000</v>
      </c>
    </row>
    <row r="7" spans="1:3">
      <c r="A7" s="3" t="s">
        <v>49</v>
      </c>
    </row>
    <row r="8" spans="1:3">
      <c r="A8" s="3" t="s">
        <v>102</v>
      </c>
      <c r="B8" s="3">
        <v>3</v>
      </c>
      <c r="C8" s="3" t="s">
        <v>146</v>
      </c>
    </row>
    <row r="9" spans="1:3">
      <c r="A9" s="3" t="s">
        <v>104</v>
      </c>
      <c r="B9" s="3">
        <v>4</v>
      </c>
      <c r="C9" s="3" t="s">
        <v>147</v>
      </c>
    </row>
    <row r="10" spans="1:3">
      <c r="A10" s="3" t="s">
        <v>148</v>
      </c>
      <c r="B10" s="3">
        <v>20</v>
      </c>
      <c r="C10" s="3" t="s">
        <v>149</v>
      </c>
    </row>
    <row r="11" spans="1:3">
      <c r="A11" s="3" t="s">
        <v>150</v>
      </c>
      <c r="B11" s="3">
        <v>130</v>
      </c>
      <c r="C11" s="3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L36"/>
  <sheetViews>
    <sheetView showGridLines="0" tabSelected="1" topLeftCell="A17" workbookViewId="0">
      <selection activeCell="F35" sqref="F35"/>
    </sheetView>
  </sheetViews>
  <sheetFormatPr defaultColWidth="12.6640625" defaultRowHeight="15.75" customHeight="1"/>
  <cols>
    <col min="1" max="1" width="5.21875" customWidth="1"/>
    <col min="2" max="2" width="29" customWidth="1"/>
    <col min="3" max="3" width="17.6640625" customWidth="1"/>
    <col min="4" max="4" width="19.88671875" customWidth="1"/>
    <col min="6" max="6" width="28.33203125" customWidth="1"/>
    <col min="7" max="7" width="16.6640625" customWidth="1"/>
    <col min="8" max="8" width="14.6640625" customWidth="1"/>
  </cols>
  <sheetData>
    <row r="2" spans="1:8" ht="15.75" customHeight="1">
      <c r="A2" s="3"/>
      <c r="B2" s="39" t="s">
        <v>151</v>
      </c>
    </row>
    <row r="4" spans="1:8">
      <c r="A4" s="3"/>
    </row>
    <row r="5" spans="1:8" ht="13.2">
      <c r="A5" s="3"/>
    </row>
    <row r="6" spans="1:8" ht="15.75" customHeight="1">
      <c r="B6" s="40" t="s">
        <v>152</v>
      </c>
      <c r="C6" s="41">
        <v>196.5</v>
      </c>
      <c r="D6" s="41">
        <v>589.5</v>
      </c>
      <c r="F6" s="40" t="s">
        <v>152</v>
      </c>
      <c r="G6" s="50">
        <v>196.5</v>
      </c>
      <c r="H6" s="50">
        <v>589.5</v>
      </c>
    </row>
    <row r="8" spans="1:8" ht="15.75" customHeight="1">
      <c r="A8" s="42"/>
      <c r="B8" s="42"/>
      <c r="C8" s="43" t="s">
        <v>153</v>
      </c>
      <c r="D8" s="43" t="s">
        <v>154</v>
      </c>
      <c r="F8" s="42"/>
      <c r="G8" s="43" t="s">
        <v>153</v>
      </c>
      <c r="H8" s="43" t="s">
        <v>154</v>
      </c>
    </row>
    <row r="9" spans="1:8" ht="13.2">
      <c r="A9" s="3"/>
      <c r="B9" s="40" t="s">
        <v>155</v>
      </c>
      <c r="C9" s="41">
        <v>17.649999999999999</v>
      </c>
      <c r="D9" s="41">
        <v>321.89999999999998</v>
      </c>
      <c r="F9" s="40" t="s">
        <v>155</v>
      </c>
      <c r="G9" s="50">
        <v>17.649999999999999</v>
      </c>
      <c r="H9" s="50">
        <v>321.89999999999998</v>
      </c>
    </row>
    <row r="10" spans="1:8" ht="13.2">
      <c r="A10" s="3"/>
      <c r="B10" s="40" t="s">
        <v>106</v>
      </c>
      <c r="C10" s="41">
        <v>65.5</v>
      </c>
      <c r="D10" s="41">
        <v>196.5</v>
      </c>
      <c r="F10" s="40" t="s">
        <v>106</v>
      </c>
      <c r="G10" s="50">
        <v>65.5</v>
      </c>
      <c r="H10" s="50">
        <v>196.5</v>
      </c>
    </row>
    <row r="11" spans="1:8" ht="13.2">
      <c r="A11" s="8"/>
      <c r="B11" s="40" t="s">
        <v>156</v>
      </c>
      <c r="C11" s="45">
        <f t="shared" ref="C11:D11" si="0">C10*0.8</f>
        <v>52.400000000000006</v>
      </c>
      <c r="D11" s="41">
        <f t="shared" si="0"/>
        <v>157.20000000000002</v>
      </c>
      <c r="F11" s="40" t="s">
        <v>156</v>
      </c>
      <c r="G11" s="45">
        <f t="shared" ref="G11:H11" si="1">G10*0.8</f>
        <v>52.400000000000006</v>
      </c>
      <c r="H11" s="50">
        <f t="shared" si="1"/>
        <v>157.20000000000002</v>
      </c>
    </row>
    <row r="12" spans="1:8" ht="13.2">
      <c r="A12" s="8"/>
      <c r="B12" s="46" t="s">
        <v>157</v>
      </c>
      <c r="C12" s="47">
        <v>135.55000000000001</v>
      </c>
      <c r="D12" s="47">
        <v>675.6</v>
      </c>
      <c r="F12" s="46" t="s">
        <v>157</v>
      </c>
      <c r="G12" s="47">
        <v>135.55000000000001</v>
      </c>
      <c r="H12" s="47">
        <v>675.6</v>
      </c>
    </row>
    <row r="13" spans="1:8" ht="13.2">
      <c r="A13" s="8"/>
      <c r="B13" s="46" t="s">
        <v>158</v>
      </c>
      <c r="C13" s="47">
        <f t="shared" ref="C13:D13" si="2">C6-C11</f>
        <v>144.1</v>
      </c>
      <c r="D13" s="47">
        <f t="shared" si="2"/>
        <v>432.29999999999995</v>
      </c>
      <c r="F13" s="46" t="s">
        <v>158</v>
      </c>
      <c r="G13" s="47">
        <f t="shared" ref="G13:H13" si="3">G6-G11</f>
        <v>144.1</v>
      </c>
      <c r="H13" s="47">
        <f t="shared" si="3"/>
        <v>432.29999999999995</v>
      </c>
    </row>
    <row r="14" spans="1:8" ht="13.2">
      <c r="A14" s="8"/>
      <c r="B14" s="48" t="s">
        <v>159</v>
      </c>
      <c r="C14" s="49">
        <f t="shared" ref="C14:D14" si="4">C12+C13</f>
        <v>279.64999999999998</v>
      </c>
      <c r="D14" s="49">
        <f t="shared" si="4"/>
        <v>1107.9000000000001</v>
      </c>
      <c r="F14" s="48" t="s">
        <v>159</v>
      </c>
      <c r="G14" s="49">
        <f t="shared" ref="G14:H14" si="5">G12+G13</f>
        <v>279.64999999999998</v>
      </c>
      <c r="H14" s="49">
        <f t="shared" si="5"/>
        <v>1107.9000000000001</v>
      </c>
    </row>
    <row r="15" spans="1:8" ht="13.2">
      <c r="A15" s="8"/>
      <c r="B15" s="3"/>
      <c r="C15" s="44"/>
      <c r="D15" s="44"/>
      <c r="F15" s="3"/>
      <c r="G15" s="44"/>
      <c r="H15" s="44"/>
    </row>
    <row r="16" spans="1:8" ht="13.2">
      <c r="A16" s="8"/>
      <c r="B16" s="40" t="s">
        <v>160</v>
      </c>
      <c r="C16" s="41">
        <v>2.8</v>
      </c>
      <c r="D16" s="41">
        <v>11.08</v>
      </c>
      <c r="E16" s="17"/>
      <c r="F16" s="40" t="s">
        <v>160</v>
      </c>
      <c r="G16" s="50">
        <v>2.8</v>
      </c>
      <c r="H16" s="50">
        <v>11.08</v>
      </c>
    </row>
    <row r="17" spans="1:12" ht="13.2">
      <c r="A17" s="8"/>
    </row>
    <row r="20" spans="1:12" ht="13.2">
      <c r="C20" s="43" t="s">
        <v>153</v>
      </c>
      <c r="D20" s="43" t="s">
        <v>154</v>
      </c>
      <c r="G20" s="43" t="s">
        <v>153</v>
      </c>
      <c r="H20" s="43" t="s">
        <v>154</v>
      </c>
    </row>
    <row r="21" spans="1:12" ht="13.2">
      <c r="B21" s="40" t="s">
        <v>161</v>
      </c>
      <c r="C21" s="50">
        <v>1500</v>
      </c>
      <c r="D21" s="50">
        <v>1500</v>
      </c>
      <c r="F21" s="40" t="s">
        <v>161</v>
      </c>
      <c r="G21" s="50">
        <v>1350</v>
      </c>
      <c r="H21" s="50">
        <v>1350</v>
      </c>
    </row>
    <row r="22" spans="1:12" ht="13.2">
      <c r="B22" s="40" t="s">
        <v>157</v>
      </c>
      <c r="C22" s="41">
        <v>135.55000000000001</v>
      </c>
      <c r="D22" s="41">
        <v>675.6</v>
      </c>
      <c r="F22" s="40" t="s">
        <v>157</v>
      </c>
      <c r="G22" s="50">
        <v>135.55000000000001</v>
      </c>
      <c r="H22" s="50">
        <v>675.6</v>
      </c>
    </row>
    <row r="23" spans="1:12" ht="13.2">
      <c r="B23" s="46" t="s">
        <v>162</v>
      </c>
      <c r="C23" s="51">
        <f t="shared" ref="C23:D23" si="6">C21-C22</f>
        <v>1364.45</v>
      </c>
      <c r="D23" s="51">
        <f t="shared" si="6"/>
        <v>824.4</v>
      </c>
      <c r="F23" s="46" t="s">
        <v>162</v>
      </c>
      <c r="G23" s="51">
        <f t="shared" ref="G23:H23" si="7">G21-G22</f>
        <v>1214.45</v>
      </c>
      <c r="H23" s="51">
        <f t="shared" si="7"/>
        <v>674.4</v>
      </c>
    </row>
    <row r="24" spans="1:12" ht="13.2">
      <c r="B24" s="40" t="s">
        <v>163</v>
      </c>
      <c r="C24" s="52">
        <f t="shared" ref="C24:D24" si="8">C23/C21</f>
        <v>0.9096333333333334</v>
      </c>
      <c r="D24" s="52">
        <f t="shared" si="8"/>
        <v>0.54959999999999998</v>
      </c>
      <c r="F24" s="40" t="s">
        <v>163</v>
      </c>
      <c r="G24" s="52">
        <f t="shared" ref="G24:H24" si="9">G23/G21</f>
        <v>0.89959259259259261</v>
      </c>
      <c r="H24" s="52">
        <f t="shared" si="9"/>
        <v>0.49955555555555553</v>
      </c>
      <c r="L24" t="s">
        <v>175</v>
      </c>
    </row>
    <row r="25" spans="1:12" ht="15.75" customHeight="1">
      <c r="J25" s="44" t="s">
        <v>166</v>
      </c>
      <c r="L25" t="s">
        <v>167</v>
      </c>
    </row>
    <row r="26" spans="1:12" ht="13.2">
      <c r="B26" s="40" t="s">
        <v>158</v>
      </c>
      <c r="C26" s="53">
        <v>144.1</v>
      </c>
      <c r="D26" s="53">
        <v>432.29999999999995</v>
      </c>
      <c r="F26" s="40" t="s">
        <v>158</v>
      </c>
      <c r="G26" s="53">
        <v>144.1</v>
      </c>
      <c r="H26" s="53">
        <v>432.29999999999995</v>
      </c>
      <c r="J26" s="44" t="s">
        <v>168</v>
      </c>
    </row>
    <row r="27" spans="1:12" ht="13.2">
      <c r="B27" s="40" t="s">
        <v>164</v>
      </c>
      <c r="C27" s="53">
        <f t="shared" ref="C27:D27" si="10">(C21-C22)/100</f>
        <v>13.644500000000001</v>
      </c>
      <c r="D27" s="53">
        <f t="shared" si="10"/>
        <v>8.2439999999999998</v>
      </c>
      <c r="F27" s="40" t="s">
        <v>164</v>
      </c>
      <c r="G27" s="53">
        <f t="shared" ref="G27:H27" si="11">(G21-G22)/100</f>
        <v>12.144500000000001</v>
      </c>
      <c r="H27" s="53">
        <f t="shared" si="11"/>
        <v>6.7439999999999998</v>
      </c>
    </row>
    <row r="28" spans="1:12" ht="13.2">
      <c r="B28" s="46" t="s">
        <v>165</v>
      </c>
      <c r="C28" s="54">
        <f t="shared" ref="C28:D28" si="12">(C26/C27)*100</f>
        <v>1056.1031917622483</v>
      </c>
      <c r="D28" s="54">
        <f t="shared" si="12"/>
        <v>5243.8136826783111</v>
      </c>
      <c r="F28" s="46" t="s">
        <v>165</v>
      </c>
      <c r="G28" s="54">
        <f t="shared" ref="G28:H28" si="13">(G26/G27)*100</f>
        <v>1186.5453497467988</v>
      </c>
      <c r="H28" s="54">
        <f t="shared" si="13"/>
        <v>6410.142348754448</v>
      </c>
    </row>
    <row r="29" spans="1:12" ht="13.2">
      <c r="B29" s="56"/>
      <c r="C29" s="57"/>
      <c r="D29" s="57"/>
      <c r="F29" s="56" t="s">
        <v>171</v>
      </c>
      <c r="G29" s="57">
        <v>7500</v>
      </c>
      <c r="H29" s="57"/>
    </row>
    <row r="30" spans="1:12" ht="13.2">
      <c r="B30" s="56"/>
      <c r="C30" s="57"/>
      <c r="D30" s="57"/>
      <c r="F30" s="56" t="s">
        <v>172</v>
      </c>
      <c r="G30" s="57">
        <f>G29/G27</f>
        <v>617.5635061138787</v>
      </c>
      <c r="H30" s="57"/>
    </row>
    <row r="31" spans="1:12" ht="15.75" customHeight="1">
      <c r="F31" s="55" t="s">
        <v>169</v>
      </c>
      <c r="G31">
        <f>H31/4</f>
        <v>172.5</v>
      </c>
      <c r="H31">
        <v>690</v>
      </c>
    </row>
    <row r="32" spans="1:12" ht="15.75" customHeight="1">
      <c r="F32" s="55" t="s">
        <v>170</v>
      </c>
      <c r="G32">
        <f>G28/G31</f>
        <v>6.8785237666481089</v>
      </c>
      <c r="H32">
        <f>H28/H31</f>
        <v>9.2900613750064469</v>
      </c>
    </row>
    <row r="33" spans="6:7" ht="15.75" customHeight="1">
      <c r="F33" s="58" t="s">
        <v>173</v>
      </c>
      <c r="G33">
        <f>G30/G31</f>
        <v>3.5800782963123403</v>
      </c>
    </row>
    <row r="34" spans="6:7" ht="15.75" customHeight="1">
      <c r="F34" s="58" t="s">
        <v>174</v>
      </c>
      <c r="G34">
        <f>G32+G33</f>
        <v>10.458602062960448</v>
      </c>
    </row>
    <row r="35" spans="6:7" ht="30.6" customHeight="1">
      <c r="F35" s="59"/>
      <c r="G35" s="60"/>
    </row>
    <row r="36" spans="6:7" ht="30.6" customHeight="1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D9DA-B6EC-434A-8F20-83F30638D096}">
  <dimension ref="A1"/>
  <sheetViews>
    <sheetView workbookViewId="0"/>
  </sheetViews>
  <sheetFormatPr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COGS Manufact</vt:lpstr>
      <vt:lpstr>Cost Function</vt:lpstr>
      <vt:lpstr>Learning Models</vt:lpstr>
      <vt:lpstr>Job Costing</vt:lpstr>
      <vt:lpstr>Simple Cost</vt:lpstr>
      <vt:lpstr>CVP</vt:lpstr>
      <vt:lpstr>Operating Budget</vt:lpstr>
      <vt:lpstr>Man OH Cost Budget</vt:lpstr>
      <vt:lpstr>Ending Inv Budget</vt:lpstr>
      <vt:lpstr>Case Homework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Morman (US), Brian J</cp:lastModifiedBy>
  <dcterms:created xsi:type="dcterms:W3CDTF">2025-02-11T14:23:43Z</dcterms:created>
  <dcterms:modified xsi:type="dcterms:W3CDTF">2025-02-11T14:23:43Z</dcterms:modified>
</cp:coreProperties>
</file>