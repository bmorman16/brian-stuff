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z173f\Desktop\Git\dailyworkspace\Personal\EMBA\Corporate Finance\"/>
    </mc:Choice>
  </mc:AlternateContent>
  <xr:revisionPtr revIDLastSave="0" documentId="13_ncr:1_{CAD7CF46-026B-498E-B986-BAE6697C9A4E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Template" sheetId="2" r:id="rId1"/>
    <sheet name="Solution" sheetId="3" r:id="rId2"/>
    <sheet name="Template (2)" sheetId="4" r:id="rId3"/>
    <sheet name="Solution (2)" sheetId="5" r:id="rId4"/>
    <sheet name="WWP Assumptions" sheetId="6" r:id="rId5"/>
    <sheet name="WWP Solution" sheetId="8" r:id="rId6"/>
    <sheet name="Solution (3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7" l="1"/>
  <c r="E24" i="7"/>
  <c r="B23" i="7"/>
  <c r="B24" i="7" s="1"/>
  <c r="B25" i="7" s="1"/>
  <c r="B30" i="7" s="1"/>
  <c r="D21" i="7"/>
  <c r="C21" i="7"/>
  <c r="D17" i="7"/>
  <c r="D29" i="7" s="1"/>
  <c r="C17" i="7"/>
  <c r="C29" i="7" s="1"/>
  <c r="B17" i="7"/>
  <c r="B29" i="7" s="1"/>
  <c r="E16" i="7"/>
  <c r="E17" i="7" s="1"/>
  <c r="E29" i="7" s="1"/>
  <c r="E10" i="7"/>
  <c r="D10" i="7"/>
  <c r="E9" i="7"/>
  <c r="D9" i="7"/>
  <c r="C9" i="7"/>
  <c r="E7" i="7"/>
  <c r="D7" i="7"/>
  <c r="D23" i="7" s="1"/>
  <c r="D24" i="7" s="1"/>
  <c r="C7" i="7"/>
  <c r="C23" i="7" s="1"/>
  <c r="E30" i="4"/>
  <c r="E31" i="4" s="1"/>
  <c r="D30" i="4"/>
  <c r="C30" i="4"/>
  <c r="C31" i="4" s="1"/>
  <c r="D31" i="4"/>
  <c r="B31" i="4"/>
  <c r="E29" i="4"/>
  <c r="D29" i="4"/>
  <c r="C29" i="4"/>
  <c r="B29" i="4"/>
  <c r="E28" i="4"/>
  <c r="D28" i="4"/>
  <c r="C28" i="4"/>
  <c r="B28" i="4"/>
  <c r="E25" i="4"/>
  <c r="D25" i="4"/>
  <c r="C25" i="4"/>
  <c r="E24" i="4"/>
  <c r="D24" i="4"/>
  <c r="C24" i="4"/>
  <c r="B24" i="4"/>
  <c r="D23" i="4"/>
  <c r="C23" i="4"/>
  <c r="D21" i="4"/>
  <c r="C21" i="4"/>
  <c r="E12" i="4"/>
  <c r="D12" i="4"/>
  <c r="C12" i="4"/>
  <c r="E10" i="4"/>
  <c r="E11" i="4" s="1"/>
  <c r="D10" i="4"/>
  <c r="D11" i="4" s="1"/>
  <c r="C10" i="4"/>
  <c r="C11" i="4" s="1"/>
  <c r="E7" i="4"/>
  <c r="D7" i="4"/>
  <c r="C7" i="4"/>
  <c r="B7" i="4"/>
  <c r="B28" i="5"/>
  <c r="E24" i="5"/>
  <c r="B23" i="5"/>
  <c r="B24" i="5" s="1"/>
  <c r="B25" i="5" s="1"/>
  <c r="B30" i="5" s="1"/>
  <c r="D21" i="5"/>
  <c r="C21" i="5"/>
  <c r="D17" i="5"/>
  <c r="D29" i="5" s="1"/>
  <c r="C17" i="5"/>
  <c r="C29" i="5" s="1"/>
  <c r="B17" i="5"/>
  <c r="B29" i="5" s="1"/>
  <c r="B31" i="5" s="1"/>
  <c r="E16" i="5"/>
  <c r="E17" i="5" s="1"/>
  <c r="E29" i="5" s="1"/>
  <c r="E9" i="5"/>
  <c r="D9" i="5"/>
  <c r="C9" i="5"/>
  <c r="E7" i="5"/>
  <c r="E10" i="5" s="1"/>
  <c r="D7" i="5"/>
  <c r="D10" i="5" s="1"/>
  <c r="C7" i="5"/>
  <c r="C10" i="5" s="1"/>
  <c r="D29" i="3"/>
  <c r="C29" i="3"/>
  <c r="B29" i="3"/>
  <c r="B28" i="3"/>
  <c r="E24" i="3"/>
  <c r="B23" i="3"/>
  <c r="B24" i="3" s="1"/>
  <c r="B25" i="3" s="1"/>
  <c r="B30" i="3" s="1"/>
  <c r="D21" i="3"/>
  <c r="C21" i="3"/>
  <c r="D17" i="3"/>
  <c r="C17" i="3"/>
  <c r="B17" i="3"/>
  <c r="E16" i="3"/>
  <c r="E17" i="3" s="1"/>
  <c r="E29" i="3" s="1"/>
  <c r="E9" i="3"/>
  <c r="D9" i="3"/>
  <c r="C9" i="3"/>
  <c r="E7" i="3"/>
  <c r="E10" i="3" s="1"/>
  <c r="D7" i="3"/>
  <c r="D23" i="3" s="1"/>
  <c r="D24" i="3" s="1"/>
  <c r="C7" i="3"/>
  <c r="C23" i="3" s="1"/>
  <c r="C24" i="3" s="1"/>
  <c r="C25" i="3" s="1"/>
  <c r="C30" i="3" s="1"/>
  <c r="C24" i="7" l="1"/>
  <c r="C25" i="7" s="1"/>
  <c r="C30" i="7" s="1"/>
  <c r="D25" i="7"/>
  <c r="D30" i="7" s="1"/>
  <c r="C10" i="7"/>
  <c r="C11" i="7" s="1"/>
  <c r="C12" i="7" s="1"/>
  <c r="C28" i="7" s="1"/>
  <c r="C31" i="7" s="1"/>
  <c r="E25" i="7"/>
  <c r="E30" i="7" s="1"/>
  <c r="B31" i="7"/>
  <c r="D11" i="7"/>
  <c r="D12" i="7" s="1"/>
  <c r="D28" i="7" s="1"/>
  <c r="D31" i="7" s="1"/>
  <c r="E11" i="7"/>
  <c r="E12" i="7" s="1"/>
  <c r="E28" i="7" s="1"/>
  <c r="E31" i="7" s="1"/>
  <c r="B34" i="4"/>
  <c r="D11" i="5"/>
  <c r="D12" i="5" s="1"/>
  <c r="D28" i="5" s="1"/>
  <c r="C11" i="5"/>
  <c r="C12" i="5" s="1"/>
  <c r="C28" i="5" s="1"/>
  <c r="E11" i="5"/>
  <c r="E12" i="5" s="1"/>
  <c r="E28" i="5" s="1"/>
  <c r="C23" i="5"/>
  <c r="C24" i="5" s="1"/>
  <c r="C25" i="5" s="1"/>
  <c r="C30" i="5" s="1"/>
  <c r="D23" i="5"/>
  <c r="D24" i="5" s="1"/>
  <c r="C10" i="3"/>
  <c r="D25" i="3"/>
  <c r="D30" i="3" s="1"/>
  <c r="B31" i="3"/>
  <c r="E25" i="3"/>
  <c r="E30" i="3" s="1"/>
  <c r="E11" i="3"/>
  <c r="E12" i="3"/>
  <c r="E28" i="3" s="1"/>
  <c r="E31" i="3" s="1"/>
  <c r="C11" i="3"/>
  <c r="C12" i="3" s="1"/>
  <c r="C28" i="3" s="1"/>
  <c r="C31" i="3" s="1"/>
  <c r="D10" i="3"/>
  <c r="B34" i="7" l="1"/>
  <c r="B39" i="7" s="1"/>
  <c r="C31" i="5"/>
  <c r="E25" i="5"/>
  <c r="E30" i="5" s="1"/>
  <c r="D25" i="5"/>
  <c r="D30" i="5" s="1"/>
  <c r="D31" i="5" s="1"/>
  <c r="E31" i="5"/>
  <c r="D11" i="3"/>
  <c r="D12" i="3" s="1"/>
  <c r="D28" i="3" s="1"/>
  <c r="D31" i="3" s="1"/>
  <c r="B34" i="3" s="1"/>
  <c r="B39" i="3" s="1"/>
  <c r="B34" i="5" l="1"/>
  <c r="B39" i="5" s="1"/>
</calcChain>
</file>

<file path=xl/sharedStrings.xml><?xml version="1.0" encoding="utf-8"?>
<sst xmlns="http://schemas.openxmlformats.org/spreadsheetml/2006/main" count="205" uniqueCount="31">
  <si>
    <t>Year</t>
  </si>
  <si>
    <t xml:space="preserve">     Initial outlay</t>
  </si>
  <si>
    <t xml:space="preserve">     After tax salvage</t>
  </si>
  <si>
    <t xml:space="preserve">  EBIT</t>
  </si>
  <si>
    <t>NPV Calculations</t>
  </si>
  <si>
    <t xml:space="preserve">     Inventory</t>
  </si>
  <si>
    <t xml:space="preserve">     Unlevered net income + depreciation</t>
  </si>
  <si>
    <t>Discount rate</t>
  </si>
  <si>
    <t>NPV of investment</t>
  </si>
  <si>
    <t xml:space="preserve">     - Capital expenditures</t>
  </si>
  <si>
    <t xml:space="preserve">     - Change in net working capital</t>
  </si>
  <si>
    <t xml:space="preserve">     Incremental revenues</t>
  </si>
  <si>
    <t xml:space="preserve">  Unlevered net income</t>
  </si>
  <si>
    <t xml:space="preserve">     Cash requirements</t>
  </si>
  <si>
    <t xml:space="preserve">     Accounts receivable</t>
  </si>
  <si>
    <t xml:space="preserve">  Capital expenditures</t>
  </si>
  <si>
    <t xml:space="preserve">  Projected NWC</t>
  </si>
  <si>
    <t xml:space="preserve">  Change in NWC</t>
  </si>
  <si>
    <t>Calculating unlevered net income</t>
  </si>
  <si>
    <t>Calculating capital expenditures (CapEx)</t>
  </si>
  <si>
    <t>Calculating change in net working capital (∆NWC)</t>
  </si>
  <si>
    <t xml:space="preserve">   Incremental free cash flow</t>
  </si>
  <si>
    <t>Calculate incremental free cash flows</t>
  </si>
  <si>
    <t xml:space="preserve">     - Incremental cost of goods sold</t>
  </si>
  <si>
    <t xml:space="preserve">     - Other incremental costs</t>
  </si>
  <si>
    <t xml:space="preserve">     - Depreciation</t>
  </si>
  <si>
    <t xml:space="preserve">     - Taxes (25%)</t>
  </si>
  <si>
    <t xml:space="preserve">     - Accounts payable</t>
  </si>
  <si>
    <t>Two-way Data Tables (for sensitivity analysis)</t>
  </si>
  <si>
    <t>Incremental revenues in Year 1</t>
  </si>
  <si>
    <t>Intitial Outlay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</si>
</sst>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sz val="12.5"/>
      <name val="Arial"/>
      <family val="2"/>
    </font>
    <font>
      <b/>
      <sz val="12.5"/>
      <name val="Arial"/>
      <family val="2"/>
    </font>
    <font>
      <i/>
      <sz val="12.5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0" fontId="6" fillId="0" borderId="0" xfId="0" applyFont="1"/>
    <xf numFmtId="3" fontId="5" fillId="0" borderId="0" xfId="0" applyNumberFormat="1" applyFont="1"/>
    <xf numFmtId="9" fontId="4" fillId="0" borderId="0" xfId="0" applyNumberFormat="1" applyFont="1"/>
    <xf numFmtId="44" fontId="5" fillId="0" borderId="0" xfId="1" applyFont="1"/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7" fillId="0" borderId="0" xfId="0" applyFont="1"/>
    <xf numFmtId="44" fontId="9" fillId="0" borderId="2" xfId="0" applyNumberFormat="1" applyFont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8" fillId="0" borderId="0" xfId="0" applyFont="1" applyAlignment="1">
      <alignment horizontal="right"/>
    </xf>
    <xf numFmtId="3" fontId="7" fillId="0" borderId="0" xfId="0" applyNumberFormat="1" applyFont="1" applyAlignment="1">
      <alignment horizontal="center"/>
    </xf>
    <xf numFmtId="1" fontId="0" fillId="2" borderId="3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0" xfId="0" applyFont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403860</xdr:colOff>
      <xdr:row>17</xdr:row>
      <xdr:rowOff>60960</xdr:rowOff>
    </xdr:from>
    <xdr:to>
      <xdr:col>14</xdr:col>
      <xdr:colOff>137554</xdr:colOff>
      <xdr:row>23</xdr:row>
      <xdr:rowOff>167760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86694-AB61-462A-B967-982883D2A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0920" y="3794760"/>
          <a:ext cx="4549534" cy="1386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opLeftCell="A26" workbookViewId="0">
      <selection activeCell="A37" sqref="A37"/>
    </sheetView>
  </sheetViews>
  <sheetFormatPr defaultColWidth="8.77734375" defaultRowHeight="13.8" x14ac:dyDescent="0.25"/>
  <cols>
    <col min="1" max="1" width="42.44140625" style="1" customWidth="1"/>
    <col min="2" max="2" width="14.44140625" style="1" customWidth="1"/>
    <col min="3" max="3" width="12.6640625" style="1" customWidth="1"/>
    <col min="4" max="4" width="11.44140625" style="1" customWidth="1"/>
    <col min="5" max="5" width="11.6640625" style="1" customWidth="1"/>
    <col min="6" max="16384" width="8.77734375" style="1"/>
  </cols>
  <sheetData>
    <row r="1" spans="1:5" ht="22.8" x14ac:dyDescent="0.4">
      <c r="A1" s="18" t="s">
        <v>4</v>
      </c>
      <c r="B1" s="18"/>
      <c r="C1" s="18"/>
      <c r="D1" s="18"/>
      <c r="E1" s="18"/>
    </row>
    <row r="2" spans="1:5" s="2" customFormat="1" ht="32.25" customHeight="1" x14ac:dyDescent="0.3"/>
    <row r="3" spans="1:5" s="2" customFormat="1" ht="16.2" x14ac:dyDescent="0.3">
      <c r="A3" s="3" t="s">
        <v>0</v>
      </c>
      <c r="B3" s="9">
        <v>0</v>
      </c>
      <c r="C3" s="9">
        <v>1</v>
      </c>
      <c r="D3" s="9">
        <v>2</v>
      </c>
      <c r="E3" s="9">
        <v>3</v>
      </c>
    </row>
    <row r="4" spans="1:5" s="2" customFormat="1" ht="6.45" customHeight="1" x14ac:dyDescent="0.3"/>
    <row r="5" spans="1:5" s="2" customFormat="1" ht="16.2" x14ac:dyDescent="0.3">
      <c r="A5" s="5" t="s">
        <v>18</v>
      </c>
    </row>
    <row r="6" spans="1:5" s="2" customFormat="1" ht="16.2" x14ac:dyDescent="0.3">
      <c r="A6" s="2" t="s">
        <v>11</v>
      </c>
      <c r="C6" s="4"/>
      <c r="D6" s="4"/>
      <c r="E6" s="4"/>
    </row>
    <row r="7" spans="1:5" s="2" customFormat="1" ht="16.2" x14ac:dyDescent="0.3">
      <c r="A7" s="2" t="s">
        <v>23</v>
      </c>
      <c r="C7" s="4"/>
      <c r="D7" s="4"/>
      <c r="E7" s="4"/>
    </row>
    <row r="8" spans="1:5" s="2" customFormat="1" ht="16.2" x14ac:dyDescent="0.3">
      <c r="A8" s="2" t="s">
        <v>24</v>
      </c>
      <c r="C8" s="4"/>
      <c r="D8" s="4"/>
      <c r="E8" s="4"/>
    </row>
    <row r="9" spans="1:5" s="2" customFormat="1" ht="16.2" x14ac:dyDescent="0.3">
      <c r="A9" s="2" t="s">
        <v>25</v>
      </c>
      <c r="C9" s="4"/>
      <c r="D9" s="4"/>
      <c r="E9" s="4"/>
    </row>
    <row r="10" spans="1:5" s="2" customFormat="1" ht="16.2" x14ac:dyDescent="0.3">
      <c r="A10" s="2" t="s">
        <v>3</v>
      </c>
      <c r="C10" s="4"/>
      <c r="D10" s="4"/>
      <c r="E10" s="4"/>
    </row>
    <row r="11" spans="1:5" s="2" customFormat="1" ht="16.2" x14ac:dyDescent="0.3">
      <c r="A11" s="2" t="s">
        <v>26</v>
      </c>
      <c r="C11" s="4"/>
      <c r="D11" s="4"/>
      <c r="E11" s="4"/>
    </row>
    <row r="12" spans="1:5" s="2" customFormat="1" ht="16.2" x14ac:dyDescent="0.3">
      <c r="A12" s="3" t="s">
        <v>12</v>
      </c>
      <c r="C12" s="4"/>
      <c r="D12" s="4"/>
      <c r="E12" s="4"/>
    </row>
    <row r="13" spans="1:5" s="2" customFormat="1" ht="22.95" customHeight="1" x14ac:dyDescent="0.3"/>
    <row r="14" spans="1:5" s="2" customFormat="1" ht="16.2" x14ac:dyDescent="0.3">
      <c r="A14" s="5" t="s">
        <v>19</v>
      </c>
    </row>
    <row r="15" spans="1:5" s="2" customFormat="1" ht="16.2" x14ac:dyDescent="0.3">
      <c r="A15" s="2" t="s">
        <v>1</v>
      </c>
      <c r="B15" s="4"/>
    </row>
    <row r="16" spans="1:5" s="2" customFormat="1" ht="16.2" x14ac:dyDescent="0.3">
      <c r="A16" s="2" t="s">
        <v>2</v>
      </c>
      <c r="E16" s="4"/>
    </row>
    <row r="17" spans="1:5" s="2" customFormat="1" ht="16.2" x14ac:dyDescent="0.3">
      <c r="A17" s="3" t="s">
        <v>15</v>
      </c>
      <c r="B17" s="4"/>
      <c r="C17" s="4"/>
      <c r="D17" s="4"/>
      <c r="E17" s="4"/>
    </row>
    <row r="18" spans="1:5" s="2" customFormat="1" ht="19.95" customHeight="1" x14ac:dyDescent="0.3"/>
    <row r="19" spans="1:5" s="2" customFormat="1" ht="16.2" x14ac:dyDescent="0.3">
      <c r="A19" s="5" t="s">
        <v>20</v>
      </c>
    </row>
    <row r="20" spans="1:5" s="2" customFormat="1" ht="16.2" x14ac:dyDescent="0.3">
      <c r="A20" s="2" t="s">
        <v>13</v>
      </c>
    </row>
    <row r="21" spans="1:5" s="2" customFormat="1" ht="16.2" x14ac:dyDescent="0.3">
      <c r="A21" s="2" t="s">
        <v>5</v>
      </c>
      <c r="B21" s="4"/>
      <c r="C21" s="4"/>
      <c r="D21" s="4"/>
      <c r="E21" s="4"/>
    </row>
    <row r="22" spans="1:5" s="2" customFormat="1" ht="16.2" x14ac:dyDescent="0.3">
      <c r="A22" s="2" t="s">
        <v>14</v>
      </c>
    </row>
    <row r="23" spans="1:5" s="2" customFormat="1" ht="16.2" x14ac:dyDescent="0.3">
      <c r="A23" s="2" t="s">
        <v>27</v>
      </c>
      <c r="B23" s="4"/>
    </row>
    <row r="24" spans="1:5" s="2" customFormat="1" ht="16.2" x14ac:dyDescent="0.3">
      <c r="A24" s="2" t="s">
        <v>16</v>
      </c>
      <c r="B24" s="4"/>
      <c r="C24" s="4"/>
      <c r="D24" s="4"/>
      <c r="E24" s="4"/>
    </row>
    <row r="25" spans="1:5" s="2" customFormat="1" ht="16.2" x14ac:dyDescent="0.3">
      <c r="A25" s="3" t="s">
        <v>17</v>
      </c>
      <c r="B25" s="4"/>
      <c r="C25" s="4"/>
      <c r="D25" s="4"/>
      <c r="E25" s="4"/>
    </row>
    <row r="26" spans="1:5" s="2" customFormat="1" ht="19.95" customHeight="1" x14ac:dyDescent="0.3"/>
    <row r="27" spans="1:5" s="2" customFormat="1" ht="16.2" x14ac:dyDescent="0.3">
      <c r="A27" s="5" t="s">
        <v>22</v>
      </c>
    </row>
    <row r="28" spans="1:5" s="2" customFormat="1" ht="16.2" x14ac:dyDescent="0.3">
      <c r="A28" s="2" t="s">
        <v>6</v>
      </c>
      <c r="B28" s="4"/>
      <c r="C28" s="4"/>
      <c r="D28" s="4"/>
      <c r="E28" s="4"/>
    </row>
    <row r="29" spans="1:5" s="2" customFormat="1" ht="16.2" x14ac:dyDescent="0.3">
      <c r="A29" s="2" t="s">
        <v>9</v>
      </c>
      <c r="B29" s="4"/>
      <c r="C29" s="4"/>
      <c r="D29" s="4"/>
      <c r="E29" s="4"/>
    </row>
    <row r="30" spans="1:5" s="2" customFormat="1" ht="16.2" x14ac:dyDescent="0.3">
      <c r="A30" s="2" t="s">
        <v>10</v>
      </c>
      <c r="B30" s="4"/>
      <c r="C30" s="4"/>
      <c r="D30" s="4"/>
      <c r="E30" s="4"/>
    </row>
    <row r="31" spans="1:5" s="2" customFormat="1" ht="16.2" x14ac:dyDescent="0.3">
      <c r="A31" s="3" t="s">
        <v>21</v>
      </c>
      <c r="B31" s="6"/>
      <c r="C31" s="6"/>
      <c r="D31" s="6"/>
      <c r="E31" s="6"/>
    </row>
    <row r="32" spans="1:5" s="2" customFormat="1" ht="34.5" customHeight="1" x14ac:dyDescent="0.3"/>
    <row r="33" spans="1:2" s="2" customFormat="1" ht="16.2" x14ac:dyDescent="0.3">
      <c r="A33" s="2" t="s">
        <v>7</v>
      </c>
      <c r="B33" s="7">
        <v>0.08</v>
      </c>
    </row>
    <row r="34" spans="1:2" s="2" customFormat="1" ht="16.2" x14ac:dyDescent="0.3">
      <c r="A34" s="3" t="s">
        <v>8</v>
      </c>
      <c r="B34" s="8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"/>
  <sheetViews>
    <sheetView topLeftCell="A12" workbookViewId="0">
      <selection activeCell="A21" sqref="A21"/>
    </sheetView>
  </sheetViews>
  <sheetFormatPr defaultColWidth="8.77734375" defaultRowHeight="13.8" x14ac:dyDescent="0.25"/>
  <cols>
    <col min="1" max="1" width="39.77734375" style="1" customWidth="1"/>
    <col min="2" max="2" width="14.44140625" style="1" customWidth="1"/>
    <col min="3" max="3" width="12.6640625" style="1" customWidth="1"/>
    <col min="4" max="4" width="11.44140625" style="1" customWidth="1"/>
    <col min="5" max="5" width="11.6640625" style="1" customWidth="1"/>
    <col min="6" max="16384" width="8.77734375" style="1"/>
  </cols>
  <sheetData>
    <row r="1" spans="1:5" ht="22.8" x14ac:dyDescent="0.4">
      <c r="A1" s="18" t="s">
        <v>4</v>
      </c>
      <c r="B1" s="18"/>
      <c r="C1" s="18"/>
      <c r="D1" s="18"/>
      <c r="E1" s="18"/>
    </row>
    <row r="2" spans="1:5" s="2" customFormat="1" ht="32.25" customHeight="1" x14ac:dyDescent="0.3"/>
    <row r="3" spans="1:5" s="2" customFormat="1" ht="16.2" x14ac:dyDescent="0.3">
      <c r="A3" s="3" t="s">
        <v>0</v>
      </c>
      <c r="B3" s="9">
        <v>0</v>
      </c>
      <c r="C3" s="9">
        <v>1</v>
      </c>
      <c r="D3" s="9">
        <v>2</v>
      </c>
      <c r="E3" s="9">
        <v>3</v>
      </c>
    </row>
    <row r="4" spans="1:5" s="2" customFormat="1" ht="6.45" customHeight="1" x14ac:dyDescent="0.3"/>
    <row r="5" spans="1:5" s="2" customFormat="1" ht="16.2" x14ac:dyDescent="0.3">
      <c r="A5" s="5" t="s">
        <v>18</v>
      </c>
    </row>
    <row r="6" spans="1:5" s="2" customFormat="1" ht="16.2" x14ac:dyDescent="0.3">
      <c r="A6" s="2" t="s">
        <v>11</v>
      </c>
      <c r="C6" s="4">
        <v>195000</v>
      </c>
      <c r="D6" s="4">
        <v>225000</v>
      </c>
      <c r="E6" s="4">
        <v>250000</v>
      </c>
    </row>
    <row r="7" spans="1:5" s="2" customFormat="1" ht="16.2" x14ac:dyDescent="0.3">
      <c r="A7" s="2" t="s">
        <v>23</v>
      </c>
      <c r="C7" s="4">
        <f>-0.5*C6</f>
        <v>-97500</v>
      </c>
      <c r="D7" s="4">
        <f>-0.5*D6</f>
        <v>-112500</v>
      </c>
      <c r="E7" s="4">
        <f>-0.5*E6</f>
        <v>-125000</v>
      </c>
    </row>
    <row r="8" spans="1:5" s="2" customFormat="1" ht="16.2" x14ac:dyDescent="0.3">
      <c r="A8" s="2" t="s">
        <v>24</v>
      </c>
      <c r="C8" s="4">
        <v>-50000</v>
      </c>
      <c r="D8" s="4">
        <v>-50000</v>
      </c>
      <c r="E8" s="4">
        <v>-50000</v>
      </c>
    </row>
    <row r="9" spans="1:5" s="2" customFormat="1" ht="16.2" x14ac:dyDescent="0.3">
      <c r="A9" s="2" t="s">
        <v>25</v>
      </c>
      <c r="C9" s="4">
        <f>-90000/3</f>
        <v>-30000</v>
      </c>
      <c r="D9" s="4">
        <f>-90000/3</f>
        <v>-30000</v>
      </c>
      <c r="E9" s="4">
        <f>-90000/3</f>
        <v>-30000</v>
      </c>
    </row>
    <row r="10" spans="1:5" s="2" customFormat="1" ht="16.2" x14ac:dyDescent="0.3">
      <c r="A10" s="2" t="s">
        <v>3</v>
      </c>
      <c r="C10" s="4">
        <f>SUM(C6:C9)</f>
        <v>17500</v>
      </c>
      <c r="D10" s="4">
        <f t="shared" ref="D10:E10" si="0">SUM(D6:D9)</f>
        <v>32500</v>
      </c>
      <c r="E10" s="4">
        <f t="shared" si="0"/>
        <v>45000</v>
      </c>
    </row>
    <row r="11" spans="1:5" s="2" customFormat="1" ht="16.2" x14ac:dyDescent="0.3">
      <c r="A11" s="2" t="s">
        <v>26</v>
      </c>
      <c r="C11" s="4">
        <f>-C10*0.25</f>
        <v>-4375</v>
      </c>
      <c r="D11" s="4">
        <f t="shared" ref="D11:E11" si="1">-D10*0.25</f>
        <v>-8125</v>
      </c>
      <c r="E11" s="4">
        <f t="shared" si="1"/>
        <v>-11250</v>
      </c>
    </row>
    <row r="12" spans="1:5" s="2" customFormat="1" ht="16.2" x14ac:dyDescent="0.3">
      <c r="A12" s="3" t="s">
        <v>12</v>
      </c>
      <c r="C12" s="4">
        <f>SUM(C10:C11)</f>
        <v>13125</v>
      </c>
      <c r="D12" s="4">
        <f t="shared" ref="D12:E12" si="2">SUM(D10:D11)</f>
        <v>24375</v>
      </c>
      <c r="E12" s="4">
        <f t="shared" si="2"/>
        <v>33750</v>
      </c>
    </row>
    <row r="13" spans="1:5" s="2" customFormat="1" ht="22.95" customHeight="1" x14ac:dyDescent="0.3"/>
    <row r="14" spans="1:5" s="2" customFormat="1" ht="16.2" x14ac:dyDescent="0.3">
      <c r="A14" s="5" t="s">
        <v>19</v>
      </c>
    </row>
    <row r="15" spans="1:5" s="2" customFormat="1" ht="16.2" x14ac:dyDescent="0.3">
      <c r="A15" s="2" t="s">
        <v>1</v>
      </c>
      <c r="B15" s="4">
        <v>90000</v>
      </c>
    </row>
    <row r="16" spans="1:5" s="2" customFormat="1" ht="16.2" x14ac:dyDescent="0.3">
      <c r="A16" s="2" t="s">
        <v>2</v>
      </c>
      <c r="E16" s="4">
        <f>-(10000-0.25*(10000))</f>
        <v>-7500</v>
      </c>
    </row>
    <row r="17" spans="1:5" s="2" customFormat="1" ht="16.2" x14ac:dyDescent="0.3">
      <c r="A17" s="3" t="s">
        <v>15</v>
      </c>
      <c r="B17" s="4">
        <f>B15+B16</f>
        <v>90000</v>
      </c>
      <c r="C17" s="4">
        <f>C15+C16</f>
        <v>0</v>
      </c>
      <c r="D17" s="4">
        <f>D15+D16</f>
        <v>0</v>
      </c>
      <c r="E17" s="4">
        <f>E15+E16</f>
        <v>-7500</v>
      </c>
    </row>
    <row r="18" spans="1:5" s="2" customFormat="1" ht="19.95" customHeight="1" x14ac:dyDescent="0.3"/>
    <row r="19" spans="1:5" s="2" customFormat="1" ht="16.2" x14ac:dyDescent="0.3">
      <c r="A19" s="5" t="s">
        <v>20</v>
      </c>
    </row>
    <row r="20" spans="1:5" s="2" customFormat="1" ht="16.2" x14ac:dyDescent="0.3">
      <c r="A20" s="2" t="s">
        <v>13</v>
      </c>
      <c r="B20" s="2">
        <v>0</v>
      </c>
      <c r="C20" s="2">
        <v>0</v>
      </c>
      <c r="D20" s="2">
        <v>0</v>
      </c>
      <c r="E20" s="2">
        <v>0</v>
      </c>
    </row>
    <row r="21" spans="1:5" s="2" customFormat="1" ht="16.2" x14ac:dyDescent="0.3">
      <c r="A21" s="2" t="s">
        <v>5</v>
      </c>
      <c r="B21" s="4">
        <v>30000</v>
      </c>
      <c r="C21" s="4">
        <f>0.2*C6</f>
        <v>39000</v>
      </c>
      <c r="D21" s="4">
        <f>0.2*D6</f>
        <v>45000</v>
      </c>
      <c r="E21" s="4">
        <v>0</v>
      </c>
    </row>
    <row r="22" spans="1:5" s="2" customFormat="1" ht="16.2" x14ac:dyDescent="0.3">
      <c r="A22" s="2" t="s">
        <v>14</v>
      </c>
      <c r="B22" s="2">
        <v>0</v>
      </c>
      <c r="C22" s="2">
        <v>0</v>
      </c>
      <c r="D22" s="2">
        <v>0</v>
      </c>
      <c r="E22" s="2">
        <v>0</v>
      </c>
    </row>
    <row r="23" spans="1:5" s="2" customFormat="1" ht="16.2" x14ac:dyDescent="0.3">
      <c r="A23" s="2" t="s">
        <v>27</v>
      </c>
      <c r="B23" s="4">
        <f>-15000</f>
        <v>-15000</v>
      </c>
      <c r="C23" s="2">
        <f>0.1*C7</f>
        <v>-9750</v>
      </c>
      <c r="D23" s="2">
        <f>0.1*D7</f>
        <v>-11250</v>
      </c>
      <c r="E23" s="2">
        <v>0</v>
      </c>
    </row>
    <row r="24" spans="1:5" s="2" customFormat="1" ht="16.2" x14ac:dyDescent="0.3">
      <c r="A24" s="2" t="s">
        <v>16</v>
      </c>
      <c r="B24" s="4">
        <f>SUM(B20:B23)</f>
        <v>15000</v>
      </c>
      <c r="C24" s="4">
        <f t="shared" ref="C24:D24" si="3">SUM(C20:C23)</f>
        <v>29250</v>
      </c>
      <c r="D24" s="4">
        <f t="shared" si="3"/>
        <v>33750</v>
      </c>
      <c r="E24" s="4">
        <f>SUM(E20:E23)</f>
        <v>0</v>
      </c>
    </row>
    <row r="25" spans="1:5" s="2" customFormat="1" ht="16.2" x14ac:dyDescent="0.3">
      <c r="A25" s="3" t="s">
        <v>17</v>
      </c>
      <c r="B25" s="4">
        <f>B24</f>
        <v>15000</v>
      </c>
      <c r="C25" s="4">
        <f>C24-B24</f>
        <v>14250</v>
      </c>
      <c r="D25" s="4">
        <f t="shared" ref="D25:E25" si="4">D24-C24</f>
        <v>4500</v>
      </c>
      <c r="E25" s="4">
        <f t="shared" si="4"/>
        <v>-33750</v>
      </c>
    </row>
    <row r="26" spans="1:5" s="2" customFormat="1" ht="19.95" customHeight="1" x14ac:dyDescent="0.3"/>
    <row r="27" spans="1:5" s="2" customFormat="1" ht="16.2" x14ac:dyDescent="0.3">
      <c r="A27" s="5" t="s">
        <v>22</v>
      </c>
    </row>
    <row r="28" spans="1:5" s="2" customFormat="1" ht="16.2" x14ac:dyDescent="0.3">
      <c r="A28" s="2" t="s">
        <v>6</v>
      </c>
      <c r="B28" s="4">
        <f>B12+B9</f>
        <v>0</v>
      </c>
      <c r="C28" s="4">
        <f>C12-C9</f>
        <v>43125</v>
      </c>
      <c r="D28" s="4">
        <f t="shared" ref="D28:E28" si="5">D12-D9</f>
        <v>54375</v>
      </c>
      <c r="E28" s="4">
        <f t="shared" si="5"/>
        <v>63750</v>
      </c>
    </row>
    <row r="29" spans="1:5" s="2" customFormat="1" ht="16.2" x14ac:dyDescent="0.3">
      <c r="A29" s="2" t="s">
        <v>9</v>
      </c>
      <c r="B29" s="4">
        <f>-B17</f>
        <v>-90000</v>
      </c>
      <c r="C29" s="4">
        <f t="shared" ref="C29:E29" si="6">-C17</f>
        <v>0</v>
      </c>
      <c r="D29" s="4">
        <f t="shared" si="6"/>
        <v>0</v>
      </c>
      <c r="E29" s="4">
        <f t="shared" si="6"/>
        <v>7500</v>
      </c>
    </row>
    <row r="30" spans="1:5" s="2" customFormat="1" ht="16.2" x14ac:dyDescent="0.3">
      <c r="A30" s="2" t="s">
        <v>10</v>
      </c>
      <c r="B30" s="4">
        <f>-B25</f>
        <v>-15000</v>
      </c>
      <c r="C30" s="4">
        <f t="shared" ref="C30:E30" si="7">-C25</f>
        <v>-14250</v>
      </c>
      <c r="D30" s="4">
        <f t="shared" si="7"/>
        <v>-4500</v>
      </c>
      <c r="E30" s="4">
        <f t="shared" si="7"/>
        <v>33750</v>
      </c>
    </row>
    <row r="31" spans="1:5" s="2" customFormat="1" ht="16.2" x14ac:dyDescent="0.3">
      <c r="A31" s="3" t="s">
        <v>21</v>
      </c>
      <c r="B31" s="6">
        <f>SUM(B28:B30)</f>
        <v>-105000</v>
      </c>
      <c r="C31" s="6">
        <f t="shared" ref="C31:E31" si="8">SUM(C28:C30)</f>
        <v>28875</v>
      </c>
      <c r="D31" s="6">
        <f t="shared" si="8"/>
        <v>49875</v>
      </c>
      <c r="E31" s="6">
        <f t="shared" si="8"/>
        <v>105000</v>
      </c>
    </row>
    <row r="32" spans="1:5" s="2" customFormat="1" ht="34.5" customHeight="1" x14ac:dyDescent="0.3"/>
    <row r="33" spans="1:7" s="2" customFormat="1" ht="16.2" x14ac:dyDescent="0.3">
      <c r="A33" s="2" t="s">
        <v>7</v>
      </c>
      <c r="B33" s="7">
        <v>0.08</v>
      </c>
    </row>
    <row r="34" spans="1:7" s="2" customFormat="1" ht="16.2" x14ac:dyDescent="0.3">
      <c r="A34" s="3" t="s">
        <v>8</v>
      </c>
      <c r="B34" s="8">
        <f>NPV(B33,C31:E31)+B31</f>
        <v>47848.270080780349</v>
      </c>
    </row>
    <row r="37" spans="1:7" x14ac:dyDescent="0.25">
      <c r="A37" s="11" t="s">
        <v>28</v>
      </c>
      <c r="B37" s="10"/>
      <c r="C37"/>
      <c r="D37"/>
      <c r="E37"/>
      <c r="F37"/>
      <c r="G37"/>
    </row>
    <row r="38" spans="1:7" x14ac:dyDescent="0.25">
      <c r="A38"/>
      <c r="B38" s="10"/>
      <c r="C38" s="19" t="s">
        <v>29</v>
      </c>
      <c r="D38" s="19"/>
      <c r="E38" s="19"/>
      <c r="F38" s="19"/>
      <c r="G38" s="19"/>
    </row>
    <row r="39" spans="1:7" x14ac:dyDescent="0.25">
      <c r="A39"/>
      <c r="B39" s="12">
        <f>B34</f>
        <v>47848.270080780349</v>
      </c>
      <c r="C39" s="13">
        <v>165000</v>
      </c>
      <c r="D39" s="13">
        <v>180000</v>
      </c>
      <c r="E39" s="13">
        <v>195000</v>
      </c>
      <c r="F39" s="13">
        <v>210000</v>
      </c>
      <c r="G39" s="13">
        <v>225000</v>
      </c>
    </row>
    <row r="40" spans="1:7" x14ac:dyDescent="0.25">
      <c r="A40"/>
      <c r="B40" s="17">
        <v>70000</v>
      </c>
      <c r="C40" s="14">
        <f t="dataTable" ref="C40:G44" dt2D="1" dtr="1" r1="C6" r2="B17"/>
        <v>57740.245389422314</v>
      </c>
      <c r="D40" s="14">
        <v>62794.257735101331</v>
      </c>
      <c r="E40" s="14">
        <v>67848.270080780349</v>
      </c>
      <c r="F40" s="14">
        <v>72902.282426459366</v>
      </c>
      <c r="G40" s="14">
        <v>77956.294772138383</v>
      </c>
    </row>
    <row r="41" spans="1:7" x14ac:dyDescent="0.25">
      <c r="A41"/>
      <c r="B41" s="17">
        <v>80000</v>
      </c>
      <c r="C41" s="14">
        <v>47740.245389422314</v>
      </c>
      <c r="D41" s="14">
        <v>52794.257735101331</v>
      </c>
      <c r="E41" s="14">
        <v>57848.270080780349</v>
      </c>
      <c r="F41" s="14">
        <v>62902.282426459366</v>
      </c>
      <c r="G41" s="14">
        <v>67956.294772138383</v>
      </c>
    </row>
    <row r="42" spans="1:7" x14ac:dyDescent="0.25">
      <c r="A42" s="15" t="s">
        <v>30</v>
      </c>
      <c r="B42" s="17">
        <v>90000</v>
      </c>
      <c r="C42" s="14">
        <v>37740.245389422314</v>
      </c>
      <c r="D42" s="14">
        <v>42794.257735101331</v>
      </c>
      <c r="E42" s="16">
        <v>47848.270080780349</v>
      </c>
      <c r="F42" s="14">
        <v>52902.282426459366</v>
      </c>
      <c r="G42" s="14">
        <v>57956.294772138383</v>
      </c>
    </row>
    <row r="43" spans="1:7" x14ac:dyDescent="0.25">
      <c r="A43"/>
      <c r="B43" s="17">
        <v>100000</v>
      </c>
      <c r="C43" s="14">
        <v>27740.245389422314</v>
      </c>
      <c r="D43" s="14">
        <v>32794.257735101331</v>
      </c>
      <c r="E43" s="14">
        <v>37848.270080780349</v>
      </c>
      <c r="F43" s="14">
        <v>42902.282426459366</v>
      </c>
      <c r="G43" s="14">
        <v>47956.294772138383</v>
      </c>
    </row>
    <row r="44" spans="1:7" x14ac:dyDescent="0.25">
      <c r="A44"/>
      <c r="B44" s="17">
        <v>110000</v>
      </c>
      <c r="C44" s="14">
        <v>17740.245389422314</v>
      </c>
      <c r="D44" s="14">
        <v>22794.257735101331</v>
      </c>
      <c r="E44" s="14">
        <v>27848.270080780349</v>
      </c>
      <c r="F44" s="14">
        <v>32902.282426459366</v>
      </c>
      <c r="G44" s="14">
        <v>37956.294772138383</v>
      </c>
    </row>
  </sheetData>
  <mergeCells count="2">
    <mergeCell ref="A1:E1"/>
    <mergeCell ref="C38:G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4E28-214E-40FE-BF6B-9FE75E86E557}">
  <dimension ref="A1:XFD34"/>
  <sheetViews>
    <sheetView topLeftCell="A14" workbookViewId="0">
      <selection activeCell="B30" sqref="B30"/>
    </sheetView>
  </sheetViews>
  <sheetFormatPr defaultColWidth="8.77734375" defaultRowHeight="13.8" x14ac:dyDescent="0.25"/>
  <cols>
    <col min="1" max="1" width="42.44140625" style="1" customWidth="1"/>
    <col min="2" max="2" width="16" style="1" bestFit="1" customWidth="1"/>
    <col min="3" max="3" width="12.6640625" style="1" customWidth="1"/>
    <col min="4" max="4" width="11.44140625" style="1" customWidth="1"/>
    <col min="5" max="5" width="11.6640625" style="1" customWidth="1"/>
    <col min="6" max="16384" width="8.77734375" style="1"/>
  </cols>
  <sheetData>
    <row r="1" spans="1:5" ht="22.8" x14ac:dyDescent="0.4">
      <c r="A1" s="18" t="s">
        <v>4</v>
      </c>
      <c r="B1" s="18"/>
      <c r="C1" s="18"/>
      <c r="D1" s="18"/>
      <c r="E1" s="18"/>
    </row>
    <row r="2" spans="1:5" s="2" customFormat="1" ht="32.25" customHeight="1" x14ac:dyDescent="0.3"/>
    <row r="3" spans="1:5" s="2" customFormat="1" ht="16.2" x14ac:dyDescent="0.3">
      <c r="A3" s="3" t="s">
        <v>0</v>
      </c>
      <c r="B3" s="9">
        <v>0</v>
      </c>
      <c r="C3" s="9">
        <v>1</v>
      </c>
      <c r="D3" s="9">
        <v>2</v>
      </c>
      <c r="E3" s="9">
        <v>3</v>
      </c>
    </row>
    <row r="4" spans="1:5" s="2" customFormat="1" ht="6.45" customHeight="1" x14ac:dyDescent="0.3"/>
    <row r="5" spans="1:5" s="2" customFormat="1" ht="16.2" x14ac:dyDescent="0.3">
      <c r="A5" s="5" t="s">
        <v>18</v>
      </c>
    </row>
    <row r="6" spans="1:5" s="2" customFormat="1" ht="16.2" x14ac:dyDescent="0.3">
      <c r="A6" s="2" t="s">
        <v>11</v>
      </c>
      <c r="B6" s="2">
        <v>0</v>
      </c>
      <c r="C6" s="2">
        <v>195000</v>
      </c>
      <c r="D6" s="2">
        <v>225000</v>
      </c>
      <c r="E6" s="2">
        <v>250000</v>
      </c>
    </row>
    <row r="7" spans="1:5" s="2" customFormat="1" ht="16.2" x14ac:dyDescent="0.3">
      <c r="A7" s="2" t="s">
        <v>23</v>
      </c>
      <c r="B7" s="2">
        <f>-0.5*B6</f>
        <v>0</v>
      </c>
      <c r="C7" s="2">
        <f>-0.5*C6</f>
        <v>-97500</v>
      </c>
      <c r="D7" s="2">
        <f>-0.5*D6</f>
        <v>-112500</v>
      </c>
      <c r="E7" s="2">
        <f>-0.5*E6</f>
        <v>-125000</v>
      </c>
    </row>
    <row r="8" spans="1:5" s="2" customFormat="1" ht="16.2" x14ac:dyDescent="0.3">
      <c r="A8" s="2" t="s">
        <v>24</v>
      </c>
      <c r="B8" s="2">
        <v>0</v>
      </c>
      <c r="C8" s="2">
        <v>-50000</v>
      </c>
      <c r="D8" s="2">
        <v>-50000</v>
      </c>
      <c r="E8" s="2">
        <v>-50000</v>
      </c>
    </row>
    <row r="9" spans="1:5" s="2" customFormat="1" ht="16.2" x14ac:dyDescent="0.3">
      <c r="A9" s="2" t="s">
        <v>25</v>
      </c>
      <c r="B9" s="2">
        <v>0</v>
      </c>
      <c r="C9" s="4">
        <v>-30000</v>
      </c>
      <c r="D9" s="4">
        <v>-30000</v>
      </c>
      <c r="E9" s="4">
        <v>-30000</v>
      </c>
    </row>
    <row r="10" spans="1:5" s="2" customFormat="1" ht="16.2" x14ac:dyDescent="0.3">
      <c r="A10" s="2" t="s">
        <v>3</v>
      </c>
      <c r="C10" s="4">
        <f>SUM(C6:C9)</f>
        <v>17500</v>
      </c>
      <c r="D10" s="4">
        <f>SUM(D6:D9)</f>
        <v>32500</v>
      </c>
      <c r="E10" s="4">
        <f>SUM(E6:E9)</f>
        <v>45000</v>
      </c>
    </row>
    <row r="11" spans="1:5" s="2" customFormat="1" ht="16.2" x14ac:dyDescent="0.3">
      <c r="A11" s="2" t="s">
        <v>26</v>
      </c>
      <c r="C11" s="4">
        <f>C10*-0.25</f>
        <v>-4375</v>
      </c>
      <c r="D11" s="4">
        <f>D10*-0.25</f>
        <v>-8125</v>
      </c>
      <c r="E11" s="4">
        <f>E10*-0.25</f>
        <v>-11250</v>
      </c>
    </row>
    <row r="12" spans="1:5" s="2" customFormat="1" ht="16.2" x14ac:dyDescent="0.3">
      <c r="A12" s="3" t="s">
        <v>12</v>
      </c>
      <c r="C12" s="4">
        <f>C10+C11</f>
        <v>13125</v>
      </c>
      <c r="D12" s="4">
        <f>D10+D11</f>
        <v>24375</v>
      </c>
      <c r="E12" s="4">
        <f>E10+E11</f>
        <v>33750</v>
      </c>
    </row>
    <row r="13" spans="1:5" s="2" customFormat="1" ht="22.95" customHeight="1" x14ac:dyDescent="0.3"/>
    <row r="14" spans="1:5" s="2" customFormat="1" ht="16.2" x14ac:dyDescent="0.3">
      <c r="A14" s="5" t="s">
        <v>19</v>
      </c>
    </row>
    <row r="15" spans="1:5" s="2" customFormat="1" ht="16.2" x14ac:dyDescent="0.3">
      <c r="A15" s="2" t="s">
        <v>1</v>
      </c>
      <c r="B15" s="4">
        <v>90000</v>
      </c>
    </row>
    <row r="16" spans="1:5" s="2" customFormat="1" ht="16.2" x14ac:dyDescent="0.3">
      <c r="A16" s="2" t="s">
        <v>2</v>
      </c>
      <c r="D16" s="2">
        <v>0</v>
      </c>
      <c r="E16" s="2">
        <v>-7500</v>
      </c>
    </row>
    <row r="17" spans="1:5 16384:16384" s="2" customFormat="1" ht="16.2" x14ac:dyDescent="0.3">
      <c r="A17" s="3" t="s">
        <v>15</v>
      </c>
      <c r="B17" s="4">
        <v>90000</v>
      </c>
      <c r="C17" s="4">
        <v>0</v>
      </c>
      <c r="D17" s="2">
        <v>0</v>
      </c>
      <c r="E17" s="4">
        <v>-7500</v>
      </c>
    </row>
    <row r="18" spans="1:5 16384:16384" s="2" customFormat="1" ht="19.95" customHeight="1" x14ac:dyDescent="0.3"/>
    <row r="19" spans="1:5 16384:16384" s="2" customFormat="1" ht="16.2" x14ac:dyDescent="0.3">
      <c r="A19" s="5" t="s">
        <v>20</v>
      </c>
    </row>
    <row r="20" spans="1:5 16384:16384" s="2" customFormat="1" ht="16.2" x14ac:dyDescent="0.3">
      <c r="A20" s="2" t="s">
        <v>13</v>
      </c>
    </row>
    <row r="21" spans="1:5 16384:16384" s="2" customFormat="1" ht="16.2" x14ac:dyDescent="0.3">
      <c r="A21" s="2" t="s">
        <v>5</v>
      </c>
      <c r="B21" s="4">
        <v>30000</v>
      </c>
      <c r="C21" s="4">
        <f>0.2*C6</f>
        <v>39000</v>
      </c>
      <c r="D21" s="4">
        <f>0.2*D6</f>
        <v>45000</v>
      </c>
      <c r="E21" s="4">
        <v>0</v>
      </c>
    </row>
    <row r="22" spans="1:5 16384:16384" s="2" customFormat="1" ht="16.2" x14ac:dyDescent="0.3">
      <c r="A22" s="2" t="s">
        <v>14</v>
      </c>
      <c r="B22" s="2">
        <v>0</v>
      </c>
      <c r="C22" s="2">
        <v>0</v>
      </c>
      <c r="D22" s="2">
        <v>0</v>
      </c>
      <c r="E22" s="2">
        <v>0</v>
      </c>
    </row>
    <row r="23" spans="1:5 16384:16384" s="2" customFormat="1" ht="16.2" x14ac:dyDescent="0.3">
      <c r="A23" s="2" t="s">
        <v>27</v>
      </c>
      <c r="B23" s="4">
        <v>-15000</v>
      </c>
      <c r="C23" s="2">
        <f>C7*(0.1)</f>
        <v>-9750</v>
      </c>
      <c r="D23" s="2">
        <f>D7*(0.1)</f>
        <v>-11250</v>
      </c>
      <c r="E23" s="2">
        <v>0</v>
      </c>
    </row>
    <row r="24" spans="1:5 16384:16384" s="2" customFormat="1" ht="16.2" x14ac:dyDescent="0.3">
      <c r="A24" s="2" t="s">
        <v>16</v>
      </c>
      <c r="B24" s="4">
        <f>SUM(B21:B23)</f>
        <v>15000</v>
      </c>
      <c r="C24" s="4">
        <f>SUM(C21:C23)</f>
        <v>29250</v>
      </c>
      <c r="D24" s="4">
        <f>SUM(D21:D23)</f>
        <v>33750</v>
      </c>
      <c r="E24" s="4">
        <f>SUM(E21:E23)</f>
        <v>0</v>
      </c>
    </row>
    <row r="25" spans="1:5 16384:16384" s="2" customFormat="1" ht="16.2" x14ac:dyDescent="0.3">
      <c r="A25" s="3" t="s">
        <v>17</v>
      </c>
      <c r="B25" s="4">
        <v>15000</v>
      </c>
      <c r="C25" s="4">
        <f>C24-B24</f>
        <v>14250</v>
      </c>
      <c r="D25" s="4">
        <f>D24-C24</f>
        <v>4500</v>
      </c>
      <c r="E25" s="4">
        <f>E24-D24</f>
        <v>-33750</v>
      </c>
    </row>
    <row r="26" spans="1:5 16384:16384" s="2" customFormat="1" ht="19.95" customHeight="1" x14ac:dyDescent="0.3"/>
    <row r="27" spans="1:5 16384:16384" s="2" customFormat="1" ht="16.2" x14ac:dyDescent="0.3">
      <c r="A27" s="5" t="s">
        <v>22</v>
      </c>
    </row>
    <row r="28" spans="1:5 16384:16384" s="2" customFormat="1" ht="16.2" x14ac:dyDescent="0.3">
      <c r="A28" s="2" t="s">
        <v>6</v>
      </c>
      <c r="B28" s="4">
        <f>B12-B9</f>
        <v>0</v>
      </c>
      <c r="C28" s="4">
        <f>C12-C9</f>
        <v>43125</v>
      </c>
      <c r="D28" s="4">
        <f>D12-D9</f>
        <v>54375</v>
      </c>
      <c r="E28" s="4">
        <f>E12-E9</f>
        <v>63750</v>
      </c>
    </row>
    <row r="29" spans="1:5 16384:16384" s="2" customFormat="1" ht="16.2" x14ac:dyDescent="0.3">
      <c r="A29" s="2" t="s">
        <v>9</v>
      </c>
      <c r="B29" s="4">
        <f>B17</f>
        <v>90000</v>
      </c>
      <c r="C29" s="4">
        <f>C17</f>
        <v>0</v>
      </c>
      <c r="D29" s="4">
        <f>D17</f>
        <v>0</v>
      </c>
      <c r="E29" s="4">
        <f>E17</f>
        <v>-7500</v>
      </c>
    </row>
    <row r="30" spans="1:5 16384:16384" s="2" customFormat="1" ht="16.2" x14ac:dyDescent="0.3">
      <c r="A30" s="2" t="s">
        <v>10</v>
      </c>
      <c r="B30" s="4">
        <v>15000</v>
      </c>
      <c r="C30" s="4">
        <f>C25</f>
        <v>14250</v>
      </c>
      <c r="D30" s="4">
        <f>D25</f>
        <v>4500</v>
      </c>
      <c r="E30" s="4">
        <f>E25</f>
        <v>-33750</v>
      </c>
    </row>
    <row r="31" spans="1:5 16384:16384" s="2" customFormat="1" ht="16.2" x14ac:dyDescent="0.3">
      <c r="A31" s="3" t="s">
        <v>21</v>
      </c>
      <c r="B31" s="6">
        <f>SUM(B28:B30)</f>
        <v>105000</v>
      </c>
      <c r="C31" s="6">
        <f>SUM(C28:C30)</f>
        <v>57375</v>
      </c>
      <c r="D31" s="6">
        <f>SUM(D28:D30)</f>
        <v>58875</v>
      </c>
      <c r="E31" s="6">
        <f>SUM(E28:E30)</f>
        <v>22500</v>
      </c>
      <c r="XFD31" s="6"/>
    </row>
    <row r="32" spans="1:5 16384:16384" s="2" customFormat="1" ht="34.5" customHeight="1" x14ac:dyDescent="0.3"/>
    <row r="33" spans="1:2" s="2" customFormat="1" ht="16.2" x14ac:dyDescent="0.3">
      <c r="A33" s="2" t="s">
        <v>7</v>
      </c>
      <c r="B33" s="7">
        <v>0.08</v>
      </c>
    </row>
    <row r="34" spans="1:2" s="2" customFormat="1" ht="16.2" x14ac:dyDescent="0.3">
      <c r="A34" s="3" t="s">
        <v>8</v>
      </c>
      <c r="B34" s="8">
        <f>NPV(B33,C31:E31)+B31</f>
        <v>226462.04846822127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C9F0-9CF0-4D3B-B9AA-025CCA9D57B4}">
  <dimension ref="A1:G44"/>
  <sheetViews>
    <sheetView topLeftCell="A15" workbookViewId="0">
      <selection activeCell="B34" sqref="B34"/>
    </sheetView>
  </sheetViews>
  <sheetFormatPr defaultColWidth="8.77734375" defaultRowHeight="13.8" x14ac:dyDescent="0.25"/>
  <cols>
    <col min="1" max="1" width="39.77734375" style="1" customWidth="1"/>
    <col min="2" max="2" width="14.44140625" style="1" customWidth="1"/>
    <col min="3" max="3" width="12.6640625" style="1" customWidth="1"/>
    <col min="4" max="4" width="11.44140625" style="1" customWidth="1"/>
    <col min="5" max="5" width="11.6640625" style="1" customWidth="1"/>
    <col min="6" max="16384" width="8.77734375" style="1"/>
  </cols>
  <sheetData>
    <row r="1" spans="1:5" ht="22.8" x14ac:dyDescent="0.4">
      <c r="A1" s="18" t="s">
        <v>4</v>
      </c>
      <c r="B1" s="18"/>
      <c r="C1" s="18"/>
      <c r="D1" s="18"/>
      <c r="E1" s="18"/>
    </row>
    <row r="2" spans="1:5" s="2" customFormat="1" ht="32.25" customHeight="1" x14ac:dyDescent="0.3"/>
    <row r="3" spans="1:5" s="2" customFormat="1" ht="16.2" x14ac:dyDescent="0.3">
      <c r="A3" s="3" t="s">
        <v>0</v>
      </c>
      <c r="B3" s="9">
        <v>0</v>
      </c>
      <c r="C3" s="9">
        <v>1</v>
      </c>
      <c r="D3" s="9">
        <v>2</v>
      </c>
      <c r="E3" s="9">
        <v>3</v>
      </c>
    </row>
    <row r="4" spans="1:5" s="2" customFormat="1" ht="6.45" customHeight="1" x14ac:dyDescent="0.3"/>
    <row r="5" spans="1:5" s="2" customFormat="1" ht="16.2" x14ac:dyDescent="0.3">
      <c r="A5" s="5" t="s">
        <v>18</v>
      </c>
    </row>
    <row r="6" spans="1:5" s="2" customFormat="1" ht="16.2" x14ac:dyDescent="0.3">
      <c r="A6" s="2" t="s">
        <v>11</v>
      </c>
      <c r="C6" s="4">
        <v>195000</v>
      </c>
      <c r="D6" s="4">
        <v>225000</v>
      </c>
      <c r="E6" s="4">
        <v>250000</v>
      </c>
    </row>
    <row r="7" spans="1:5" s="2" customFormat="1" ht="16.2" x14ac:dyDescent="0.3">
      <c r="A7" s="2" t="s">
        <v>23</v>
      </c>
      <c r="C7" s="4">
        <f>-0.5*C6</f>
        <v>-97500</v>
      </c>
      <c r="D7" s="4">
        <f>-0.5*D6</f>
        <v>-112500</v>
      </c>
      <c r="E7" s="4">
        <f>-0.5*E6</f>
        <v>-125000</v>
      </c>
    </row>
    <row r="8" spans="1:5" s="2" customFormat="1" ht="16.2" x14ac:dyDescent="0.3">
      <c r="A8" s="2" t="s">
        <v>24</v>
      </c>
      <c r="C8" s="4">
        <v>-50000</v>
      </c>
      <c r="D8" s="4">
        <v>-50000</v>
      </c>
      <c r="E8" s="4">
        <v>-50000</v>
      </c>
    </row>
    <row r="9" spans="1:5" s="2" customFormat="1" ht="16.2" x14ac:dyDescent="0.3">
      <c r="A9" s="2" t="s">
        <v>25</v>
      </c>
      <c r="C9" s="4">
        <f>-90000/3</f>
        <v>-30000</v>
      </c>
      <c r="D9" s="4">
        <f>-90000/3</f>
        <v>-30000</v>
      </c>
      <c r="E9" s="4">
        <f>-90000/3</f>
        <v>-30000</v>
      </c>
    </row>
    <row r="10" spans="1:5" s="2" customFormat="1" ht="16.2" x14ac:dyDescent="0.3">
      <c r="A10" s="2" t="s">
        <v>3</v>
      </c>
      <c r="C10" s="4">
        <f>SUM(C6:C9)</f>
        <v>17500</v>
      </c>
      <c r="D10" s="4">
        <f t="shared" ref="D10:E10" si="0">SUM(D6:D9)</f>
        <v>32500</v>
      </c>
      <c r="E10" s="4">
        <f t="shared" si="0"/>
        <v>45000</v>
      </c>
    </row>
    <row r="11" spans="1:5" s="2" customFormat="1" ht="16.2" x14ac:dyDescent="0.3">
      <c r="A11" s="2" t="s">
        <v>26</v>
      </c>
      <c r="C11" s="4">
        <f>-C10*0.25</f>
        <v>-4375</v>
      </c>
      <c r="D11" s="4">
        <f t="shared" ref="D11:E11" si="1">-D10*0.25</f>
        <v>-8125</v>
      </c>
      <c r="E11" s="4">
        <f t="shared" si="1"/>
        <v>-11250</v>
      </c>
    </row>
    <row r="12" spans="1:5" s="2" customFormat="1" ht="16.2" x14ac:dyDescent="0.3">
      <c r="A12" s="3" t="s">
        <v>12</v>
      </c>
      <c r="C12" s="4">
        <f>SUM(C10:C11)</f>
        <v>13125</v>
      </c>
      <c r="D12" s="4">
        <f t="shared" ref="D12:E12" si="2">SUM(D10:D11)</f>
        <v>24375</v>
      </c>
      <c r="E12" s="4">
        <f t="shared" si="2"/>
        <v>33750</v>
      </c>
    </row>
    <row r="13" spans="1:5" s="2" customFormat="1" ht="22.95" customHeight="1" x14ac:dyDescent="0.3"/>
    <row r="14" spans="1:5" s="2" customFormat="1" ht="16.2" x14ac:dyDescent="0.3">
      <c r="A14" s="5" t="s">
        <v>19</v>
      </c>
    </row>
    <row r="15" spans="1:5" s="2" customFormat="1" ht="16.2" x14ac:dyDescent="0.3">
      <c r="A15" s="2" t="s">
        <v>1</v>
      </c>
      <c r="B15" s="4">
        <v>90000</v>
      </c>
    </row>
    <row r="16" spans="1:5" s="2" customFormat="1" ht="16.2" x14ac:dyDescent="0.3">
      <c r="A16" s="2" t="s">
        <v>2</v>
      </c>
      <c r="E16" s="4">
        <f>-(10000-0.25*(10000))</f>
        <v>-7500</v>
      </c>
    </row>
    <row r="17" spans="1:5" s="2" customFormat="1" ht="16.2" x14ac:dyDescent="0.3">
      <c r="A17" s="3" t="s">
        <v>15</v>
      </c>
      <c r="B17" s="4">
        <f>B15+B16</f>
        <v>90000</v>
      </c>
      <c r="C17" s="4">
        <f>C15+C16</f>
        <v>0</v>
      </c>
      <c r="D17" s="4">
        <f>D15+D16</f>
        <v>0</v>
      </c>
      <c r="E17" s="4">
        <f>E15+E16</f>
        <v>-7500</v>
      </c>
    </row>
    <row r="18" spans="1:5" s="2" customFormat="1" ht="19.95" customHeight="1" x14ac:dyDescent="0.3"/>
    <row r="19" spans="1:5" s="2" customFormat="1" ht="16.2" x14ac:dyDescent="0.3">
      <c r="A19" s="5" t="s">
        <v>20</v>
      </c>
    </row>
    <row r="20" spans="1:5" s="2" customFormat="1" ht="16.2" x14ac:dyDescent="0.3">
      <c r="A20" s="2" t="s">
        <v>13</v>
      </c>
      <c r="B20" s="2">
        <v>0</v>
      </c>
      <c r="C20" s="2">
        <v>0</v>
      </c>
      <c r="D20" s="2">
        <v>0</v>
      </c>
      <c r="E20" s="2">
        <v>0</v>
      </c>
    </row>
    <row r="21" spans="1:5" s="2" customFormat="1" ht="16.2" x14ac:dyDescent="0.3">
      <c r="A21" s="2" t="s">
        <v>5</v>
      </c>
      <c r="B21" s="4">
        <v>30000</v>
      </c>
      <c r="C21" s="4">
        <f>0.2*C6</f>
        <v>39000</v>
      </c>
      <c r="D21" s="4">
        <f>0.2*D6</f>
        <v>45000</v>
      </c>
      <c r="E21" s="4">
        <v>0</v>
      </c>
    </row>
    <row r="22" spans="1:5" s="2" customFormat="1" ht="16.2" x14ac:dyDescent="0.3">
      <c r="A22" s="2" t="s">
        <v>14</v>
      </c>
      <c r="B22" s="2">
        <v>0</v>
      </c>
      <c r="C22" s="2">
        <v>0</v>
      </c>
      <c r="D22" s="2">
        <v>0</v>
      </c>
      <c r="E22" s="2">
        <v>0</v>
      </c>
    </row>
    <row r="23" spans="1:5" s="2" customFormat="1" ht="16.2" x14ac:dyDescent="0.3">
      <c r="A23" s="2" t="s">
        <v>27</v>
      </c>
      <c r="B23" s="4">
        <f>-15000</f>
        <v>-15000</v>
      </c>
      <c r="C23" s="2">
        <f>0.1*C7</f>
        <v>-9750</v>
      </c>
      <c r="D23" s="2">
        <f>0.1*D7</f>
        <v>-11250</v>
      </c>
      <c r="E23" s="2">
        <v>0</v>
      </c>
    </row>
    <row r="24" spans="1:5" s="2" customFormat="1" ht="16.2" x14ac:dyDescent="0.3">
      <c r="A24" s="2" t="s">
        <v>16</v>
      </c>
      <c r="B24" s="4">
        <f>SUM(B20:B23)</f>
        <v>15000</v>
      </c>
      <c r="C24" s="4">
        <f t="shared" ref="C24:D24" si="3">SUM(C20:C23)</f>
        <v>29250</v>
      </c>
      <c r="D24" s="4">
        <f t="shared" si="3"/>
        <v>33750</v>
      </c>
      <c r="E24" s="4">
        <f>SUM(E20:E23)</f>
        <v>0</v>
      </c>
    </row>
    <row r="25" spans="1:5" s="2" customFormat="1" ht="16.2" x14ac:dyDescent="0.3">
      <c r="A25" s="3" t="s">
        <v>17</v>
      </c>
      <c r="B25" s="4">
        <f>B24</f>
        <v>15000</v>
      </c>
      <c r="C25" s="4">
        <f>C24-B24</f>
        <v>14250</v>
      </c>
      <c r="D25" s="4">
        <f t="shared" ref="D25:E25" si="4">D24-C24</f>
        <v>4500</v>
      </c>
      <c r="E25" s="4">
        <f t="shared" si="4"/>
        <v>-33750</v>
      </c>
    </row>
    <row r="26" spans="1:5" s="2" customFormat="1" ht="19.95" customHeight="1" x14ac:dyDescent="0.3"/>
    <row r="27" spans="1:5" s="2" customFormat="1" ht="16.2" x14ac:dyDescent="0.3">
      <c r="A27" s="5" t="s">
        <v>22</v>
      </c>
    </row>
    <row r="28" spans="1:5" s="2" customFormat="1" ht="16.2" x14ac:dyDescent="0.3">
      <c r="A28" s="2" t="s">
        <v>6</v>
      </c>
      <c r="B28" s="4">
        <f>B12+B9</f>
        <v>0</v>
      </c>
      <c r="C28" s="4">
        <f>C12-C9</f>
        <v>43125</v>
      </c>
      <c r="D28" s="4">
        <f t="shared" ref="D28:E28" si="5">D12-D9</f>
        <v>54375</v>
      </c>
      <c r="E28" s="4">
        <f t="shared" si="5"/>
        <v>63750</v>
      </c>
    </row>
    <row r="29" spans="1:5" s="2" customFormat="1" ht="16.2" x14ac:dyDescent="0.3">
      <c r="A29" s="2" t="s">
        <v>9</v>
      </c>
      <c r="B29" s="4">
        <f>-B17</f>
        <v>-90000</v>
      </c>
      <c r="C29" s="4">
        <f t="shared" ref="C29:E29" si="6">-C17</f>
        <v>0</v>
      </c>
      <c r="D29" s="4">
        <f t="shared" si="6"/>
        <v>0</v>
      </c>
      <c r="E29" s="4">
        <f t="shared" si="6"/>
        <v>7500</v>
      </c>
    </row>
    <row r="30" spans="1:5" s="2" customFormat="1" ht="16.2" x14ac:dyDescent="0.3">
      <c r="A30" s="2" t="s">
        <v>10</v>
      </c>
      <c r="B30" s="4">
        <f>-B25</f>
        <v>-15000</v>
      </c>
      <c r="C30" s="4">
        <f t="shared" ref="C30:E30" si="7">-C25</f>
        <v>-14250</v>
      </c>
      <c r="D30" s="4">
        <f t="shared" si="7"/>
        <v>-4500</v>
      </c>
      <c r="E30" s="4">
        <f t="shared" si="7"/>
        <v>33750</v>
      </c>
    </row>
    <row r="31" spans="1:5" s="2" customFormat="1" ht="16.2" x14ac:dyDescent="0.3">
      <c r="A31" s="3" t="s">
        <v>21</v>
      </c>
      <c r="B31" s="6">
        <f>SUM(B28:B30)</f>
        <v>-105000</v>
      </c>
      <c r="C31" s="6">
        <f t="shared" ref="C31:E31" si="8">SUM(C28:C30)</f>
        <v>28875</v>
      </c>
      <c r="D31" s="6">
        <f t="shared" si="8"/>
        <v>49875</v>
      </c>
      <c r="E31" s="6">
        <f t="shared" si="8"/>
        <v>105000</v>
      </c>
    </row>
    <row r="32" spans="1:5" s="2" customFormat="1" ht="34.5" customHeight="1" x14ac:dyDescent="0.3"/>
    <row r="33" spans="1:7" s="2" customFormat="1" ht="16.2" x14ac:dyDescent="0.3">
      <c r="A33" s="2" t="s">
        <v>7</v>
      </c>
      <c r="B33" s="7">
        <v>0.08</v>
      </c>
    </row>
    <row r="34" spans="1:7" s="2" customFormat="1" ht="16.2" x14ac:dyDescent="0.3">
      <c r="A34" s="3" t="s">
        <v>8</v>
      </c>
      <c r="B34" s="8">
        <f>NPV(B33,C31:E31)+B31</f>
        <v>47848.270080780349</v>
      </c>
    </row>
    <row r="37" spans="1:7" x14ac:dyDescent="0.25">
      <c r="A37" s="11" t="s">
        <v>28</v>
      </c>
      <c r="B37" s="10"/>
      <c r="C37"/>
      <c r="D37"/>
      <c r="E37"/>
      <c r="F37"/>
      <c r="G37"/>
    </row>
    <row r="38" spans="1:7" x14ac:dyDescent="0.25">
      <c r="A38"/>
      <c r="B38" s="10"/>
      <c r="C38" s="19" t="s">
        <v>29</v>
      </c>
      <c r="D38" s="19"/>
      <c r="E38" s="19"/>
      <c r="F38" s="19"/>
      <c r="G38" s="19"/>
    </row>
    <row r="39" spans="1:7" x14ac:dyDescent="0.25">
      <c r="A39"/>
      <c r="B39" s="12">
        <f>B34</f>
        <v>47848.270080780349</v>
      </c>
      <c r="C39" s="13">
        <v>165000</v>
      </c>
      <c r="D39" s="13">
        <v>180000</v>
      </c>
      <c r="E39" s="13">
        <v>195000</v>
      </c>
      <c r="F39" s="13">
        <v>210000</v>
      </c>
      <c r="G39" s="13">
        <v>225000</v>
      </c>
    </row>
    <row r="40" spans="1:7" x14ac:dyDescent="0.25">
      <c r="A40"/>
      <c r="B40" s="17">
        <v>70000</v>
      </c>
      <c r="C40" s="14">
        <f t="dataTable" ref="C40:G44" dt2D="1" dtr="1" r1="C6" r2="B17"/>
        <v>57740.245389422314</v>
      </c>
      <c r="D40" s="14">
        <v>62794.257735101331</v>
      </c>
      <c r="E40" s="14">
        <v>67848.270080780349</v>
      </c>
      <c r="F40" s="14">
        <v>72902.282426459366</v>
      </c>
      <c r="G40" s="14">
        <v>77956.294772138383</v>
      </c>
    </row>
    <row r="41" spans="1:7" x14ac:dyDescent="0.25">
      <c r="A41"/>
      <c r="B41" s="17">
        <v>80000</v>
      </c>
      <c r="C41" s="14">
        <v>47740.245389422314</v>
      </c>
      <c r="D41" s="14">
        <v>52794.257735101331</v>
      </c>
      <c r="E41" s="14">
        <v>57848.270080780349</v>
      </c>
      <c r="F41" s="14">
        <v>62902.282426459366</v>
      </c>
      <c r="G41" s="14">
        <v>67956.294772138383</v>
      </c>
    </row>
    <row r="42" spans="1:7" x14ac:dyDescent="0.25">
      <c r="A42" s="15" t="s">
        <v>30</v>
      </c>
      <c r="B42" s="17">
        <v>90000</v>
      </c>
      <c r="C42" s="14">
        <v>37740.245389422314</v>
      </c>
      <c r="D42" s="14">
        <v>42794.257735101331</v>
      </c>
      <c r="E42" s="16">
        <v>47848.270080780349</v>
      </c>
      <c r="F42" s="14">
        <v>52902.282426459366</v>
      </c>
      <c r="G42" s="14">
        <v>57956.294772138383</v>
      </c>
    </row>
    <row r="43" spans="1:7" x14ac:dyDescent="0.25">
      <c r="A43"/>
      <c r="B43" s="17">
        <v>100000</v>
      </c>
      <c r="C43" s="14">
        <v>27740.245389422314</v>
      </c>
      <c r="D43" s="14">
        <v>32794.257735101331</v>
      </c>
      <c r="E43" s="14">
        <v>37848.270080780349</v>
      </c>
      <c r="F43" s="14">
        <v>42902.282426459366</v>
      </c>
      <c r="G43" s="14">
        <v>47956.294772138383</v>
      </c>
    </row>
    <row r="44" spans="1:7" x14ac:dyDescent="0.25">
      <c r="A44"/>
      <c r="B44" s="17">
        <v>110000</v>
      </c>
      <c r="C44" s="14">
        <v>17740.245389422314</v>
      </c>
      <c r="D44" s="14">
        <v>22794.257735101331</v>
      </c>
      <c r="E44" s="14">
        <v>27848.270080780349</v>
      </c>
      <c r="F44" s="14">
        <v>32902.282426459366</v>
      </c>
      <c r="G44" s="14">
        <v>37956.294772138383</v>
      </c>
    </row>
  </sheetData>
  <mergeCells count="2">
    <mergeCell ref="A1:E1"/>
    <mergeCell ref="C38:G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2AB6-18DB-4AD5-8CE5-EA7112DCF861}">
  <dimension ref="A1:E34"/>
  <sheetViews>
    <sheetView workbookViewId="0">
      <selection activeCell="A37" sqref="A37"/>
    </sheetView>
  </sheetViews>
  <sheetFormatPr defaultColWidth="8.77734375" defaultRowHeight="13.8" x14ac:dyDescent="0.25"/>
  <cols>
    <col min="1" max="1" width="42.44140625" style="1" customWidth="1"/>
    <col min="2" max="2" width="14.44140625" style="1" customWidth="1"/>
    <col min="3" max="3" width="12.6640625" style="1" customWidth="1"/>
    <col min="4" max="4" width="11.44140625" style="1" customWidth="1"/>
    <col min="5" max="5" width="11.6640625" style="1" customWidth="1"/>
    <col min="6" max="16384" width="8.77734375" style="1"/>
  </cols>
  <sheetData>
    <row r="1" spans="1:5" ht="22.8" x14ac:dyDescent="0.4">
      <c r="A1" s="18" t="s">
        <v>4</v>
      </c>
      <c r="B1" s="18"/>
      <c r="C1" s="18"/>
      <c r="D1" s="18"/>
      <c r="E1" s="18"/>
    </row>
    <row r="2" spans="1:5" s="2" customFormat="1" ht="32.25" customHeight="1" x14ac:dyDescent="0.3"/>
    <row r="3" spans="1:5" s="2" customFormat="1" ht="16.2" x14ac:dyDescent="0.3">
      <c r="A3" s="3" t="s">
        <v>0</v>
      </c>
      <c r="B3" s="9">
        <v>0</v>
      </c>
      <c r="C3" s="9">
        <v>1</v>
      </c>
      <c r="D3" s="9">
        <v>2</v>
      </c>
      <c r="E3" s="9">
        <v>3</v>
      </c>
    </row>
    <row r="4" spans="1:5" s="2" customFormat="1" ht="6.45" customHeight="1" x14ac:dyDescent="0.3"/>
    <row r="5" spans="1:5" s="2" customFormat="1" ht="16.2" x14ac:dyDescent="0.3">
      <c r="A5" s="5" t="s">
        <v>18</v>
      </c>
    </row>
    <row r="6" spans="1:5" s="2" customFormat="1" ht="16.2" x14ac:dyDescent="0.3">
      <c r="A6" s="2" t="s">
        <v>11</v>
      </c>
      <c r="C6" s="4"/>
      <c r="D6" s="4"/>
      <c r="E6" s="4"/>
    </row>
    <row r="7" spans="1:5" s="2" customFormat="1" ht="16.2" x14ac:dyDescent="0.3">
      <c r="A7" s="2" t="s">
        <v>23</v>
      </c>
      <c r="C7" s="4"/>
      <c r="D7" s="4"/>
      <c r="E7" s="4"/>
    </row>
    <row r="8" spans="1:5" s="2" customFormat="1" ht="16.2" x14ac:dyDescent="0.3">
      <c r="A8" s="2" t="s">
        <v>24</v>
      </c>
      <c r="C8" s="4"/>
      <c r="D8" s="4"/>
      <c r="E8" s="4"/>
    </row>
    <row r="9" spans="1:5" s="2" customFormat="1" ht="16.2" x14ac:dyDescent="0.3">
      <c r="A9" s="2" t="s">
        <v>25</v>
      </c>
      <c r="C9" s="4"/>
      <c r="D9" s="4"/>
      <c r="E9" s="4"/>
    </row>
    <row r="10" spans="1:5" s="2" customFormat="1" ht="16.2" x14ac:dyDescent="0.3">
      <c r="A10" s="2" t="s">
        <v>3</v>
      </c>
      <c r="C10" s="4"/>
      <c r="D10" s="4"/>
      <c r="E10" s="4"/>
    </row>
    <row r="11" spans="1:5" s="2" customFormat="1" ht="16.2" x14ac:dyDescent="0.3">
      <c r="A11" s="2" t="s">
        <v>26</v>
      </c>
      <c r="C11" s="4"/>
      <c r="D11" s="4"/>
      <c r="E11" s="4"/>
    </row>
    <row r="12" spans="1:5" s="2" customFormat="1" ht="16.2" x14ac:dyDescent="0.3">
      <c r="A12" s="3" t="s">
        <v>12</v>
      </c>
      <c r="C12" s="4"/>
      <c r="D12" s="4"/>
      <c r="E12" s="4"/>
    </row>
    <row r="13" spans="1:5" s="2" customFormat="1" ht="22.95" customHeight="1" x14ac:dyDescent="0.3"/>
    <row r="14" spans="1:5" s="2" customFormat="1" ht="16.2" x14ac:dyDescent="0.3">
      <c r="A14" s="5" t="s">
        <v>19</v>
      </c>
    </row>
    <row r="15" spans="1:5" s="2" customFormat="1" ht="16.2" x14ac:dyDescent="0.3">
      <c r="A15" s="2" t="s">
        <v>1</v>
      </c>
      <c r="B15" s="4"/>
    </row>
    <row r="16" spans="1:5" s="2" customFormat="1" ht="16.2" x14ac:dyDescent="0.3">
      <c r="A16" s="2" t="s">
        <v>2</v>
      </c>
      <c r="E16" s="4"/>
    </row>
    <row r="17" spans="1:5" s="2" customFormat="1" ht="16.2" x14ac:dyDescent="0.3">
      <c r="A17" s="3" t="s">
        <v>15</v>
      </c>
      <c r="B17" s="4"/>
      <c r="C17" s="4"/>
      <c r="D17" s="4"/>
      <c r="E17" s="4"/>
    </row>
    <row r="18" spans="1:5" s="2" customFormat="1" ht="19.95" customHeight="1" x14ac:dyDescent="0.3"/>
    <row r="19" spans="1:5" s="2" customFormat="1" ht="16.2" x14ac:dyDescent="0.3">
      <c r="A19" s="5" t="s">
        <v>20</v>
      </c>
    </row>
    <row r="20" spans="1:5" s="2" customFormat="1" ht="16.2" x14ac:dyDescent="0.3">
      <c r="A20" s="2" t="s">
        <v>13</v>
      </c>
    </row>
    <row r="21" spans="1:5" s="2" customFormat="1" ht="16.2" x14ac:dyDescent="0.3">
      <c r="A21" s="2" t="s">
        <v>5</v>
      </c>
      <c r="B21" s="4"/>
      <c r="C21" s="4"/>
      <c r="D21" s="4"/>
      <c r="E21" s="4"/>
    </row>
    <row r="22" spans="1:5" s="2" customFormat="1" ht="16.2" x14ac:dyDescent="0.3">
      <c r="A22" s="2" t="s">
        <v>14</v>
      </c>
    </row>
    <row r="23" spans="1:5" s="2" customFormat="1" ht="16.2" x14ac:dyDescent="0.3">
      <c r="A23" s="2" t="s">
        <v>27</v>
      </c>
      <c r="B23" s="4"/>
    </row>
    <row r="24" spans="1:5" s="2" customFormat="1" ht="16.2" x14ac:dyDescent="0.3">
      <c r="A24" s="2" t="s">
        <v>16</v>
      </c>
      <c r="B24" s="4"/>
      <c r="C24" s="4"/>
      <c r="D24" s="4"/>
      <c r="E24" s="4"/>
    </row>
    <row r="25" spans="1:5" s="2" customFormat="1" ht="16.2" x14ac:dyDescent="0.3">
      <c r="A25" s="3" t="s">
        <v>17</v>
      </c>
      <c r="B25" s="4"/>
      <c r="C25" s="4"/>
      <c r="D25" s="4"/>
      <c r="E25" s="4"/>
    </row>
    <row r="26" spans="1:5" s="2" customFormat="1" ht="19.95" customHeight="1" x14ac:dyDescent="0.3"/>
    <row r="27" spans="1:5" s="2" customFormat="1" ht="16.2" x14ac:dyDescent="0.3">
      <c r="A27" s="5" t="s">
        <v>22</v>
      </c>
    </row>
    <row r="28" spans="1:5" s="2" customFormat="1" ht="16.2" x14ac:dyDescent="0.3">
      <c r="A28" s="2" t="s">
        <v>6</v>
      </c>
      <c r="B28" s="4"/>
      <c r="C28" s="4"/>
      <c r="D28" s="4"/>
      <c r="E28" s="4"/>
    </row>
    <row r="29" spans="1:5" s="2" customFormat="1" ht="16.2" x14ac:dyDescent="0.3">
      <c r="A29" s="2" t="s">
        <v>9</v>
      </c>
      <c r="B29" s="4"/>
      <c r="C29" s="4"/>
      <c r="D29" s="4"/>
      <c r="E29" s="4"/>
    </row>
    <row r="30" spans="1:5" s="2" customFormat="1" ht="16.2" x14ac:dyDescent="0.3">
      <c r="A30" s="2" t="s">
        <v>10</v>
      </c>
      <c r="B30" s="4"/>
      <c r="C30" s="4"/>
      <c r="D30" s="4"/>
      <c r="E30" s="4"/>
    </row>
    <row r="31" spans="1:5" s="2" customFormat="1" ht="16.2" x14ac:dyDescent="0.3">
      <c r="A31" s="3" t="s">
        <v>21</v>
      </c>
      <c r="B31" s="6"/>
      <c r="C31" s="6"/>
      <c r="D31" s="6"/>
      <c r="E31" s="6"/>
    </row>
    <row r="32" spans="1:5" s="2" customFormat="1" ht="34.5" customHeight="1" x14ac:dyDescent="0.3"/>
    <row r="33" spans="1:2" s="2" customFormat="1" ht="16.2" x14ac:dyDescent="0.3">
      <c r="A33" s="2" t="s">
        <v>7</v>
      </c>
      <c r="B33" s="7">
        <v>0.08</v>
      </c>
    </row>
    <row r="34" spans="1:2" s="2" customFormat="1" ht="16.2" x14ac:dyDescent="0.3">
      <c r="A34" s="3" t="s">
        <v>8</v>
      </c>
      <c r="B34" s="8"/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47845-9501-43A5-88DD-16C575ADCA2F}">
  <dimension ref="A1:E34"/>
  <sheetViews>
    <sheetView workbookViewId="0">
      <selection activeCell="A37" sqref="A37"/>
    </sheetView>
  </sheetViews>
  <sheetFormatPr defaultColWidth="8.77734375" defaultRowHeight="13.8" x14ac:dyDescent="0.25"/>
  <cols>
    <col min="1" max="1" width="42.44140625" style="1" customWidth="1"/>
    <col min="2" max="2" width="14.44140625" style="1" customWidth="1"/>
    <col min="3" max="3" width="12.6640625" style="1" customWidth="1"/>
    <col min="4" max="4" width="11.44140625" style="1" customWidth="1"/>
    <col min="5" max="5" width="11.6640625" style="1" customWidth="1"/>
    <col min="6" max="16384" width="8.77734375" style="1"/>
  </cols>
  <sheetData>
    <row r="1" spans="1:5" ht="22.8" x14ac:dyDescent="0.4">
      <c r="A1" s="18" t="s">
        <v>4</v>
      </c>
      <c r="B1" s="18"/>
      <c r="C1" s="18"/>
      <c r="D1" s="18"/>
      <c r="E1" s="18"/>
    </row>
    <row r="2" spans="1:5" s="2" customFormat="1" ht="32.25" customHeight="1" x14ac:dyDescent="0.3"/>
    <row r="3" spans="1:5" s="2" customFormat="1" ht="16.2" x14ac:dyDescent="0.3">
      <c r="A3" s="3" t="s">
        <v>0</v>
      </c>
      <c r="B3" s="9">
        <v>0</v>
      </c>
      <c r="C3" s="9">
        <v>1</v>
      </c>
      <c r="D3" s="9">
        <v>2</v>
      </c>
      <c r="E3" s="9">
        <v>3</v>
      </c>
    </row>
    <row r="4" spans="1:5" s="2" customFormat="1" ht="6.45" customHeight="1" x14ac:dyDescent="0.3"/>
    <row r="5" spans="1:5" s="2" customFormat="1" ht="16.2" x14ac:dyDescent="0.3">
      <c r="A5" s="5" t="s">
        <v>18</v>
      </c>
    </row>
    <row r="6" spans="1:5" s="2" customFormat="1" ht="16.2" x14ac:dyDescent="0.3">
      <c r="A6" s="2" t="s">
        <v>11</v>
      </c>
      <c r="C6" s="4"/>
      <c r="D6" s="4"/>
      <c r="E6" s="4"/>
    </row>
    <row r="7" spans="1:5" s="2" customFormat="1" ht="16.2" x14ac:dyDescent="0.3">
      <c r="A7" s="2" t="s">
        <v>23</v>
      </c>
      <c r="C7" s="4"/>
      <c r="D7" s="4"/>
      <c r="E7" s="4"/>
    </row>
    <row r="8" spans="1:5" s="2" customFormat="1" ht="16.2" x14ac:dyDescent="0.3">
      <c r="A8" s="2" t="s">
        <v>24</v>
      </c>
      <c r="C8" s="4"/>
      <c r="D8" s="4"/>
      <c r="E8" s="4"/>
    </row>
    <row r="9" spans="1:5" s="2" customFormat="1" ht="16.2" x14ac:dyDescent="0.3">
      <c r="A9" s="2" t="s">
        <v>25</v>
      </c>
      <c r="C9" s="4"/>
      <c r="D9" s="4"/>
      <c r="E9" s="4"/>
    </row>
    <row r="10" spans="1:5" s="2" customFormat="1" ht="16.2" x14ac:dyDescent="0.3">
      <c r="A10" s="2" t="s">
        <v>3</v>
      </c>
      <c r="C10" s="4"/>
      <c r="D10" s="4"/>
      <c r="E10" s="4"/>
    </row>
    <row r="11" spans="1:5" s="2" customFormat="1" ht="16.2" x14ac:dyDescent="0.3">
      <c r="A11" s="2" t="s">
        <v>26</v>
      </c>
      <c r="C11" s="4"/>
      <c r="D11" s="4"/>
      <c r="E11" s="4"/>
    </row>
    <row r="12" spans="1:5" s="2" customFormat="1" ht="16.2" x14ac:dyDescent="0.3">
      <c r="A12" s="3" t="s">
        <v>12</v>
      </c>
      <c r="C12" s="4"/>
      <c r="D12" s="4"/>
      <c r="E12" s="4"/>
    </row>
    <row r="13" spans="1:5" s="2" customFormat="1" ht="22.95" customHeight="1" x14ac:dyDescent="0.3"/>
    <row r="14" spans="1:5" s="2" customFormat="1" ht="16.2" x14ac:dyDescent="0.3">
      <c r="A14" s="5" t="s">
        <v>19</v>
      </c>
    </row>
    <row r="15" spans="1:5" s="2" customFormat="1" ht="16.2" x14ac:dyDescent="0.3">
      <c r="A15" s="2" t="s">
        <v>1</v>
      </c>
      <c r="B15" s="4"/>
    </row>
    <row r="16" spans="1:5" s="2" customFormat="1" ht="16.2" x14ac:dyDescent="0.3">
      <c r="A16" s="2" t="s">
        <v>2</v>
      </c>
      <c r="E16" s="4"/>
    </row>
    <row r="17" spans="1:5" s="2" customFormat="1" ht="16.2" x14ac:dyDescent="0.3">
      <c r="A17" s="3" t="s">
        <v>15</v>
      </c>
      <c r="B17" s="4"/>
      <c r="C17" s="4"/>
      <c r="D17" s="4"/>
      <c r="E17" s="4"/>
    </row>
    <row r="18" spans="1:5" s="2" customFormat="1" ht="19.95" customHeight="1" x14ac:dyDescent="0.3"/>
    <row r="19" spans="1:5" s="2" customFormat="1" ht="16.2" x14ac:dyDescent="0.3">
      <c r="A19" s="5" t="s">
        <v>20</v>
      </c>
    </row>
    <row r="20" spans="1:5" s="2" customFormat="1" ht="16.2" x14ac:dyDescent="0.3">
      <c r="A20" s="2" t="s">
        <v>13</v>
      </c>
    </row>
    <row r="21" spans="1:5" s="2" customFormat="1" ht="16.2" x14ac:dyDescent="0.3">
      <c r="A21" s="2" t="s">
        <v>5</v>
      </c>
      <c r="B21" s="4"/>
      <c r="C21" s="4"/>
      <c r="D21" s="4"/>
      <c r="E21" s="4"/>
    </row>
    <row r="22" spans="1:5" s="2" customFormat="1" ht="16.2" x14ac:dyDescent="0.3">
      <c r="A22" s="2" t="s">
        <v>14</v>
      </c>
    </row>
    <row r="23" spans="1:5" s="2" customFormat="1" ht="16.2" x14ac:dyDescent="0.3">
      <c r="A23" s="2" t="s">
        <v>27</v>
      </c>
      <c r="B23" s="4"/>
    </row>
    <row r="24" spans="1:5" s="2" customFormat="1" ht="16.2" x14ac:dyDescent="0.3">
      <c r="A24" s="2" t="s">
        <v>16</v>
      </c>
      <c r="B24" s="4"/>
      <c r="C24" s="4"/>
      <c r="D24" s="4"/>
      <c r="E24" s="4"/>
    </row>
    <row r="25" spans="1:5" s="2" customFormat="1" ht="16.2" x14ac:dyDescent="0.3">
      <c r="A25" s="3" t="s">
        <v>17</v>
      </c>
      <c r="B25" s="4"/>
      <c r="C25" s="4"/>
      <c r="D25" s="4"/>
      <c r="E25" s="4"/>
    </row>
    <row r="26" spans="1:5" s="2" customFormat="1" ht="19.95" customHeight="1" x14ac:dyDescent="0.3"/>
    <row r="27" spans="1:5" s="2" customFormat="1" ht="16.2" x14ac:dyDescent="0.3">
      <c r="A27" s="5" t="s">
        <v>22</v>
      </c>
    </row>
    <row r="28" spans="1:5" s="2" customFormat="1" ht="16.2" x14ac:dyDescent="0.3">
      <c r="A28" s="2" t="s">
        <v>6</v>
      </c>
      <c r="B28" s="4"/>
      <c r="C28" s="4"/>
      <c r="D28" s="4"/>
      <c r="E28" s="4"/>
    </row>
    <row r="29" spans="1:5" s="2" customFormat="1" ht="16.2" x14ac:dyDescent="0.3">
      <c r="A29" s="2" t="s">
        <v>9</v>
      </c>
      <c r="B29" s="4"/>
      <c r="C29" s="4"/>
      <c r="D29" s="4"/>
      <c r="E29" s="4"/>
    </row>
    <row r="30" spans="1:5" s="2" customFormat="1" ht="16.2" x14ac:dyDescent="0.3">
      <c r="A30" s="2" t="s">
        <v>10</v>
      </c>
      <c r="B30" s="4"/>
      <c r="C30" s="4"/>
      <c r="D30" s="4"/>
      <c r="E30" s="4"/>
    </row>
    <row r="31" spans="1:5" s="2" customFormat="1" ht="16.2" x14ac:dyDescent="0.3">
      <c r="A31" s="3" t="s">
        <v>21</v>
      </c>
      <c r="B31" s="6"/>
      <c r="C31" s="6"/>
      <c r="D31" s="6"/>
      <c r="E31" s="6"/>
    </row>
    <row r="32" spans="1:5" s="2" customFormat="1" ht="34.5" customHeight="1" x14ac:dyDescent="0.3"/>
    <row r="33" spans="1:2" s="2" customFormat="1" ht="16.2" x14ac:dyDescent="0.3">
      <c r="A33" s="2" t="s">
        <v>7</v>
      </c>
      <c r="B33" s="7">
        <v>0.08</v>
      </c>
    </row>
    <row r="34" spans="1:2" s="2" customFormat="1" ht="16.2" x14ac:dyDescent="0.3">
      <c r="A34" s="3" t="s">
        <v>8</v>
      </c>
      <c r="B34" s="8"/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06C2-8C60-462D-B3E5-6B23EB081C1C}">
  <dimension ref="A1:G44"/>
  <sheetViews>
    <sheetView tabSelected="1" topLeftCell="A2" workbookViewId="0">
      <selection activeCell="C11" sqref="C11"/>
    </sheetView>
  </sheetViews>
  <sheetFormatPr defaultColWidth="8.77734375" defaultRowHeight="13.8" x14ac:dyDescent="0.25"/>
  <cols>
    <col min="1" max="1" width="39.77734375" style="1" customWidth="1"/>
    <col min="2" max="2" width="14.44140625" style="1" customWidth="1"/>
    <col min="3" max="3" width="12.6640625" style="1" customWidth="1"/>
    <col min="4" max="4" width="11.44140625" style="1" customWidth="1"/>
    <col min="5" max="5" width="11.6640625" style="1" customWidth="1"/>
    <col min="6" max="16384" width="8.77734375" style="1"/>
  </cols>
  <sheetData>
    <row r="1" spans="1:5" ht="22.8" x14ac:dyDescent="0.4">
      <c r="A1" s="18" t="s">
        <v>4</v>
      </c>
      <c r="B1" s="18"/>
      <c r="C1" s="18"/>
      <c r="D1" s="18"/>
      <c r="E1" s="18"/>
    </row>
    <row r="2" spans="1:5" s="2" customFormat="1" ht="32.25" customHeight="1" x14ac:dyDescent="0.3"/>
    <row r="3" spans="1:5" s="2" customFormat="1" ht="16.2" x14ac:dyDescent="0.3">
      <c r="A3" s="3" t="s">
        <v>0</v>
      </c>
      <c r="B3" s="9">
        <v>0</v>
      </c>
      <c r="C3" s="9">
        <v>1</v>
      </c>
      <c r="D3" s="9">
        <v>2</v>
      </c>
      <c r="E3" s="9">
        <v>3</v>
      </c>
    </row>
    <row r="4" spans="1:5" s="2" customFormat="1" ht="6.45" customHeight="1" x14ac:dyDescent="0.3"/>
    <row r="5" spans="1:5" s="2" customFormat="1" ht="16.2" x14ac:dyDescent="0.3">
      <c r="A5" s="5" t="s">
        <v>18</v>
      </c>
    </row>
    <row r="6" spans="1:5" s="2" customFormat="1" ht="16.2" x14ac:dyDescent="0.3">
      <c r="A6" s="2" t="s">
        <v>11</v>
      </c>
      <c r="C6" s="4">
        <v>195000</v>
      </c>
      <c r="D6" s="4">
        <v>225000</v>
      </c>
      <c r="E6" s="4">
        <v>250000</v>
      </c>
    </row>
    <row r="7" spans="1:5" s="2" customFormat="1" ht="16.2" x14ac:dyDescent="0.3">
      <c r="A7" s="2" t="s">
        <v>23</v>
      </c>
      <c r="C7" s="4">
        <f>-0.5*C6</f>
        <v>-97500</v>
      </c>
      <c r="D7" s="4">
        <f>-0.5*D6</f>
        <v>-112500</v>
      </c>
      <c r="E7" s="4">
        <f>-0.5*E6</f>
        <v>-125000</v>
      </c>
    </row>
    <row r="8" spans="1:5" s="2" customFormat="1" ht="16.2" x14ac:dyDescent="0.3">
      <c r="A8" s="2" t="s">
        <v>24</v>
      </c>
      <c r="C8" s="4">
        <v>-50000</v>
      </c>
      <c r="D8" s="4">
        <v>-50000</v>
      </c>
      <c r="E8" s="4">
        <v>-50000</v>
      </c>
    </row>
    <row r="9" spans="1:5" s="2" customFormat="1" ht="16.2" x14ac:dyDescent="0.3">
      <c r="A9" s="2" t="s">
        <v>25</v>
      </c>
      <c r="C9" s="4">
        <f>-90000/3</f>
        <v>-30000</v>
      </c>
      <c r="D9" s="4">
        <f>-90000/3</f>
        <v>-30000</v>
      </c>
      <c r="E9" s="4">
        <f>-90000/3</f>
        <v>-30000</v>
      </c>
    </row>
    <row r="10" spans="1:5" s="2" customFormat="1" ht="16.2" x14ac:dyDescent="0.3">
      <c r="A10" s="2" t="s">
        <v>3</v>
      </c>
      <c r="C10" s="4">
        <f>SUM(C6:C9)</f>
        <v>17500</v>
      </c>
      <c r="D10" s="4">
        <f t="shared" ref="D10:E10" si="0">SUM(D6:D9)</f>
        <v>32500</v>
      </c>
      <c r="E10" s="4">
        <f t="shared" si="0"/>
        <v>45000</v>
      </c>
    </row>
    <row r="11" spans="1:5" s="2" customFormat="1" ht="16.2" x14ac:dyDescent="0.3">
      <c r="A11" s="2" t="s">
        <v>26</v>
      </c>
      <c r="C11" s="4">
        <f>-C10*0.25</f>
        <v>-4375</v>
      </c>
      <c r="D11" s="4">
        <f t="shared" ref="D11:E11" si="1">-D10*0.25</f>
        <v>-8125</v>
      </c>
      <c r="E11" s="4">
        <f t="shared" si="1"/>
        <v>-11250</v>
      </c>
    </row>
    <row r="12" spans="1:5" s="2" customFormat="1" ht="16.2" x14ac:dyDescent="0.3">
      <c r="A12" s="3" t="s">
        <v>12</v>
      </c>
      <c r="C12" s="4">
        <f>SUM(C10:C11)</f>
        <v>13125</v>
      </c>
      <c r="D12" s="4">
        <f t="shared" ref="D12:E12" si="2">SUM(D10:D11)</f>
        <v>24375</v>
      </c>
      <c r="E12" s="4">
        <f t="shared" si="2"/>
        <v>33750</v>
      </c>
    </row>
    <row r="13" spans="1:5" s="2" customFormat="1" ht="22.95" customHeight="1" x14ac:dyDescent="0.3"/>
    <row r="14" spans="1:5" s="2" customFormat="1" ht="16.2" x14ac:dyDescent="0.3">
      <c r="A14" s="5" t="s">
        <v>19</v>
      </c>
    </row>
    <row r="15" spans="1:5" s="2" customFormat="1" ht="16.2" x14ac:dyDescent="0.3">
      <c r="A15" s="2" t="s">
        <v>1</v>
      </c>
      <c r="B15" s="4">
        <v>90000</v>
      </c>
    </row>
    <row r="16" spans="1:5" s="2" customFormat="1" ht="16.2" x14ac:dyDescent="0.3">
      <c r="A16" s="2" t="s">
        <v>2</v>
      </c>
      <c r="E16" s="4">
        <f>-(10000-0.25*(10000))</f>
        <v>-7500</v>
      </c>
    </row>
    <row r="17" spans="1:5" s="2" customFormat="1" ht="16.2" x14ac:dyDescent="0.3">
      <c r="A17" s="3" t="s">
        <v>15</v>
      </c>
      <c r="B17" s="4">
        <f>B15+B16</f>
        <v>90000</v>
      </c>
      <c r="C17" s="4">
        <f>C15+C16</f>
        <v>0</v>
      </c>
      <c r="D17" s="4">
        <f>D15+D16</f>
        <v>0</v>
      </c>
      <c r="E17" s="4">
        <f>E15+E16</f>
        <v>-7500</v>
      </c>
    </row>
    <row r="18" spans="1:5" s="2" customFormat="1" ht="19.95" customHeight="1" x14ac:dyDescent="0.3"/>
    <row r="19" spans="1:5" s="2" customFormat="1" ht="16.2" x14ac:dyDescent="0.3">
      <c r="A19" s="5" t="s">
        <v>20</v>
      </c>
    </row>
    <row r="20" spans="1:5" s="2" customFormat="1" ht="16.2" x14ac:dyDescent="0.3">
      <c r="A20" s="2" t="s">
        <v>13</v>
      </c>
      <c r="B20" s="2">
        <v>0</v>
      </c>
      <c r="C20" s="2">
        <v>0</v>
      </c>
      <c r="D20" s="2">
        <v>0</v>
      </c>
      <c r="E20" s="2">
        <v>0</v>
      </c>
    </row>
    <row r="21" spans="1:5" s="2" customFormat="1" ht="16.2" x14ac:dyDescent="0.3">
      <c r="A21" s="2" t="s">
        <v>5</v>
      </c>
      <c r="B21" s="4">
        <v>30000</v>
      </c>
      <c r="C21" s="4">
        <f>0.2*C6</f>
        <v>39000</v>
      </c>
      <c r="D21" s="4">
        <f>0.2*D6</f>
        <v>45000</v>
      </c>
      <c r="E21" s="4">
        <v>0</v>
      </c>
    </row>
    <row r="22" spans="1:5" s="2" customFormat="1" ht="16.2" x14ac:dyDescent="0.3">
      <c r="A22" s="2" t="s">
        <v>14</v>
      </c>
      <c r="B22" s="2">
        <v>0</v>
      </c>
      <c r="C22" s="2">
        <v>0</v>
      </c>
      <c r="D22" s="2">
        <v>0</v>
      </c>
      <c r="E22" s="2">
        <v>0</v>
      </c>
    </row>
    <row r="23" spans="1:5" s="2" customFormat="1" ht="16.2" x14ac:dyDescent="0.3">
      <c r="A23" s="2" t="s">
        <v>27</v>
      </c>
      <c r="B23" s="4">
        <f>-15000</f>
        <v>-15000</v>
      </c>
      <c r="C23" s="2">
        <f>0.1*C7</f>
        <v>-9750</v>
      </c>
      <c r="D23" s="2">
        <f>0.1*D7</f>
        <v>-11250</v>
      </c>
      <c r="E23" s="2">
        <v>0</v>
      </c>
    </row>
    <row r="24" spans="1:5" s="2" customFormat="1" ht="16.2" x14ac:dyDescent="0.3">
      <c r="A24" s="2" t="s">
        <v>16</v>
      </c>
      <c r="B24" s="4">
        <f>SUM(B20:B23)</f>
        <v>15000</v>
      </c>
      <c r="C24" s="4">
        <f t="shared" ref="C24:D24" si="3">SUM(C20:C23)</f>
        <v>29250</v>
      </c>
      <c r="D24" s="4">
        <f t="shared" si="3"/>
        <v>33750</v>
      </c>
      <c r="E24" s="4">
        <f>SUM(E20:E23)</f>
        <v>0</v>
      </c>
    </row>
    <row r="25" spans="1:5" s="2" customFormat="1" ht="16.2" x14ac:dyDescent="0.3">
      <c r="A25" s="3" t="s">
        <v>17</v>
      </c>
      <c r="B25" s="4">
        <f>B24</f>
        <v>15000</v>
      </c>
      <c r="C25" s="4">
        <f>C24-B24</f>
        <v>14250</v>
      </c>
      <c r="D25" s="4">
        <f t="shared" ref="D25:E25" si="4">D24-C24</f>
        <v>4500</v>
      </c>
      <c r="E25" s="4">
        <f t="shared" si="4"/>
        <v>-33750</v>
      </c>
    </row>
    <row r="26" spans="1:5" s="2" customFormat="1" ht="19.95" customHeight="1" x14ac:dyDescent="0.3"/>
    <row r="27" spans="1:5" s="2" customFormat="1" ht="16.2" x14ac:dyDescent="0.3">
      <c r="A27" s="5" t="s">
        <v>22</v>
      </c>
    </row>
    <row r="28" spans="1:5" s="2" customFormat="1" ht="16.2" x14ac:dyDescent="0.3">
      <c r="A28" s="2" t="s">
        <v>6</v>
      </c>
      <c r="B28" s="4">
        <f>B12+B9</f>
        <v>0</v>
      </c>
      <c r="C28" s="4">
        <f>C12-C9</f>
        <v>43125</v>
      </c>
      <c r="D28" s="4">
        <f t="shared" ref="D28:E28" si="5">D12-D9</f>
        <v>54375</v>
      </c>
      <c r="E28" s="4">
        <f t="shared" si="5"/>
        <v>63750</v>
      </c>
    </row>
    <row r="29" spans="1:5" s="2" customFormat="1" ht="16.2" x14ac:dyDescent="0.3">
      <c r="A29" s="2" t="s">
        <v>9</v>
      </c>
      <c r="B29" s="4">
        <f>-B17</f>
        <v>-90000</v>
      </c>
      <c r="C29" s="4">
        <f t="shared" ref="C29:E29" si="6">-C17</f>
        <v>0</v>
      </c>
      <c r="D29" s="4">
        <f t="shared" si="6"/>
        <v>0</v>
      </c>
      <c r="E29" s="4">
        <f t="shared" si="6"/>
        <v>7500</v>
      </c>
    </row>
    <row r="30" spans="1:5" s="2" customFormat="1" ht="16.2" x14ac:dyDescent="0.3">
      <c r="A30" s="2" t="s">
        <v>10</v>
      </c>
      <c r="B30" s="4">
        <f>-B25</f>
        <v>-15000</v>
      </c>
      <c r="C30" s="4">
        <f t="shared" ref="C30:E30" si="7">-C25</f>
        <v>-14250</v>
      </c>
      <c r="D30" s="4">
        <f t="shared" si="7"/>
        <v>-4500</v>
      </c>
      <c r="E30" s="4">
        <f t="shared" si="7"/>
        <v>33750</v>
      </c>
    </row>
    <row r="31" spans="1:5" s="2" customFormat="1" ht="16.2" x14ac:dyDescent="0.3">
      <c r="A31" s="3" t="s">
        <v>21</v>
      </c>
      <c r="B31" s="6">
        <f>SUM(B28:B30)</f>
        <v>-105000</v>
      </c>
      <c r="C31" s="6">
        <f t="shared" ref="C31:E31" si="8">SUM(C28:C30)</f>
        <v>28875</v>
      </c>
      <c r="D31" s="6">
        <f t="shared" si="8"/>
        <v>49875</v>
      </c>
      <c r="E31" s="6">
        <f t="shared" si="8"/>
        <v>105000</v>
      </c>
    </row>
    <row r="32" spans="1:5" s="2" customFormat="1" ht="34.5" customHeight="1" x14ac:dyDescent="0.3"/>
    <row r="33" spans="1:7" s="2" customFormat="1" ht="16.2" x14ac:dyDescent="0.3">
      <c r="A33" s="2" t="s">
        <v>7</v>
      </c>
      <c r="B33" s="7">
        <v>0.08</v>
      </c>
    </row>
    <row r="34" spans="1:7" s="2" customFormat="1" ht="16.2" x14ac:dyDescent="0.3">
      <c r="A34" s="3" t="s">
        <v>8</v>
      </c>
      <c r="B34" s="8">
        <f>NPV(B33,C31:E31)+B31</f>
        <v>47848.270080780349</v>
      </c>
    </row>
    <row r="37" spans="1:7" x14ac:dyDescent="0.25">
      <c r="A37" s="11" t="s">
        <v>28</v>
      </c>
      <c r="B37" s="10"/>
      <c r="C37"/>
      <c r="D37"/>
      <c r="E37"/>
      <c r="F37"/>
      <c r="G37"/>
    </row>
    <row r="38" spans="1:7" x14ac:dyDescent="0.25">
      <c r="A38"/>
      <c r="B38" s="10"/>
      <c r="C38" s="19" t="s">
        <v>29</v>
      </c>
      <c r="D38" s="19"/>
      <c r="E38" s="19"/>
      <c r="F38" s="19"/>
      <c r="G38" s="19"/>
    </row>
    <row r="39" spans="1:7" x14ac:dyDescent="0.25">
      <c r="A39"/>
      <c r="B39" s="12">
        <f>B34</f>
        <v>47848.270080780349</v>
      </c>
      <c r="C39" s="13">
        <v>165000</v>
      </c>
      <c r="D39" s="13">
        <v>180000</v>
      </c>
      <c r="E39" s="13">
        <v>195000</v>
      </c>
      <c r="F39" s="13">
        <v>210000</v>
      </c>
      <c r="G39" s="13">
        <v>225000</v>
      </c>
    </row>
    <row r="40" spans="1:7" x14ac:dyDescent="0.25">
      <c r="A40"/>
      <c r="B40" s="17">
        <v>70000</v>
      </c>
      <c r="C40" s="14">
        <f t="dataTable" ref="C40:G44" dt2D="1" dtr="1" r1="C6" r2="B17"/>
        <v>57740.245389422314</v>
      </c>
      <c r="D40" s="14">
        <v>62794.257735101331</v>
      </c>
      <c r="E40" s="14">
        <v>67848.270080780349</v>
      </c>
      <c r="F40" s="14">
        <v>72902.282426459366</v>
      </c>
      <c r="G40" s="14">
        <v>77956.294772138383</v>
      </c>
    </row>
    <row r="41" spans="1:7" x14ac:dyDescent="0.25">
      <c r="A41"/>
      <c r="B41" s="17">
        <v>80000</v>
      </c>
      <c r="C41" s="14">
        <v>47740.245389422314</v>
      </c>
      <c r="D41" s="14">
        <v>52794.257735101331</v>
      </c>
      <c r="E41" s="14">
        <v>57848.270080780349</v>
      </c>
      <c r="F41" s="14">
        <v>62902.282426459366</v>
      </c>
      <c r="G41" s="14">
        <v>67956.294772138383</v>
      </c>
    </row>
    <row r="42" spans="1:7" x14ac:dyDescent="0.25">
      <c r="A42" s="15" t="s">
        <v>30</v>
      </c>
      <c r="B42" s="17">
        <v>90000</v>
      </c>
      <c r="C42" s="14">
        <v>37740.245389422314</v>
      </c>
      <c r="D42" s="14">
        <v>42794.257735101331</v>
      </c>
      <c r="E42" s="16">
        <v>47848.270080780349</v>
      </c>
      <c r="F42" s="14">
        <v>52902.282426459366</v>
      </c>
      <c r="G42" s="14">
        <v>57956.294772138383</v>
      </c>
    </row>
    <row r="43" spans="1:7" x14ac:dyDescent="0.25">
      <c r="A43"/>
      <c r="B43" s="17">
        <v>100000</v>
      </c>
      <c r="C43" s="14">
        <v>27740.245389422314</v>
      </c>
      <c r="D43" s="14">
        <v>32794.257735101331</v>
      </c>
      <c r="E43" s="14">
        <v>37848.270080780349</v>
      </c>
      <c r="F43" s="14">
        <v>42902.282426459366</v>
      </c>
      <c r="G43" s="14">
        <v>47956.294772138383</v>
      </c>
    </row>
    <row r="44" spans="1:7" x14ac:dyDescent="0.25">
      <c r="A44"/>
      <c r="B44" s="17">
        <v>110000</v>
      </c>
      <c r="C44" s="14">
        <v>17740.245389422314</v>
      </c>
      <c r="D44" s="14">
        <v>22794.257735101331</v>
      </c>
      <c r="E44" s="14">
        <v>27848.270080780349</v>
      </c>
      <c r="F44" s="14">
        <v>32902.282426459366</v>
      </c>
      <c r="G44" s="14">
        <v>37956.294772138383</v>
      </c>
    </row>
  </sheetData>
  <mergeCells count="2">
    <mergeCell ref="A1:E1"/>
    <mergeCell ref="C38:G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Solution</vt:lpstr>
      <vt:lpstr>Template (2)</vt:lpstr>
      <vt:lpstr>Solution (2)</vt:lpstr>
      <vt:lpstr>WWP Assumptions</vt:lpstr>
      <vt:lpstr>WWP Solution</vt:lpstr>
      <vt:lpstr>Solution (3)</vt:lpstr>
    </vt:vector>
  </TitlesOfParts>
  <Company>Washington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Morman, Brian</cp:lastModifiedBy>
  <cp:lastPrinted>2007-09-25T23:46:55Z</cp:lastPrinted>
  <dcterms:created xsi:type="dcterms:W3CDTF">2006-01-10T15:15:22Z</dcterms:created>
  <dcterms:modified xsi:type="dcterms:W3CDTF">2025-06-27T13:05:52Z</dcterms:modified>
</cp:coreProperties>
</file>