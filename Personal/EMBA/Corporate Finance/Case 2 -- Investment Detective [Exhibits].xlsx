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C:\Users\gz173f\Desktop\Git\dailyworkspace\Personal\EMBA\Corporate Finance\"/>
    </mc:Choice>
  </mc:AlternateContent>
  <xr:revisionPtr revIDLastSave="0" documentId="13_ncr:1_{EF08967F-D07D-43D6-8E6A-B5A2B6B9D73D}" xr6:coauthVersionLast="47" xr6:coauthVersionMax="47" xr10:uidLastSave="{00000000-0000-0000-0000-000000000000}"/>
  <bookViews>
    <workbookView xWindow="11424" yWindow="0" windowWidth="11712" windowHeight="12336" activeTab="1" xr2:uid="{00000000-000D-0000-FFFF-FFFF00000000}"/>
  </bookViews>
  <sheets>
    <sheet name="Title Page" sheetId="3" r:id="rId1"/>
    <sheet name="Exhibit 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4" i="2" l="1"/>
  <c r="Q24" i="2"/>
  <c r="O24" i="2"/>
  <c r="M24" i="2"/>
  <c r="K24" i="2"/>
  <c r="I24" i="2"/>
  <c r="G17" i="2"/>
  <c r="Q8" i="2"/>
  <c r="P8" i="2"/>
  <c r="O8" i="2"/>
  <c r="N8" i="2"/>
  <c r="M8" i="2"/>
  <c r="L8" i="2"/>
  <c r="K8" i="2"/>
  <c r="J8" i="2"/>
  <c r="I8" i="2"/>
  <c r="H8" i="2"/>
  <c r="G8" i="2"/>
  <c r="S15" i="2"/>
  <c r="S14" i="2"/>
  <c r="S13" i="2"/>
  <c r="S12" i="2"/>
  <c r="S11" i="2"/>
  <c r="S10" i="2"/>
  <c r="Q13" i="2"/>
  <c r="Q12" i="2"/>
  <c r="Q11" i="2"/>
  <c r="Q10" i="2"/>
  <c r="M23" i="2"/>
  <c r="M22" i="2"/>
  <c r="M21" i="2"/>
  <c r="M20" i="2"/>
  <c r="M19" i="2"/>
  <c r="M18" i="2"/>
  <c r="M17" i="2"/>
  <c r="M16" i="2"/>
  <c r="M15" i="2"/>
  <c r="M14" i="2"/>
  <c r="M13" i="2"/>
  <c r="M12" i="2"/>
  <c r="M11" i="2"/>
  <c r="M10" i="2"/>
  <c r="K23" i="2"/>
  <c r="K22" i="2"/>
  <c r="K21" i="2"/>
  <c r="K20" i="2"/>
  <c r="K19" i="2"/>
  <c r="K18" i="2"/>
  <c r="K17" i="2"/>
  <c r="K16" i="2"/>
  <c r="K15" i="2"/>
  <c r="K14" i="2"/>
  <c r="K13" i="2"/>
  <c r="K12" i="2"/>
  <c r="K11" i="2"/>
  <c r="K10" i="2"/>
  <c r="I23" i="2"/>
  <c r="G11" i="2"/>
  <c r="G10" i="2"/>
  <c r="E10" i="2"/>
  <c r="S9" i="2"/>
  <c r="Q9" i="2"/>
  <c r="O9" i="2"/>
  <c r="M9" i="2"/>
  <c r="K9" i="2"/>
  <c r="G9" i="2"/>
  <c r="E16" i="2"/>
  <c r="E15" i="2"/>
  <c r="E14" i="2"/>
  <c r="E13" i="2"/>
  <c r="E12" i="2"/>
  <c r="E11" i="2"/>
  <c r="E9" i="2"/>
  <c r="E8" i="2"/>
  <c r="R25" i="2"/>
  <c r="R8" i="2"/>
  <c r="P25" i="2"/>
  <c r="N25" i="2"/>
  <c r="L25" i="2"/>
  <c r="J25" i="2"/>
  <c r="H25" i="2"/>
  <c r="F25" i="2"/>
  <c r="F8" i="2"/>
  <c r="D25" i="2"/>
  <c r="D8" i="2"/>
  <c r="E17" i="2" l="1"/>
  <c r="D27" i="2"/>
  <c r="J27" i="2"/>
  <c r="P27" i="2"/>
  <c r="F27" i="2"/>
  <c r="N27" i="2"/>
  <c r="L27" i="2"/>
  <c r="R27" i="2"/>
  <c r="H27" i="2"/>
</calcChain>
</file>

<file path=xl/sharedStrings.xml><?xml version="1.0" encoding="utf-8"?>
<sst xmlns="http://schemas.openxmlformats.org/spreadsheetml/2006/main" count="24" uniqueCount="17">
  <si>
    <t>Exhibit 1</t>
  </si>
  <si>
    <t>The Investment Detective</t>
  </si>
  <si>
    <t>Project Free Cash Flows (in $ Thousands)</t>
  </si>
  <si>
    <t>Project Number</t>
  </si>
  <si>
    <t>Initial Investment</t>
  </si>
  <si>
    <t>Year   1</t>
  </si>
  <si>
    <t>Sum of Cash Flow Benefits</t>
  </si>
  <si>
    <t>Excess of Cash Flow</t>
  </si>
  <si>
    <t xml:space="preserve">   Over Initial Investment</t>
  </si>
  <si>
    <r>
      <rPr>
        <sz val="10"/>
        <color indexed="8"/>
        <rFont val="Times New Roman"/>
        <family val="1"/>
      </rPr>
      <t xml:space="preserve">This spreadsheet was prepared by Robert F. Bruner. Copyright © 1988 by the University of Virginia Darden School Foundation, Charlottesville, VA. All rights reserved.  </t>
    </r>
    <r>
      <rPr>
        <i/>
        <sz val="10"/>
        <color indexed="8"/>
        <rFont val="Times New Roman"/>
        <family val="1"/>
      </rPr>
      <t>For customer service inquiries, send an e-mail to</t>
    </r>
    <r>
      <rPr>
        <sz val="10"/>
        <color indexed="8"/>
        <rFont val="Times New Roman"/>
        <family val="1"/>
      </rPr>
      <t>sales@dardenbusinesspublishing.com</t>
    </r>
    <r>
      <rPr>
        <i/>
        <sz val="10"/>
        <color indexed="8"/>
        <rFont val="Times New Roman"/>
        <family val="1"/>
      </rPr>
      <t xml:space="preserve">. No part of this publication may be reproduced, stored in a retrieval system, posted to the Internet, or transmitted in any form or by any means—electronic, mechanical, photocopying, recording, or otherwise—without the permission of the Darden School Foundation.  </t>
    </r>
  </si>
  <si>
    <t>This spreadsheet supports STUDENT analysis of the case “The Investment Detective” (UVA-F-0813).</t>
  </si>
  <si>
    <t>Rev. Mar. 21, 2016</t>
  </si>
  <si>
    <t>1. Can you rank the projects simply by inspecting the cash flows and using the “Excess of
Cash Flow Over Initial Investment” number given in the MS Excel file? Why or why not?
[Note: You will not receive full credit unless you explain why or why not.]
2. What is the payback period for each project? Which project has the quickest payback
period? Which project has the longest payback period? If the company sets a payback
investment criterion of 6 years, which projects would it implement?
3. What is the NPV of each project? If you were deciding based solely on NPV, which four
projects would you choose? [Again, you should assume the firm’s cost of capital is 10%.
I.e., this is what you should be using for the discount rate. And remember, projects 7
and 8 are mutually exclusive, meaning the firm can only choose one of those two.]
4. What is the IRR for each project? Which project has the highest IRR?
5. What are the four best projects to accept, and importantly, why?</t>
  </si>
  <si>
    <t xml:space="preserve">Cost of Capital </t>
  </si>
  <si>
    <t xml:space="preserve">NPV </t>
  </si>
  <si>
    <t>PV</t>
  </si>
  <si>
    <t>SumPV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</si>
</sst>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5" formatCode="&quot;$&quot;#,##0_);\(&quot;$&quot;#,##0\)"/>
  </numFmts>
  <fonts count="14" x14ac:knownFonts="1">
    <font>
      <sz val="10"/>
      <name val="Arial"/>
    </font>
    <font>
      <sz val="11"/>
      <color theme="1"/>
      <name val="Calibri"/>
      <family val="2"/>
      <scheme val="minor"/>
    </font>
    <font>
      <sz val="10"/>
      <name val="Times New Roman"/>
      <family val="1"/>
    </font>
    <font>
      <b/>
      <sz val="14"/>
      <name val="Times New Roman"/>
      <family val="1"/>
    </font>
    <font>
      <b/>
      <sz val="12"/>
      <name val="Times New Roman"/>
      <family val="1"/>
    </font>
    <font>
      <b/>
      <sz val="10"/>
      <name val="Times New Roman"/>
      <family val="1"/>
    </font>
    <font>
      <b/>
      <u/>
      <sz val="12"/>
      <name val="Times New Roman"/>
      <family val="1"/>
    </font>
    <font>
      <sz val="12"/>
      <name val="Times New Roman"/>
      <family val="1"/>
    </font>
    <font>
      <sz val="10"/>
      <color theme="1"/>
      <name val="Arial"/>
      <family val="2"/>
    </font>
    <font>
      <sz val="10"/>
      <name val="Arial"/>
      <family val="2"/>
    </font>
    <font>
      <b/>
      <sz val="12"/>
      <name val="Arial"/>
      <family val="2"/>
    </font>
    <font>
      <i/>
      <sz val="10"/>
      <color indexed="8"/>
      <name val="Times New Roman"/>
      <family val="1"/>
    </font>
    <font>
      <sz val="10"/>
      <color indexed="8"/>
      <name val="Times New Roman"/>
      <family val="1"/>
    </font>
    <font>
      <sz val="8"/>
      <color theme="1"/>
      <name val="Times New Roman"/>
      <family val="1"/>
    </font>
  </fonts>
  <fills count="3">
    <fill>
      <patternFill patternType="none"/>
    </fill>
    <fill>
      <patternFill patternType="gray125"/>
    </fill>
    <fill>
      <patternFill patternType="solid">
        <fgColor rgb="FFF7903B"/>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0" fontId="9" fillId="0" borderId="0"/>
    <xf numFmtId="0" fontId="8" fillId="0" borderId="0"/>
  </cellStyleXfs>
  <cellXfs count="42">
    <xf numFmtId="0" fontId="0" fillId="0" borderId="0" xfId="0"/>
    <xf numFmtId="0" fontId="2" fillId="0" borderId="0" xfId="0" applyFont="1"/>
    <xf numFmtId="0" fontId="3" fillId="0" borderId="0" xfId="0" applyFont="1" applyAlignment="1">
      <alignment horizontal="left"/>
    </xf>
    <xf numFmtId="0" fontId="2" fillId="0" borderId="0" xfId="0" applyFont="1" applyAlignment="1">
      <alignment horizontal="centerContinuous"/>
    </xf>
    <xf numFmtId="0" fontId="4" fillId="0" borderId="0" xfId="0" applyFont="1" applyAlignment="1">
      <alignment horizontal="left"/>
    </xf>
    <xf numFmtId="0" fontId="5" fillId="0" borderId="1" xfId="0" applyFont="1" applyBorder="1" applyAlignment="1">
      <alignment horizontal="left"/>
    </xf>
    <xf numFmtId="0" fontId="5" fillId="0" borderId="2" xfId="0" applyFont="1" applyBorder="1" applyAlignment="1">
      <alignment horizontal="left"/>
    </xf>
    <xf numFmtId="0" fontId="6" fillId="0" borderId="2" xfId="0" applyFont="1" applyBorder="1" applyAlignment="1">
      <alignment horizontal="center"/>
    </xf>
    <xf numFmtId="0" fontId="6" fillId="0" borderId="3" xfId="0" applyFont="1" applyBorder="1" applyAlignment="1">
      <alignment horizontal="center"/>
    </xf>
    <xf numFmtId="0" fontId="2" fillId="0" borderId="4" xfId="0" applyFont="1" applyBorder="1"/>
    <xf numFmtId="0" fontId="2" fillId="0" borderId="5" xfId="0" applyFont="1" applyBorder="1"/>
    <xf numFmtId="0" fontId="5" fillId="0" borderId="4" xfId="0" applyFont="1" applyBorder="1" applyAlignment="1">
      <alignment horizontal="left"/>
    </xf>
    <xf numFmtId="0" fontId="5" fillId="0" borderId="0" xfId="0" applyFont="1" applyAlignment="1">
      <alignment horizontal="left"/>
    </xf>
    <xf numFmtId="5" fontId="2" fillId="0" borderId="0" xfId="0" applyNumberFormat="1" applyFont="1"/>
    <xf numFmtId="5" fontId="2" fillId="0" borderId="5" xfId="0" applyNumberFormat="1" applyFont="1" applyBorder="1"/>
    <xf numFmtId="0" fontId="5" fillId="0" borderId="4" xfId="0" applyFont="1" applyBorder="1" applyAlignment="1">
      <alignment horizontal="right"/>
    </xf>
    <xf numFmtId="0" fontId="5" fillId="0" borderId="0" xfId="0" applyFont="1" applyAlignment="1">
      <alignment horizontal="right"/>
    </xf>
    <xf numFmtId="37" fontId="2" fillId="0" borderId="0" xfId="0" applyNumberFormat="1" applyFont="1"/>
    <xf numFmtId="0" fontId="5" fillId="0" borderId="4" xfId="0" applyFont="1" applyBorder="1"/>
    <xf numFmtId="0" fontId="5" fillId="0" borderId="0" xfId="0" applyFont="1"/>
    <xf numFmtId="37" fontId="2" fillId="0" borderId="5" xfId="0" applyNumberFormat="1" applyFont="1" applyBorder="1"/>
    <xf numFmtId="0" fontId="2" fillId="0" borderId="0" xfId="0" applyFont="1" applyAlignment="1">
      <alignment horizontal="left"/>
    </xf>
    <xf numFmtId="0" fontId="2" fillId="0" borderId="6" xfId="0" applyFont="1" applyBorder="1"/>
    <xf numFmtId="0" fontId="2" fillId="0" borderId="7" xfId="0" applyFont="1" applyBorder="1"/>
    <xf numFmtId="0" fontId="2" fillId="0" borderId="8" xfId="0" applyFont="1" applyBorder="1"/>
    <xf numFmtId="0" fontId="1" fillId="0" borderId="0" xfId="1"/>
    <xf numFmtId="0" fontId="7" fillId="2" borderId="0" xfId="2" applyFont="1" applyFill="1" applyAlignment="1">
      <alignment horizontal="center" vertical="center" wrapText="1"/>
    </xf>
    <xf numFmtId="0" fontId="10" fillId="0" borderId="0" xfId="2" applyFont="1" applyAlignment="1">
      <alignment horizontal="center" vertical="center" wrapText="1"/>
    </xf>
    <xf numFmtId="49" fontId="13" fillId="0" borderId="0" xfId="1" applyNumberFormat="1" applyFont="1"/>
    <xf numFmtId="0" fontId="2" fillId="0" borderId="9" xfId="0" applyFont="1" applyBorder="1"/>
    <xf numFmtId="9" fontId="2" fillId="0" borderId="10" xfId="0" applyNumberFormat="1" applyFont="1" applyBorder="1"/>
    <xf numFmtId="0" fontId="2" fillId="0" borderId="11" xfId="0" applyFont="1" applyBorder="1"/>
    <xf numFmtId="0" fontId="11" fillId="0" borderId="0" xfId="3" applyFont="1" applyAlignment="1">
      <alignment horizontal="justify" vertical="top" wrapText="1"/>
    </xf>
    <xf numFmtId="0" fontId="8" fillId="0" borderId="0" xfId="3" applyAlignment="1">
      <alignment wrapText="1"/>
    </xf>
    <xf numFmtId="0" fontId="2" fillId="0" borderId="0" xfId="0" applyFont="1" applyAlignment="1">
      <alignment horizontal="center" wrapText="1"/>
    </xf>
    <xf numFmtId="0" fontId="2" fillId="0" borderId="0" xfId="0" applyFont="1" applyAlignment="1">
      <alignment horizontal="center"/>
    </xf>
    <xf numFmtId="0" fontId="6" fillId="0" borderId="0" xfId="0" applyFont="1" applyBorder="1" applyAlignment="1">
      <alignment horizontal="center"/>
    </xf>
    <xf numFmtId="0" fontId="2" fillId="0" borderId="0" xfId="0" applyFont="1" applyBorder="1"/>
    <xf numFmtId="5" fontId="2" fillId="0" borderId="0" xfId="0" applyNumberFormat="1" applyFont="1" applyBorder="1"/>
    <xf numFmtId="37" fontId="2" fillId="0" borderId="0" xfId="0" applyNumberFormat="1" applyFont="1" applyBorder="1"/>
    <xf numFmtId="39" fontId="2" fillId="0" borderId="0" xfId="0" applyNumberFormat="1" applyFont="1"/>
    <xf numFmtId="39" fontId="2" fillId="0" borderId="5" xfId="0" applyNumberFormat="1" applyFont="1" applyBorder="1"/>
  </cellXfs>
  <cellStyles count="4">
    <cellStyle name="Normal" xfId="0" builtinId="0"/>
    <cellStyle name="Normal 2" xfId="1" xr:uid="{00000000-0005-0000-0000-000001000000}"/>
    <cellStyle name="Normal 2 2" xfId="2" xr:uid="{00000000-0005-0000-0000-000002000000}"/>
    <cellStyle name="Normal 3" xfId="3" xr:uid="{00000000-0005-0000-0000-000003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104775</xdr:colOff>
      <xdr:row>1</xdr:row>
      <xdr:rowOff>85725</xdr:rowOff>
    </xdr:from>
    <xdr:ext cx="1377696" cy="64008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276225"/>
          <a:ext cx="1377696" cy="64008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5"/>
  <sheetViews>
    <sheetView workbookViewId="0"/>
  </sheetViews>
  <sheetFormatPr defaultColWidth="9.109375" defaultRowHeight="14.4" x14ac:dyDescent="0.3"/>
  <cols>
    <col min="1" max="1" width="23.44140625" style="25" customWidth="1"/>
    <col min="2" max="2" width="100.33203125" style="25" customWidth="1"/>
    <col min="3" max="16384" width="9.109375" style="25"/>
  </cols>
  <sheetData>
    <row r="2" spans="1:2" ht="65.25" customHeight="1" x14ac:dyDescent="0.3">
      <c r="B2" s="26" t="s">
        <v>10</v>
      </c>
    </row>
    <row r="3" spans="1:2" ht="13.5" customHeight="1" x14ac:dyDescent="0.3">
      <c r="A3" s="27"/>
      <c r="B3" s="27"/>
    </row>
    <row r="4" spans="1:2" ht="54" customHeight="1" x14ac:dyDescent="0.3">
      <c r="A4" s="32" t="s">
        <v>9</v>
      </c>
      <c r="B4" s="33"/>
    </row>
    <row r="5" spans="1:2" x14ac:dyDescent="0.3">
      <c r="A5" s="28" t="s">
        <v>11</v>
      </c>
    </row>
  </sheetData>
  <mergeCells count="1">
    <mergeCell ref="A4:B4"/>
  </mergeCells>
  <pageMargins left="0.7" right="0.7" top="0.75" bottom="0.75" header="0.3" footer="0.3"/>
  <pageSetup scale="8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AC31"/>
  <sheetViews>
    <sheetView showGridLines="0" tabSelected="1" topLeftCell="I4" workbookViewId="0">
      <selection activeCell="S24" sqref="S24"/>
    </sheetView>
  </sheetViews>
  <sheetFormatPr defaultColWidth="9.109375" defaultRowHeight="13.2" x14ac:dyDescent="0.25"/>
  <cols>
    <col min="1" max="2" width="9.109375" style="1"/>
    <col min="3" max="3" width="16.44140625" style="1" customWidth="1"/>
    <col min="4" max="20" width="9.109375" style="1"/>
    <col min="21" max="21" width="12.88671875" style="1" bestFit="1" customWidth="1"/>
    <col min="22" max="16384" width="9.109375" style="1"/>
  </cols>
  <sheetData>
    <row r="2" spans="2:29" ht="17.399999999999999" x14ac:dyDescent="0.3">
      <c r="B2" s="2" t="s">
        <v>0</v>
      </c>
      <c r="C2" s="2"/>
      <c r="D2" s="3"/>
      <c r="E2" s="3"/>
      <c r="F2" s="3"/>
      <c r="G2" s="3"/>
      <c r="H2" s="3"/>
      <c r="I2" s="3"/>
      <c r="J2" s="3"/>
      <c r="K2" s="3"/>
      <c r="L2" s="3"/>
      <c r="M2" s="3"/>
      <c r="N2" s="3"/>
      <c r="O2" s="3"/>
      <c r="P2" s="3"/>
      <c r="Q2" s="3"/>
      <c r="R2" s="3"/>
      <c r="S2" s="3"/>
    </row>
    <row r="3" spans="2:29" ht="15.6" x14ac:dyDescent="0.3">
      <c r="B3" s="4" t="s">
        <v>1</v>
      </c>
      <c r="C3" s="4"/>
      <c r="D3" s="3"/>
      <c r="E3" s="3"/>
      <c r="F3" s="3"/>
      <c r="G3" s="3"/>
      <c r="H3" s="3"/>
      <c r="I3" s="3"/>
      <c r="J3" s="3"/>
      <c r="K3" s="3"/>
      <c r="L3" s="3"/>
      <c r="M3" s="3"/>
      <c r="N3" s="3"/>
      <c r="O3" s="3"/>
      <c r="P3" s="3"/>
      <c r="Q3" s="3"/>
      <c r="R3" s="3"/>
      <c r="S3" s="3"/>
      <c r="U3" s="29" t="s">
        <v>13</v>
      </c>
      <c r="V3" s="30">
        <v>0.1</v>
      </c>
      <c r="W3" s="31"/>
    </row>
    <row r="4" spans="2:29" ht="15.6" x14ac:dyDescent="0.3">
      <c r="B4" s="4" t="s">
        <v>2</v>
      </c>
      <c r="C4" s="4"/>
      <c r="D4" s="3"/>
      <c r="E4" s="3"/>
      <c r="F4" s="3"/>
      <c r="G4" s="3"/>
      <c r="H4" s="3"/>
      <c r="I4" s="3"/>
      <c r="J4" s="3"/>
      <c r="K4" s="3"/>
      <c r="L4" s="3"/>
      <c r="M4" s="3"/>
      <c r="N4" s="3"/>
      <c r="O4" s="3"/>
      <c r="P4" s="3"/>
      <c r="Q4" s="3"/>
      <c r="R4" s="3"/>
      <c r="S4" s="3"/>
    </row>
    <row r="5" spans="2:29" ht="13.8" thickBot="1" x14ac:dyDescent="0.3">
      <c r="U5" s="34" t="s">
        <v>12</v>
      </c>
      <c r="V5" s="35"/>
      <c r="W5" s="35"/>
      <c r="X5" s="35"/>
      <c r="Y5" s="35"/>
      <c r="Z5" s="35"/>
      <c r="AA5" s="35"/>
      <c r="AB5" s="35"/>
      <c r="AC5" s="35"/>
    </row>
    <row r="6" spans="2:29" ht="15.6" x14ac:dyDescent="0.3">
      <c r="B6" s="5" t="s">
        <v>3</v>
      </c>
      <c r="C6" s="6"/>
      <c r="D6" s="7">
        <v>1</v>
      </c>
      <c r="E6" s="7"/>
      <c r="F6" s="7">
        <v>2</v>
      </c>
      <c r="G6" s="7"/>
      <c r="H6" s="7">
        <v>3</v>
      </c>
      <c r="I6" s="7"/>
      <c r="J6" s="7">
        <v>4</v>
      </c>
      <c r="K6" s="7"/>
      <c r="L6" s="7">
        <v>5</v>
      </c>
      <c r="M6" s="7"/>
      <c r="N6" s="7">
        <v>6</v>
      </c>
      <c r="O6" s="7"/>
      <c r="P6" s="7">
        <v>7</v>
      </c>
      <c r="Q6" s="7"/>
      <c r="R6" s="8">
        <v>8</v>
      </c>
      <c r="S6" s="36"/>
      <c r="U6" s="35"/>
      <c r="V6" s="35"/>
      <c r="W6" s="35"/>
      <c r="X6" s="35"/>
      <c r="Y6" s="35"/>
      <c r="Z6" s="35"/>
      <c r="AA6" s="35"/>
      <c r="AB6" s="35"/>
      <c r="AC6" s="35"/>
    </row>
    <row r="7" spans="2:29" x14ac:dyDescent="0.25">
      <c r="B7" s="9"/>
      <c r="E7" s="1" t="s">
        <v>15</v>
      </c>
      <c r="R7" s="10"/>
      <c r="S7" s="37"/>
      <c r="U7" s="35"/>
      <c r="V7" s="35"/>
      <c r="W7" s="35"/>
      <c r="X7" s="35"/>
      <c r="Y7" s="35"/>
      <c r="Z7" s="35"/>
      <c r="AA7" s="35"/>
      <c r="AB7" s="35"/>
      <c r="AC7" s="35"/>
    </row>
    <row r="8" spans="2:29" x14ac:dyDescent="0.25">
      <c r="B8" s="11" t="s">
        <v>4</v>
      </c>
      <c r="C8" s="12"/>
      <c r="D8" s="40">
        <f t="shared" ref="D8:R8" si="0">2000*(-1)</f>
        <v>-2000</v>
      </c>
      <c r="E8" s="40">
        <f>D8</f>
        <v>-2000</v>
      </c>
      <c r="F8" s="40">
        <f t="shared" si="0"/>
        <v>-2000</v>
      </c>
      <c r="G8" s="40">
        <f t="shared" si="0"/>
        <v>-2000</v>
      </c>
      <c r="H8" s="40">
        <f t="shared" si="0"/>
        <v>-2000</v>
      </c>
      <c r="I8" s="40">
        <f t="shared" si="0"/>
        <v>-2000</v>
      </c>
      <c r="J8" s="40">
        <f t="shared" si="0"/>
        <v>-2000</v>
      </c>
      <c r="K8" s="40">
        <f t="shared" si="0"/>
        <v>-2000</v>
      </c>
      <c r="L8" s="40">
        <f t="shared" si="0"/>
        <v>-2000</v>
      </c>
      <c r="M8" s="40">
        <f t="shared" si="0"/>
        <v>-2000</v>
      </c>
      <c r="N8" s="40">
        <f t="shared" si="0"/>
        <v>-2000</v>
      </c>
      <c r="O8" s="40">
        <f t="shared" si="0"/>
        <v>-2000</v>
      </c>
      <c r="P8" s="40">
        <f t="shared" si="0"/>
        <v>-2000</v>
      </c>
      <c r="Q8" s="40">
        <f t="shared" si="0"/>
        <v>-2000</v>
      </c>
      <c r="R8" s="41">
        <f t="shared" si="0"/>
        <v>-2000</v>
      </c>
      <c r="S8" s="38"/>
      <c r="U8" s="35"/>
      <c r="V8" s="35"/>
      <c r="W8" s="35"/>
      <c r="X8" s="35"/>
      <c r="Y8" s="35"/>
      <c r="Z8" s="35"/>
      <c r="AA8" s="35"/>
      <c r="AB8" s="35"/>
      <c r="AC8" s="35"/>
    </row>
    <row r="9" spans="2:29" x14ac:dyDescent="0.25">
      <c r="B9" s="15" t="s">
        <v>5</v>
      </c>
      <c r="C9" s="16"/>
      <c r="D9" s="40">
        <v>330</v>
      </c>
      <c r="E9" s="40">
        <f>D9/(1.1^1)</f>
        <v>300</v>
      </c>
      <c r="F9" s="40">
        <v>1666</v>
      </c>
      <c r="G9" s="40">
        <f>F9/(1.1^1)</f>
        <v>1514.5454545454545</v>
      </c>
      <c r="H9" s="40"/>
      <c r="I9" s="40"/>
      <c r="J9" s="40">
        <v>160</v>
      </c>
      <c r="K9" s="40">
        <f>J9/(1.1^1)</f>
        <v>145.45454545454544</v>
      </c>
      <c r="L9" s="40">
        <v>280</v>
      </c>
      <c r="M9" s="40">
        <f>L9/(1.1^1)</f>
        <v>254.54545454545453</v>
      </c>
      <c r="N9" s="40">
        <v>2200</v>
      </c>
      <c r="O9" s="40">
        <f>N9/(1.1^1)</f>
        <v>1999.9999999999998</v>
      </c>
      <c r="P9" s="40">
        <v>1200</v>
      </c>
      <c r="Q9" s="40">
        <f>P9/(1.1^1)</f>
        <v>1090.9090909090908</v>
      </c>
      <c r="R9" s="41">
        <v>-350</v>
      </c>
      <c r="S9" s="40">
        <f>R9/(1.1^1)</f>
        <v>-318.18181818181813</v>
      </c>
      <c r="U9" s="35"/>
      <c r="V9" s="35"/>
      <c r="W9" s="35"/>
      <c r="X9" s="35"/>
      <c r="Y9" s="35"/>
      <c r="Z9" s="35"/>
      <c r="AA9" s="35"/>
      <c r="AB9" s="35"/>
      <c r="AC9" s="35"/>
    </row>
    <row r="10" spans="2:29" x14ac:dyDescent="0.25">
      <c r="B10" s="18">
        <v>2</v>
      </c>
      <c r="C10" s="19"/>
      <c r="D10" s="40">
        <v>330</v>
      </c>
      <c r="E10" s="40">
        <f>D10/(1.1^$B10)</f>
        <v>272.72727272727269</v>
      </c>
      <c r="F10" s="40">
        <v>334</v>
      </c>
      <c r="G10" s="40">
        <f>F10/(1.1^$B10)</f>
        <v>276.03305785123962</v>
      </c>
      <c r="H10" s="40"/>
      <c r="I10" s="40"/>
      <c r="J10" s="40">
        <v>200</v>
      </c>
      <c r="K10" s="40">
        <f t="shared" ref="K10:K23" si="1">J10/(1.1^$B10)</f>
        <v>165.28925619834709</v>
      </c>
      <c r="L10" s="40">
        <v>280</v>
      </c>
      <c r="M10" s="40">
        <f t="shared" ref="M10:M23" si="2">L10/(1.1^$B10)</f>
        <v>231.40495867768593</v>
      </c>
      <c r="N10" s="40"/>
      <c r="O10" s="40"/>
      <c r="P10" s="40">
        <v>900</v>
      </c>
      <c r="Q10" s="40">
        <f t="shared" ref="Q10:Q13" si="3">P10/(1.1^$B10)</f>
        <v>743.80165289256183</v>
      </c>
      <c r="R10" s="41">
        <v>-60</v>
      </c>
      <c r="S10" s="40">
        <f t="shared" ref="S10:S15" si="4">R10/(1.1^$B10)</f>
        <v>-49.586776859504127</v>
      </c>
      <c r="U10" s="35"/>
      <c r="V10" s="35"/>
      <c r="W10" s="35"/>
      <c r="X10" s="35"/>
      <c r="Y10" s="35"/>
      <c r="Z10" s="35"/>
      <c r="AA10" s="35"/>
      <c r="AB10" s="35"/>
      <c r="AC10" s="35"/>
    </row>
    <row r="11" spans="2:29" x14ac:dyDescent="0.25">
      <c r="B11" s="18">
        <v>3</v>
      </c>
      <c r="C11" s="19"/>
      <c r="D11" s="40">
        <v>330</v>
      </c>
      <c r="E11" s="40">
        <f t="shared" ref="E11:E16" si="5">D11/(1.1^B11)</f>
        <v>247.93388429752059</v>
      </c>
      <c r="F11" s="40">
        <v>165</v>
      </c>
      <c r="G11" s="40">
        <f>F11/(1.1^$B11)</f>
        <v>123.9669421487603</v>
      </c>
      <c r="H11" s="40"/>
      <c r="I11" s="40"/>
      <c r="J11" s="40">
        <v>350</v>
      </c>
      <c r="K11" s="40">
        <f t="shared" si="1"/>
        <v>262.96018031555212</v>
      </c>
      <c r="L11" s="40">
        <v>280</v>
      </c>
      <c r="M11" s="40">
        <f t="shared" si="2"/>
        <v>210.36814425244171</v>
      </c>
      <c r="N11" s="40"/>
      <c r="O11" s="40"/>
      <c r="P11" s="40">
        <v>300</v>
      </c>
      <c r="Q11" s="40">
        <f t="shared" si="3"/>
        <v>225.39444027047327</v>
      </c>
      <c r="R11" s="41">
        <v>60</v>
      </c>
      <c r="S11" s="40">
        <f t="shared" si="4"/>
        <v>45.078888054094655</v>
      </c>
      <c r="U11" s="35"/>
      <c r="V11" s="35"/>
      <c r="W11" s="35"/>
      <c r="X11" s="35"/>
      <c r="Y11" s="35"/>
      <c r="Z11" s="35"/>
      <c r="AA11" s="35"/>
      <c r="AB11" s="35"/>
      <c r="AC11" s="35"/>
    </row>
    <row r="12" spans="2:29" x14ac:dyDescent="0.25">
      <c r="B12" s="18">
        <v>4</v>
      </c>
      <c r="C12" s="19"/>
      <c r="D12" s="40">
        <v>330</v>
      </c>
      <c r="E12" s="40">
        <f t="shared" si="5"/>
        <v>225.39444027047327</v>
      </c>
      <c r="F12" s="40"/>
      <c r="G12" s="40"/>
      <c r="H12" s="40"/>
      <c r="I12" s="40"/>
      <c r="J12" s="40">
        <v>395</v>
      </c>
      <c r="K12" s="40">
        <f t="shared" si="1"/>
        <v>269.79031486920286</v>
      </c>
      <c r="L12" s="40">
        <v>280</v>
      </c>
      <c r="M12" s="40">
        <f t="shared" si="2"/>
        <v>191.24376750221975</v>
      </c>
      <c r="N12" s="40"/>
      <c r="O12" s="40"/>
      <c r="P12" s="40">
        <v>90</v>
      </c>
      <c r="Q12" s="40">
        <f t="shared" si="3"/>
        <v>61.471210982856348</v>
      </c>
      <c r="R12" s="41">
        <v>350</v>
      </c>
      <c r="S12" s="40">
        <f t="shared" si="4"/>
        <v>239.05470937777469</v>
      </c>
      <c r="U12" s="35"/>
      <c r="V12" s="35"/>
      <c r="W12" s="35"/>
      <c r="X12" s="35"/>
      <c r="Y12" s="35"/>
      <c r="Z12" s="35"/>
      <c r="AA12" s="35"/>
      <c r="AB12" s="35"/>
      <c r="AC12" s="35"/>
    </row>
    <row r="13" spans="2:29" x14ac:dyDescent="0.25">
      <c r="B13" s="18">
        <v>5</v>
      </c>
      <c r="C13" s="19"/>
      <c r="D13" s="40">
        <v>330</v>
      </c>
      <c r="E13" s="40">
        <f t="shared" si="5"/>
        <v>204.90403660952114</v>
      </c>
      <c r="F13" s="40"/>
      <c r="G13" s="40"/>
      <c r="H13" s="40"/>
      <c r="I13" s="40"/>
      <c r="J13" s="40">
        <v>432</v>
      </c>
      <c r="K13" s="40">
        <f t="shared" si="1"/>
        <v>268.23801156155497</v>
      </c>
      <c r="L13" s="40">
        <v>280</v>
      </c>
      <c r="M13" s="40">
        <f t="shared" si="2"/>
        <v>173.85797045656338</v>
      </c>
      <c r="N13" s="40"/>
      <c r="O13" s="40"/>
      <c r="P13" s="40">
        <v>70</v>
      </c>
      <c r="Q13" s="40">
        <f t="shared" si="3"/>
        <v>43.464492614140845</v>
      </c>
      <c r="R13" s="41">
        <v>700</v>
      </c>
      <c r="S13" s="40">
        <f t="shared" si="4"/>
        <v>434.64492614140846</v>
      </c>
      <c r="U13" s="35"/>
      <c r="V13" s="35"/>
      <c r="W13" s="35"/>
      <c r="X13" s="35"/>
      <c r="Y13" s="35"/>
      <c r="Z13" s="35"/>
      <c r="AA13" s="35"/>
      <c r="AB13" s="35"/>
      <c r="AC13" s="35"/>
    </row>
    <row r="14" spans="2:29" x14ac:dyDescent="0.25">
      <c r="B14" s="18">
        <v>6</v>
      </c>
      <c r="C14" s="19"/>
      <c r="D14" s="40">
        <v>330</v>
      </c>
      <c r="E14" s="40">
        <f t="shared" si="5"/>
        <v>186.27639691774647</v>
      </c>
      <c r="F14" s="40"/>
      <c r="G14" s="40"/>
      <c r="H14" s="40"/>
      <c r="I14" s="40"/>
      <c r="J14" s="40">
        <v>440</v>
      </c>
      <c r="K14" s="40">
        <f t="shared" si="1"/>
        <v>248.36852922366197</v>
      </c>
      <c r="L14" s="40">
        <v>280</v>
      </c>
      <c r="M14" s="40">
        <f t="shared" si="2"/>
        <v>158.05270041505761</v>
      </c>
      <c r="N14" s="40"/>
      <c r="O14" s="40"/>
      <c r="P14" s="40"/>
      <c r="Q14" s="40"/>
      <c r="R14" s="41">
        <v>1200</v>
      </c>
      <c r="S14" s="40">
        <f t="shared" si="4"/>
        <v>677.36871606453258</v>
      </c>
      <c r="U14" s="35"/>
      <c r="V14" s="35"/>
      <c r="W14" s="35"/>
      <c r="X14" s="35"/>
      <c r="Y14" s="35"/>
      <c r="Z14" s="35"/>
      <c r="AA14" s="35"/>
      <c r="AB14" s="35"/>
      <c r="AC14" s="35"/>
    </row>
    <row r="15" spans="2:29" x14ac:dyDescent="0.25">
      <c r="B15" s="18">
        <v>7</v>
      </c>
      <c r="C15" s="19"/>
      <c r="D15" s="40">
        <v>330</v>
      </c>
      <c r="E15" s="40">
        <f t="shared" si="5"/>
        <v>169.34217901613312</v>
      </c>
      <c r="F15" s="40"/>
      <c r="G15" s="40"/>
      <c r="H15" s="40"/>
      <c r="I15" s="40"/>
      <c r="J15" s="40">
        <v>442</v>
      </c>
      <c r="K15" s="40">
        <f t="shared" si="1"/>
        <v>226.81588825797223</v>
      </c>
      <c r="L15" s="40">
        <v>280</v>
      </c>
      <c r="M15" s="40">
        <f t="shared" si="2"/>
        <v>143.68427310459779</v>
      </c>
      <c r="N15" s="40"/>
      <c r="O15" s="40"/>
      <c r="P15" s="40"/>
      <c r="Q15" s="40"/>
      <c r="R15" s="41">
        <v>2250</v>
      </c>
      <c r="S15" s="40">
        <f t="shared" si="4"/>
        <v>1154.6057660190895</v>
      </c>
      <c r="U15" s="35"/>
      <c r="V15" s="35"/>
      <c r="W15" s="35"/>
      <c r="X15" s="35"/>
      <c r="Y15" s="35"/>
      <c r="Z15" s="35"/>
      <c r="AA15" s="35"/>
      <c r="AB15" s="35"/>
      <c r="AC15" s="35"/>
    </row>
    <row r="16" spans="2:29" x14ac:dyDescent="0.25">
      <c r="B16" s="18">
        <v>8</v>
      </c>
      <c r="C16" s="19"/>
      <c r="D16" s="40">
        <v>1000</v>
      </c>
      <c r="E16" s="40">
        <f t="shared" si="5"/>
        <v>466.50738020973318</v>
      </c>
      <c r="F16" s="40"/>
      <c r="G16" s="40"/>
      <c r="H16" s="40"/>
      <c r="I16" s="40"/>
      <c r="J16" s="40">
        <v>444</v>
      </c>
      <c r="K16" s="40">
        <f t="shared" si="1"/>
        <v>207.12927681312152</v>
      </c>
      <c r="L16" s="40">
        <v>280</v>
      </c>
      <c r="M16" s="40">
        <f t="shared" si="2"/>
        <v>130.6220664587253</v>
      </c>
      <c r="N16" s="40"/>
      <c r="O16" s="40"/>
      <c r="P16" s="40"/>
      <c r="Q16" s="40"/>
      <c r="R16" s="41"/>
      <c r="S16" s="39"/>
      <c r="U16" s="35"/>
      <c r="V16" s="35"/>
      <c r="W16" s="35"/>
      <c r="X16" s="35"/>
      <c r="Y16" s="35"/>
      <c r="Z16" s="35"/>
      <c r="AA16" s="35"/>
      <c r="AB16" s="35"/>
      <c r="AC16" s="35"/>
    </row>
    <row r="17" spans="2:29" x14ac:dyDescent="0.25">
      <c r="B17" s="18">
        <v>9</v>
      </c>
      <c r="C17" s="19"/>
      <c r="D17" s="17" t="s">
        <v>16</v>
      </c>
      <c r="E17" s="40">
        <f>SUM(E8:E16)</f>
        <v>73.085590048400604</v>
      </c>
      <c r="F17" s="17" t="s">
        <v>16</v>
      </c>
      <c r="G17" s="17">
        <f>SUM(G8:G11)</f>
        <v>-85.454545454545581</v>
      </c>
      <c r="H17" s="17"/>
      <c r="I17" s="17"/>
      <c r="J17" s="17">
        <v>446</v>
      </c>
      <c r="K17" s="40">
        <f t="shared" si="1"/>
        <v>189.14753779412817</v>
      </c>
      <c r="L17" s="17">
        <v>280</v>
      </c>
      <c r="M17" s="40">
        <f t="shared" si="2"/>
        <v>118.74733314429571</v>
      </c>
      <c r="N17" s="17"/>
      <c r="O17" s="17"/>
      <c r="P17" s="17"/>
      <c r="Q17" s="17"/>
      <c r="R17" s="20"/>
      <c r="S17" s="39"/>
      <c r="U17" s="35"/>
      <c r="V17" s="35"/>
      <c r="W17" s="35"/>
      <c r="X17" s="35"/>
      <c r="Y17" s="35"/>
      <c r="Z17" s="35"/>
      <c r="AA17" s="35"/>
      <c r="AB17" s="35"/>
      <c r="AC17" s="35"/>
    </row>
    <row r="18" spans="2:29" x14ac:dyDescent="0.25">
      <c r="B18" s="18">
        <v>10</v>
      </c>
      <c r="C18" s="19"/>
      <c r="D18" s="17"/>
      <c r="E18" s="17"/>
      <c r="F18" s="17"/>
      <c r="G18" s="17"/>
      <c r="H18" s="17"/>
      <c r="I18" s="17"/>
      <c r="J18" s="17">
        <v>448</v>
      </c>
      <c r="K18" s="40">
        <f t="shared" si="1"/>
        <v>172.72339366443009</v>
      </c>
      <c r="L18" s="17">
        <v>280</v>
      </c>
      <c r="M18" s="40">
        <f t="shared" si="2"/>
        <v>107.95212104026881</v>
      </c>
      <c r="N18" s="17"/>
      <c r="O18" s="17"/>
      <c r="P18" s="17"/>
      <c r="Q18" s="17"/>
      <c r="R18" s="20"/>
      <c r="S18" s="39"/>
      <c r="U18" s="35"/>
      <c r="V18" s="35"/>
      <c r="W18" s="35"/>
      <c r="X18" s="35"/>
      <c r="Y18" s="35"/>
      <c r="Z18" s="35"/>
      <c r="AA18" s="35"/>
      <c r="AB18" s="35"/>
      <c r="AC18" s="35"/>
    </row>
    <row r="19" spans="2:29" x14ac:dyDescent="0.25">
      <c r="B19" s="18">
        <v>11</v>
      </c>
      <c r="C19" s="19"/>
      <c r="D19" s="17"/>
      <c r="E19" s="17"/>
      <c r="F19" s="17"/>
      <c r="G19" s="17"/>
      <c r="H19" s="17"/>
      <c r="I19" s="17"/>
      <c r="J19" s="17">
        <v>450</v>
      </c>
      <c r="K19" s="40">
        <f t="shared" si="1"/>
        <v>157.72225476662649</v>
      </c>
      <c r="L19" s="17">
        <v>280</v>
      </c>
      <c r="M19" s="40">
        <f t="shared" si="2"/>
        <v>98.138291854789813</v>
      </c>
      <c r="N19" s="17"/>
      <c r="O19" s="17"/>
      <c r="P19" s="17"/>
      <c r="Q19" s="17"/>
      <c r="R19" s="20"/>
      <c r="S19" s="39"/>
      <c r="U19" s="35"/>
      <c r="V19" s="35"/>
      <c r="W19" s="35"/>
      <c r="X19" s="35"/>
      <c r="Y19" s="35"/>
      <c r="Z19" s="35"/>
      <c r="AA19" s="35"/>
      <c r="AB19" s="35"/>
      <c r="AC19" s="35"/>
    </row>
    <row r="20" spans="2:29" x14ac:dyDescent="0.25">
      <c r="B20" s="18">
        <v>12</v>
      </c>
      <c r="C20" s="19"/>
      <c r="D20" s="17"/>
      <c r="E20" s="17"/>
      <c r="F20" s="17"/>
      <c r="G20" s="17"/>
      <c r="H20" s="17"/>
      <c r="I20" s="17"/>
      <c r="J20" s="17">
        <v>451</v>
      </c>
      <c r="K20" s="40">
        <f t="shared" si="1"/>
        <v>143.70249878737081</v>
      </c>
      <c r="L20" s="17">
        <v>280</v>
      </c>
      <c r="M20" s="40">
        <f t="shared" si="2"/>
        <v>89.216628958899832</v>
      </c>
      <c r="N20" s="17"/>
      <c r="O20" s="17"/>
      <c r="P20" s="17"/>
      <c r="Q20" s="17"/>
      <c r="R20" s="20"/>
      <c r="S20" s="39"/>
      <c r="U20" s="35"/>
      <c r="V20" s="35"/>
      <c r="W20" s="35"/>
      <c r="X20" s="35"/>
      <c r="Y20" s="35"/>
      <c r="Z20" s="35"/>
      <c r="AA20" s="35"/>
      <c r="AB20" s="35"/>
      <c r="AC20" s="35"/>
    </row>
    <row r="21" spans="2:29" x14ac:dyDescent="0.25">
      <c r="B21" s="18">
        <v>13</v>
      </c>
      <c r="C21" s="19"/>
      <c r="D21" s="17"/>
      <c r="E21" s="17"/>
      <c r="F21" s="17"/>
      <c r="G21" s="17"/>
      <c r="H21" s="17"/>
      <c r="I21" s="17"/>
      <c r="J21" s="17">
        <v>451</v>
      </c>
      <c r="K21" s="40">
        <f t="shared" si="1"/>
        <v>130.63863526124618</v>
      </c>
      <c r="L21" s="17">
        <v>280</v>
      </c>
      <c r="M21" s="40">
        <f t="shared" si="2"/>
        <v>81.10602632627257</v>
      </c>
      <c r="N21" s="17"/>
      <c r="O21" s="17"/>
      <c r="P21" s="17"/>
      <c r="Q21" s="17"/>
      <c r="R21" s="20"/>
      <c r="S21" s="39"/>
      <c r="U21" s="35"/>
      <c r="V21" s="35"/>
      <c r="W21" s="35"/>
      <c r="X21" s="35"/>
      <c r="Y21" s="35"/>
      <c r="Z21" s="35"/>
      <c r="AA21" s="35"/>
      <c r="AB21" s="35"/>
      <c r="AC21" s="35"/>
    </row>
    <row r="22" spans="2:29" x14ac:dyDescent="0.25">
      <c r="B22" s="18">
        <v>14</v>
      </c>
      <c r="C22" s="19"/>
      <c r="D22" s="17"/>
      <c r="E22" s="17"/>
      <c r="F22" s="17"/>
      <c r="G22" s="17"/>
      <c r="H22" s="17"/>
      <c r="I22" s="17"/>
      <c r="J22" s="17">
        <v>452</v>
      </c>
      <c r="K22" s="40">
        <f t="shared" si="1"/>
        <v>119.02572694634804</v>
      </c>
      <c r="L22" s="17">
        <v>280</v>
      </c>
      <c r="M22" s="40">
        <f t="shared" si="2"/>
        <v>73.732751205702328</v>
      </c>
      <c r="N22" s="17"/>
      <c r="O22" s="17"/>
      <c r="P22" s="17"/>
      <c r="Q22" s="17"/>
      <c r="R22" s="20"/>
      <c r="S22" s="39"/>
      <c r="U22" s="35"/>
      <c r="V22" s="35"/>
      <c r="W22" s="35"/>
      <c r="X22" s="35"/>
      <c r="Y22" s="35"/>
      <c r="Z22" s="35"/>
      <c r="AA22" s="35"/>
      <c r="AB22" s="35"/>
      <c r="AC22" s="35"/>
    </row>
    <row r="23" spans="2:29" x14ac:dyDescent="0.25">
      <c r="B23" s="18">
        <v>15</v>
      </c>
      <c r="C23" s="19"/>
      <c r="D23" s="17"/>
      <c r="E23" s="17"/>
      <c r="F23" s="17"/>
      <c r="G23" s="17"/>
      <c r="H23" s="17">
        <v>10000</v>
      </c>
      <c r="I23" s="40">
        <f>H23/(1.1^$B23)</f>
        <v>2393.920493691634</v>
      </c>
      <c r="J23" s="17">
        <v>-2000</v>
      </c>
      <c r="K23" s="40">
        <f t="shared" si="1"/>
        <v>-478.7840987383268</v>
      </c>
      <c r="L23" s="17">
        <v>280</v>
      </c>
      <c r="M23" s="40">
        <f t="shared" si="2"/>
        <v>67.029773823365758</v>
      </c>
      <c r="N23" s="17"/>
      <c r="O23" s="17"/>
      <c r="P23" s="17"/>
      <c r="Q23" s="17"/>
      <c r="R23" s="20"/>
      <c r="S23" s="39"/>
      <c r="U23" s="35"/>
      <c r="V23" s="35"/>
      <c r="W23" s="35"/>
      <c r="X23" s="35"/>
      <c r="Y23" s="35"/>
      <c r="Z23" s="35"/>
      <c r="AA23" s="35"/>
      <c r="AB23" s="35"/>
      <c r="AC23" s="35"/>
    </row>
    <row r="24" spans="2:29" x14ac:dyDescent="0.25">
      <c r="B24" s="9"/>
      <c r="H24" s="1" t="s">
        <v>16</v>
      </c>
      <c r="I24" s="40">
        <f>SUM(I8:I23)</f>
        <v>393.92049369163396</v>
      </c>
      <c r="J24" s="1" t="s">
        <v>16</v>
      </c>
      <c r="K24" s="40">
        <f>SUM(K8:K23)</f>
        <v>228.22195117578127</v>
      </c>
      <c r="L24" s="1" t="s">
        <v>16</v>
      </c>
      <c r="M24" s="40">
        <f>SUM(M8:M23)</f>
        <v>129.70226176634074</v>
      </c>
      <c r="N24" s="1" t="s">
        <v>16</v>
      </c>
      <c r="O24" s="40">
        <f>SUM(O8:O23)</f>
        <v>0</v>
      </c>
      <c r="P24" s="1" t="s">
        <v>16</v>
      </c>
      <c r="Q24" s="40">
        <f>SUM(Q8:Q23)</f>
        <v>165.04088766912307</v>
      </c>
      <c r="R24" s="10" t="s">
        <v>16</v>
      </c>
      <c r="S24" s="40">
        <f>SUM(S8:S23)</f>
        <v>2182.9844106155779</v>
      </c>
      <c r="U24" s="35"/>
      <c r="V24" s="35"/>
      <c r="W24" s="35"/>
      <c r="X24" s="35"/>
      <c r="Y24" s="35"/>
      <c r="Z24" s="35"/>
      <c r="AA24" s="35"/>
      <c r="AB24" s="35"/>
      <c r="AC24" s="35"/>
    </row>
    <row r="25" spans="2:29" x14ac:dyDescent="0.25">
      <c r="B25" s="11" t="s">
        <v>6</v>
      </c>
      <c r="C25" s="21"/>
      <c r="D25" s="13">
        <f t="shared" ref="D25:R25" si="6">SUM(D9:D23)</f>
        <v>3310</v>
      </c>
      <c r="E25" s="13"/>
      <c r="F25" s="13">
        <f t="shared" si="6"/>
        <v>2165</v>
      </c>
      <c r="G25" s="13"/>
      <c r="H25" s="13">
        <f t="shared" si="6"/>
        <v>10000</v>
      </c>
      <c r="I25" s="13"/>
      <c r="J25" s="13">
        <f t="shared" si="6"/>
        <v>3561</v>
      </c>
      <c r="K25" s="13"/>
      <c r="L25" s="13">
        <f t="shared" si="6"/>
        <v>4200</v>
      </c>
      <c r="M25" s="13"/>
      <c r="N25" s="13">
        <f t="shared" si="6"/>
        <v>2200</v>
      </c>
      <c r="O25" s="13"/>
      <c r="P25" s="13">
        <f t="shared" si="6"/>
        <v>2560</v>
      </c>
      <c r="Q25" s="13"/>
      <c r="R25" s="14">
        <f t="shared" si="6"/>
        <v>4150</v>
      </c>
      <c r="S25" s="38"/>
      <c r="U25" s="35"/>
      <c r="V25" s="35"/>
      <c r="W25" s="35"/>
      <c r="X25" s="35"/>
      <c r="Y25" s="35"/>
      <c r="Z25" s="35"/>
      <c r="AA25" s="35"/>
      <c r="AB25" s="35"/>
      <c r="AC25" s="35"/>
    </row>
    <row r="26" spans="2:29" x14ac:dyDescent="0.25">
      <c r="B26" s="11" t="s">
        <v>7</v>
      </c>
      <c r="C26" s="21"/>
      <c r="D26" s="13"/>
      <c r="E26" s="13"/>
      <c r="F26" s="13"/>
      <c r="G26" s="13"/>
      <c r="H26" s="13"/>
      <c r="I26" s="13"/>
      <c r="J26" s="13"/>
      <c r="K26" s="13"/>
      <c r="L26" s="13"/>
      <c r="M26" s="13"/>
      <c r="N26" s="13"/>
      <c r="O26" s="13"/>
      <c r="P26" s="13"/>
      <c r="Q26" s="13"/>
      <c r="R26" s="14"/>
      <c r="S26" s="38"/>
      <c r="U26" s="35"/>
      <c r="V26" s="35"/>
      <c r="W26" s="35"/>
      <c r="X26" s="35"/>
      <c r="Y26" s="35"/>
      <c r="Z26" s="35"/>
      <c r="AA26" s="35"/>
      <c r="AB26" s="35"/>
      <c r="AC26" s="35"/>
    </row>
    <row r="27" spans="2:29" x14ac:dyDescent="0.25">
      <c r="B27" s="11" t="s">
        <v>8</v>
      </c>
      <c r="C27" s="21"/>
      <c r="D27" s="13">
        <f t="shared" ref="D27:R27" si="7">D25+D8</f>
        <v>1310</v>
      </c>
      <c r="E27" s="13"/>
      <c r="F27" s="13">
        <f t="shared" si="7"/>
        <v>165</v>
      </c>
      <c r="G27" s="13"/>
      <c r="H27" s="13">
        <f t="shared" si="7"/>
        <v>8000</v>
      </c>
      <c r="I27" s="13"/>
      <c r="J27" s="13">
        <f t="shared" si="7"/>
        <v>1561</v>
      </c>
      <c r="K27" s="13"/>
      <c r="L27" s="13">
        <f t="shared" si="7"/>
        <v>2200</v>
      </c>
      <c r="M27" s="13"/>
      <c r="N27" s="13">
        <f t="shared" si="7"/>
        <v>200</v>
      </c>
      <c r="O27" s="13"/>
      <c r="P27" s="13">
        <f t="shared" si="7"/>
        <v>560</v>
      </c>
      <c r="Q27" s="13"/>
      <c r="R27" s="14">
        <f t="shared" si="7"/>
        <v>2150</v>
      </c>
      <c r="S27" s="38"/>
    </row>
    <row r="28" spans="2:29" ht="13.8" thickBot="1" x14ac:dyDescent="0.3">
      <c r="B28" s="22"/>
      <c r="C28" s="23"/>
      <c r="D28" s="23"/>
      <c r="E28" s="23"/>
      <c r="F28" s="23"/>
      <c r="G28" s="23"/>
      <c r="H28" s="23"/>
      <c r="I28" s="23"/>
      <c r="J28" s="23"/>
      <c r="K28" s="23"/>
      <c r="L28" s="23"/>
      <c r="M28" s="23"/>
      <c r="N28" s="23"/>
      <c r="O28" s="23"/>
      <c r="P28" s="23"/>
      <c r="Q28" s="23"/>
      <c r="R28" s="24"/>
      <c r="S28" s="37"/>
    </row>
    <row r="31" spans="2:29" x14ac:dyDescent="0.25">
      <c r="C31" s="1" t="s">
        <v>14</v>
      </c>
    </row>
  </sheetData>
  <mergeCells count="1">
    <mergeCell ref="U5:AC26"/>
  </mergeCells>
  <phoneticPr fontId="0" type="noConversion"/>
  <pageMargins left="0.75" right="0.75" top="1" bottom="1" header="0.5" footer="0.5"/>
  <pageSetup orientation="portrait" horizontalDpi="300" verticalDpi="300" r:id="rId1"/>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p:properties xmlns:p="http://schemas.microsoft.com/office/2006/metadata/properties" xmlns:xsi="http://www.w3.org/2001/XMLSchema-instance" xmlns:pc="http://schemas.microsoft.com/office/infopath/2007/PartnerControls">
  <documentManagement>
    <Content_x0020_Name xmlns="3280b98c-2d7e-449d-b713-5a352c511315">9006</Content_x0020_Name>
    <Workflow_x0020_Instance_x0020_Name xmlns="3280b98c-2d7e-449d-b713-5a352c511315">2570</Workflow_x0020_Instance_x0020_Name>
    <Mode xmlns="3280b98c-2d7e-449d-b713-5a352c511315" xsi:nil="true"/>
    <Product_x0020_Type xmlns="3280b98c-2d7e-449d-b713-5a352c511315" xsi:nil="true"/>
    <Target_x0020_Audiences xmlns="3280b98c-2d7e-449d-b713-5a352c511315" xsi:nil="true"/>
    <Content_x0020_Type xmlns="3280b98c-2d7e-449d-b713-5a352c511315">9</Content_x0020_Type>
    <Faculty_x0020_Sponsor xmlns="3280b98c-2d7e-449d-b713-5a352c511315">
      <UserInfo>
        <DisplayName/>
        <AccountId xsi:nil="true"/>
        <AccountType/>
      </UserInfo>
    </Faculty_x0020_Sponsor>
    <Reviewer xmlns="3280b98c-2d7e-449d-b713-5a352c511315">
      <UserInfo>
        <DisplayName/>
        <AccountId xsi:nil="true"/>
        <AccountType/>
      </UserInfo>
    </Reviewer>
    <Comments xmlns="3280b98c-2d7e-449d-b713-5a352c51131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E423D29324CE4C81F8A9ED93508B14" ma:contentTypeVersion="20" ma:contentTypeDescription="Create a new document." ma:contentTypeScope="" ma:versionID="86bcd07dd7887262605823f1c04d73ba">
  <xsd:schema xmlns:xsd="http://www.w3.org/2001/XMLSchema" xmlns:xs="http://www.w3.org/2001/XMLSchema" xmlns:p="http://schemas.microsoft.com/office/2006/metadata/properties" xmlns:ns2="3280b98c-2d7e-449d-b713-5a352c511315" targetNamespace="http://schemas.microsoft.com/office/2006/metadata/properties" ma:root="true" ma:fieldsID="b63e78a39b42928810968ce9a38bdfa0" ns2:_="">
    <xsd:import namespace="3280b98c-2d7e-449d-b713-5a352c511315"/>
    <xsd:element name="properties">
      <xsd:complexType>
        <xsd:sequence>
          <xsd:element name="documentManagement">
            <xsd:complexType>
              <xsd:all>
                <xsd:element ref="ns2:Content_x0020_Name"/>
                <xsd:element ref="ns2:Workflow_x0020_Instance_x0020_Name" minOccurs="0"/>
                <xsd:element ref="ns2:Workflow_x0020_Instance_x0020_Name_x003a_ID" minOccurs="0"/>
                <xsd:element ref="ns2:Content_x0020_Name_x003a_ID" minOccurs="0"/>
                <xsd:element ref="ns2:Product_x0020_Type" minOccurs="0"/>
                <xsd:element ref="ns2:Content_x0020_Name_x003a_Title" minOccurs="0"/>
                <xsd:element ref="ns2:Comments" minOccurs="0"/>
                <xsd:element ref="ns2:Target_x0020_Audiences" minOccurs="0"/>
                <xsd:element ref="ns2:Faculty_x0020_Sponsor" minOccurs="0"/>
                <xsd:element ref="ns2:Reviewer" minOccurs="0"/>
                <xsd:element ref="ns2:Mode" minOccurs="0"/>
                <xsd:element ref="ns2:Content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80b98c-2d7e-449d-b713-5a352c511315" elementFormDefault="qualified">
    <xsd:import namespace="http://schemas.microsoft.com/office/2006/documentManagement/types"/>
    <xsd:import namespace="http://schemas.microsoft.com/office/infopath/2007/PartnerControls"/>
    <xsd:element name="Content_x0020_Name" ma:index="8" ma:displayName="Content Name" ma:indexed="true" ma:list="{2a1dccef-5bbd-4239-9d2c-9dab3c3bdaeb}" ma:internalName="Content_x0020_Name" ma:readOnly="false" ma:showField="Title">
      <xsd:simpleType>
        <xsd:restriction base="dms:Lookup"/>
      </xsd:simpleType>
    </xsd:element>
    <xsd:element name="Workflow_x0020_Instance_x0020_Name" ma:index="9" nillable="true" ma:displayName="Workflow Instance Name" ma:list="{a3cd38c8-60df-4dc0-a0b2-c311c937c69e}" ma:internalName="Workflow_x0020_Instance_x0020_Name" ma:showField="Title">
      <xsd:simpleType>
        <xsd:restriction base="dms:Lookup"/>
      </xsd:simpleType>
    </xsd:element>
    <xsd:element name="Workflow_x0020_Instance_x0020_Name_x003a_ID" ma:index="10" nillable="true" ma:displayName="Workflow Instance Name:ID" ma:list="{a3cd38c8-60df-4dc0-a0b2-c311c937c69e}" ma:internalName="Workflow_x0020_Instance_x0020_Name_x003a_ID" ma:readOnly="true" ma:showField="ID" ma:web="d314d7ef-47d2-49ec-98a2-beb62148fffe">
      <xsd:simpleType>
        <xsd:restriction base="dms:Lookup"/>
      </xsd:simpleType>
    </xsd:element>
    <xsd:element name="Content_x0020_Name_x003a_ID" ma:index="11" nillable="true" ma:displayName="Content Name:ID" ma:list="{2a1dccef-5bbd-4239-9d2c-9dab3c3bdaeb}" ma:internalName="Content_x0020_Name_x003a_ID" ma:readOnly="true" ma:showField="ID" ma:web="d314d7ef-47d2-49ec-98a2-beb62148fffe">
      <xsd:simpleType>
        <xsd:restriction base="dms:Lookup"/>
      </xsd:simpleType>
    </xsd:element>
    <xsd:element name="Product_x0020_Type" ma:index="12" nillable="true" ma:displayName="Product Type" ma:list="{b8add45d-a9e3-4b61-9172-dff46669a501}" ma:internalName="Product_x0020_Type" ma:showField="Title">
      <xsd:simpleType>
        <xsd:restriction base="dms:Lookup"/>
      </xsd:simpleType>
    </xsd:element>
    <xsd:element name="Content_x0020_Name_x003a_Title" ma:index="13" nillable="true" ma:displayName="Content Name:Title" ma:list="{2a1dccef-5bbd-4239-9d2c-9dab3c3bdaeb}" ma:internalName="Content_x0020_Name_x003a_Title" ma:readOnly="true" ma:showField="Title0" ma:web="d314d7ef-47d2-49ec-98a2-beb62148fffe">
      <xsd:simpleType>
        <xsd:restriction base="dms:Lookup"/>
      </xsd:simpleType>
    </xsd:element>
    <xsd:element name="Comments" ma:index="14" nillable="true" ma:displayName="Comments" ma:internalName="Comments">
      <xsd:simpleType>
        <xsd:restriction base="dms:Note">
          <xsd:maxLength value="255"/>
        </xsd:restriction>
      </xsd:simpleType>
    </xsd:element>
    <xsd:element name="Target_x0020_Audiences" ma:index="15" nillable="true" ma:displayName="Target Audiences" ma:internalName="Target_x0020_Audiences">
      <xsd:simpleType>
        <xsd:restriction base="dms:Unknown"/>
      </xsd:simpleType>
    </xsd:element>
    <xsd:element name="Faculty_x0020_Sponsor" ma:index="16" nillable="true" ma:displayName="Faculty Sponsor" ma:list="UserInfo" ma:SharePointGroup="0" ma:internalName="Faculty_x0020_Sponsor" ma:showField="Titl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viewer" ma:index="17" nillable="true" ma:displayName="Reviewer" ma:list="UserInfo" ma:SharePointGroup="0" ma:internalName="Reviewer" ma:showField="Titl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ode" ma:index="18" nillable="true" ma:displayName="Mode" ma:internalName="Mode">
      <xsd:simpleType>
        <xsd:restriction base="dms:Text">
          <xsd:maxLength value="255"/>
        </xsd:restriction>
      </xsd:simpleType>
    </xsd:element>
    <xsd:element name="Content_x0020_Type" ma:index="20" nillable="true" ma:displayName="Content Type" ma:list="{766e563b-7587-40d5-a39c-32c550c72680}" ma:internalName="Content_x0020_Typ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B1E8ACF-9A2C-42E0-98C8-4AD0D10CDC1A}">
  <ds:schemaRefs>
    <ds:schemaRef ds:uri="http://schemas.microsoft.com/office/2006/metadata/longProperties"/>
  </ds:schemaRefs>
</ds:datastoreItem>
</file>

<file path=customXml/itemProps2.xml><?xml version="1.0" encoding="utf-8"?>
<ds:datastoreItem xmlns:ds="http://schemas.openxmlformats.org/officeDocument/2006/customXml" ds:itemID="{D9139F93-3606-4C67-8FD0-ECEA5D8CC21A}">
  <ds:schemaRefs>
    <ds:schemaRef ds:uri="http://purl.org/dc/elements/1.1/"/>
    <ds:schemaRef ds:uri="http://schemas.microsoft.com/office/2006/metadata/properties"/>
    <ds:schemaRef ds:uri="3280b98c-2d7e-449d-b713-5a352c511315"/>
    <ds:schemaRef ds:uri="http://schemas.microsoft.com/office/2006/documentManagement/types"/>
    <ds:schemaRef ds:uri="http://schemas.microsoft.com/office/infopath/2007/PartnerControls"/>
    <ds:schemaRef ds:uri="http://purl.org/dc/terms/"/>
    <ds:schemaRef ds:uri="http://purl.org/dc/dcmitype/"/>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B29B820A-31CF-4CF8-8E9C-B1E6DA1C3047}">
  <ds:schemaRefs>
    <ds:schemaRef ds:uri="http://schemas.microsoft.com/sharepoint/v3/contenttype/forms"/>
  </ds:schemaRefs>
</ds:datastoreItem>
</file>

<file path=customXml/itemProps4.xml><?xml version="1.0" encoding="utf-8"?>
<ds:datastoreItem xmlns:ds="http://schemas.openxmlformats.org/officeDocument/2006/customXml" ds:itemID="{66179459-6D9E-47F5-AAB0-4FF28241FD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80b98c-2d7e-449d-b713-5a352c5113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Title Page</vt:lpstr>
      <vt:lpstr>Exhibit 1</vt:lpstr>
    </vt:vector>
  </TitlesOfParts>
  <Company>DARDEN BUSINESS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Investment Detective (SPREADSHEET)</dc:title>
  <dc:subject>Capital Budgeting and Resource Allocation</dc:subject>
  <dc:creator>Robert Bruner</dc:creator>
  <cp:keywords/>
  <cp:lastModifiedBy>Morman, Brian</cp:lastModifiedBy>
  <dcterms:created xsi:type="dcterms:W3CDTF">1997-07-01T13:40:10Z</dcterms:created>
  <dcterms:modified xsi:type="dcterms:W3CDTF">2025-05-28T02:14:49Z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Alston, Sherry</vt:lpwstr>
  </property>
  <property fmtid="{D5CDD505-2E9C-101B-9397-08002B2CF9AE}" pid="3" name="display_urn:schemas-microsoft-com:office:office#Author">
    <vt:lpwstr>Stevenson, Donald</vt:lpwstr>
  </property>
  <property fmtid="{D5CDD505-2E9C-101B-9397-08002B2CF9AE}" pid="4" name="SignedRelease">
    <vt:lpwstr>No</vt:lpwstr>
  </property>
  <property fmtid="{D5CDD505-2E9C-101B-9397-08002B2CF9AE}" pid="5" name="New or Revision?">
    <vt:lpwstr>Revision</vt:lpwstr>
  </property>
  <property fmtid="{D5CDD505-2E9C-101B-9397-08002B2CF9AE}" pid="6" name="Owner">
    <vt:lpwstr>93</vt:lpwstr>
  </property>
  <property fmtid="{D5CDD505-2E9C-101B-9397-08002B2CF9AE}" pid="7" name="SecondaryApproval">
    <vt:lpwstr>0</vt:lpwstr>
  </property>
  <property fmtid="{D5CDD505-2E9C-101B-9397-08002B2CF9AE}" pid="8" name="NoRelease">
    <vt:lpwstr>No</vt:lpwstr>
  </property>
  <property fmtid="{D5CDD505-2E9C-101B-9397-08002B2CF9AE}" pid="9" name="Logos">
    <vt:lpwstr>No</vt:lpwstr>
  </property>
  <property fmtid="{D5CDD505-2E9C-101B-9397-08002B2CF9AE}" pid="10" name="AddlAuthor">
    <vt:lpwstr/>
  </property>
  <property fmtid="{D5CDD505-2E9C-101B-9397-08002B2CF9AE}" pid="11" name="LogoPermission">
    <vt:lpwstr>No</vt:lpwstr>
  </property>
  <property fmtid="{D5CDD505-2E9C-101B-9397-08002B2CF9AE}" pid="12" name="VersionModifier">
    <vt:lpwstr>38</vt:lpwstr>
  </property>
  <property fmtid="{D5CDD505-2E9C-101B-9397-08002B2CF9AE}" pid="13" name="DOwner">
    <vt:lpwstr>71</vt:lpwstr>
  </property>
  <property fmtid="{D5CDD505-2E9C-101B-9397-08002B2CF9AE}" pid="14" name="Categories">
    <vt:lpwstr/>
  </property>
  <property fmtid="{D5CDD505-2E9C-101B-9397-08002B2CF9AE}" pid="15" name="Assistant">
    <vt:lpwstr>None</vt:lpwstr>
  </property>
  <property fmtid="{D5CDD505-2E9C-101B-9397-08002B2CF9AE}" pid="16" name="Approval Level">
    <vt:lpwstr/>
  </property>
  <property fmtid="{D5CDD505-2E9C-101B-9397-08002B2CF9AE}" pid="17" name="DocEditor">
    <vt:lpwstr>17</vt:lpwstr>
  </property>
  <property fmtid="{D5CDD505-2E9C-101B-9397-08002B2CF9AE}" pid="18" name="DEditor">
    <vt:lpwstr>38</vt:lpwstr>
  </property>
  <property fmtid="{D5CDD505-2E9C-101B-9397-08002B2CF9AE}" pid="19" name="FileType">
    <vt:lpwstr>Excel</vt:lpwstr>
  </property>
  <property fmtid="{D5CDD505-2E9C-101B-9397-08002B2CF9AE}" pid="20" name="AuthorClassification">
    <vt:lpwstr>Darden Faculty</vt:lpwstr>
  </property>
  <property fmtid="{D5CDD505-2E9C-101B-9397-08002B2CF9AE}" pid="21" name="Modified temp">
    <vt:lpwstr>2010-04-27T11:35:35Z</vt:lpwstr>
  </property>
  <property fmtid="{D5CDD505-2E9C-101B-9397-08002B2CF9AE}" pid="22" name="Order">
    <vt:r8>2228600</vt:r8>
  </property>
  <property fmtid="{D5CDD505-2E9C-101B-9397-08002B2CF9AE}" pid="23" name="display_urn:schemas-microsoft-com:office:office#Faculty_x0020_Sponsor_x002A_">
    <vt:lpwstr>Bruner, Robert</vt:lpwstr>
  </property>
  <property fmtid="{D5CDD505-2E9C-101B-9397-08002B2CF9AE}" pid="24" name="RelatedCases">
    <vt:lpwstr>na</vt:lpwstr>
  </property>
  <property fmtid="{D5CDD505-2E9C-101B-9397-08002B2CF9AE}" pid="25" name="Keywords">
    <vt:lpwstr/>
  </property>
  <property fmtid="{D5CDD505-2E9C-101B-9397-08002B2CF9AE}" pid="26" name="display_urn:schemas-microsoft-com:office:office#Modified_x0020_By_x0020_Temp">
    <vt:lpwstr>Woods, Elizabeth (Beth)</vt:lpwstr>
  </property>
  <property fmtid="{D5CDD505-2E9C-101B-9397-08002B2CF9AE}" pid="27" name="_Category">
    <vt:lpwstr/>
  </property>
  <property fmtid="{D5CDD505-2E9C-101B-9397-08002B2CF9AE}" pid="28" name="_Author">
    <vt:lpwstr>Robert Bruner</vt:lpwstr>
  </property>
  <property fmtid="{D5CDD505-2E9C-101B-9397-08002B2CF9AE}" pid="29" name="Assigned To">
    <vt:lpwstr/>
  </property>
  <property fmtid="{D5CDD505-2E9C-101B-9397-08002B2CF9AE}" pid="30" name="Subject">
    <vt:lpwstr>Capital Budgeting and Resource Allocation</vt:lpwstr>
  </property>
  <property fmtid="{D5CDD505-2E9C-101B-9397-08002B2CF9AE}" pid="31" name="Modified By Temp">
    <vt:lpwstr>20</vt:lpwstr>
  </property>
  <property fmtid="{D5CDD505-2E9C-101B-9397-08002B2CF9AE}" pid="32" name="WorkflowCreationPath">
    <vt:lpwstr>b6d7353f-e61b-4a14-aef8-2815d0633212,17;b6d7353f-e61b-4a14-aef8-2815d0633212,17;</vt:lpwstr>
  </property>
  <property fmtid="{D5CDD505-2E9C-101B-9397-08002B2CF9AE}" pid="33" name="SWAT">
    <vt:lpwstr>1</vt:lpwstr>
  </property>
  <property fmtid="{D5CDD505-2E9C-101B-9397-08002B2CF9AE}" pid="34" name="display_urn:schemas-microsoft-com:office:office#Approver_x002A_">
    <vt:lpwstr>Bruner, Robert</vt:lpwstr>
  </property>
  <property fmtid="{D5CDD505-2E9C-101B-9397-08002B2CF9AE}" pid="35" name="Edit Type">
    <vt:lpwstr/>
  </property>
  <property fmtid="{D5CDD505-2E9C-101B-9397-08002B2CF9AE}" pid="36" name="ContentType">
    <vt:lpwstr>Document</vt:lpwstr>
  </property>
  <property fmtid="{D5CDD505-2E9C-101B-9397-08002B2CF9AE}" pid="37" name="Editor">
    <vt:lpwstr>66;#DARDEN\alstons</vt:lpwstr>
  </property>
  <property fmtid="{D5CDD505-2E9C-101B-9397-08002B2CF9AE}" pid="38" name="DateInEditing">
    <vt:lpwstr/>
  </property>
  <property fmtid="{D5CDD505-2E9C-101B-9397-08002B2CF9AE}" pid="39" name="DateOfApproval">
    <vt:lpwstr/>
  </property>
  <property fmtid="{D5CDD505-2E9C-101B-9397-08002B2CF9AE}" pid="40" name="Created">
    <vt:lpwstr/>
  </property>
  <property fmtid="{D5CDD505-2E9C-101B-9397-08002B2CF9AE}" pid="41" name="Modified">
    <vt:lpwstr>2012-06-27T20:21:28Z</vt:lpwstr>
  </property>
  <property fmtid="{D5CDD505-2E9C-101B-9397-08002B2CF9AE}" pid="42" name="DatePending">
    <vt:lpwstr/>
  </property>
  <property fmtid="{D5CDD505-2E9C-101B-9397-08002B2CF9AE}" pid="43" name="ContentTypeId">
    <vt:lpwstr>0x010100ACE423D29324CE4C81F8A9ED93508B14</vt:lpwstr>
  </property>
  <property fmtid="{D5CDD505-2E9C-101B-9397-08002B2CF9AE}" pid="44" name="xd_ProgID">
    <vt:lpwstr/>
  </property>
  <property fmtid="{D5CDD505-2E9C-101B-9397-08002B2CF9AE}" pid="45" name="TemplateUrl">
    <vt:lpwstr/>
  </property>
  <property fmtid="{D5CDD505-2E9C-101B-9397-08002B2CF9AE}" pid="46" name="_CopySource">
    <vt:lpwstr>http://www.wmcasemgmt.com/sites/casemanagement/Gold Library/F-0813X.xlsx</vt:lpwstr>
  </property>
</Properties>
</file>