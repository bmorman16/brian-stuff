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esktop\Git\dailyworkspace\Personal\EMBA\Corporate Finance\"/>
    </mc:Choice>
  </mc:AlternateContent>
  <xr:revisionPtr revIDLastSave="0" documentId="13_ncr:1_{3D7671D4-7B3E-4483-9D4E-B690211FE202}" xr6:coauthVersionLast="47" xr6:coauthVersionMax="47" xr10:uidLastSave="{00000000-0000-0000-0000-000000000000}"/>
  <bookViews>
    <workbookView xWindow="11424" yWindow="0" windowWidth="11712" windowHeight="12336" activeTab="3" xr2:uid="{139E2CDC-691C-4A03-88BC-E99B522A886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4" l="1"/>
  <c r="K59" i="4"/>
  <c r="B46" i="4"/>
  <c r="A1" i="4"/>
  <c r="B22" i="4"/>
  <c r="F9" i="3"/>
  <c r="F11" i="3" s="1"/>
  <c r="F5" i="3"/>
  <c r="C11" i="3"/>
  <c r="B11" i="3"/>
  <c r="C9" i="3"/>
  <c r="C10" i="3" s="1"/>
  <c r="C12" i="3" s="1"/>
  <c r="B9" i="3"/>
  <c r="B10" i="3" s="1"/>
  <c r="B12" i="3" s="1"/>
  <c r="C5" i="3"/>
  <c r="B5" i="3"/>
  <c r="F17" i="2"/>
  <c r="E17" i="2"/>
  <c r="D17" i="2"/>
  <c r="C17" i="2"/>
  <c r="B17" i="2"/>
  <c r="F16" i="2"/>
  <c r="E16" i="2"/>
  <c r="D16" i="2"/>
  <c r="C16" i="2"/>
  <c r="B16" i="2"/>
  <c r="C23" i="1"/>
  <c r="H20" i="1"/>
  <c r="G20" i="1"/>
  <c r="F20" i="1"/>
  <c r="E20" i="1"/>
  <c r="D20" i="1"/>
  <c r="C20" i="1"/>
  <c r="H18" i="1"/>
  <c r="G18" i="1"/>
  <c r="F18" i="1"/>
  <c r="E18" i="1"/>
  <c r="D18" i="1"/>
  <c r="H13" i="1"/>
  <c r="G13" i="1"/>
  <c r="F13" i="1"/>
  <c r="E13" i="1"/>
  <c r="D13" i="1"/>
  <c r="F13" i="3" l="1"/>
  <c r="F15" i="3" s="1"/>
  <c r="F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Morman (US), Brian J</author>
  </authors>
  <commentList>
    <comment ref="B11" authorId="0" shapeId="0" xr:uid="{478712AB-F767-4DC2-8182-F7EAB9A5781A}">
      <text>
        <r>
          <rPr>
            <b/>
            <sz val="9"/>
            <color indexed="81"/>
            <rFont val="Tahoma"/>
            <family val="2"/>
          </rPr>
          <t>Morman (US), Brian J:</t>
        </r>
        <r>
          <rPr>
            <sz val="9"/>
            <color indexed="81"/>
            <rFont val="Tahoma"/>
            <family val="2"/>
          </rPr>
          <t xml:space="preserve">
from incremental earnings
</t>
        </r>
      </text>
    </comment>
  </commentList>
</comments>
</file>

<file path=xl/sharedStrings.xml><?xml version="1.0" encoding="utf-8"?>
<sst xmlns="http://schemas.openxmlformats.org/spreadsheetml/2006/main" count="55" uniqueCount="42">
  <si>
    <t>Depreciation</t>
  </si>
  <si>
    <t>FCF</t>
  </si>
  <si>
    <t>dNWC</t>
  </si>
  <si>
    <t>Unlevered Net Income</t>
  </si>
  <si>
    <t>Unlevered Net income + Depr</t>
  </si>
  <si>
    <t>Capex</t>
  </si>
  <si>
    <t>NWC</t>
  </si>
  <si>
    <t>Cost of Capital</t>
  </si>
  <si>
    <t>NPV</t>
  </si>
  <si>
    <t>Year</t>
  </si>
  <si>
    <t>Cash</t>
  </si>
  <si>
    <t>Accounts Receivable</t>
  </si>
  <si>
    <t>Inventory</t>
  </si>
  <si>
    <t>Accounts Payable</t>
  </si>
  <si>
    <t>Net Working Capital</t>
  </si>
  <si>
    <t>Increase in NWC</t>
  </si>
  <si>
    <t>Revenues</t>
  </si>
  <si>
    <t>Operating Expenses (other than depreciation)</t>
  </si>
  <si>
    <t>Increase in Net Working Capital</t>
  </si>
  <si>
    <t>Capital Expenditures</t>
  </si>
  <si>
    <t>Marginal Corporate Tax Rate (%)</t>
  </si>
  <si>
    <t>EBIT</t>
  </si>
  <si>
    <t>Income Tax at x%</t>
  </si>
  <si>
    <t>Unleverered Net Income</t>
  </si>
  <si>
    <t>Change in networking capital</t>
  </si>
  <si>
    <t>Income</t>
  </si>
  <si>
    <t>capex</t>
  </si>
  <si>
    <t>nwc</t>
  </si>
  <si>
    <t>Initial Cost</t>
  </si>
  <si>
    <t>Life of Equip</t>
  </si>
  <si>
    <t>Depreciaton per year</t>
  </si>
  <si>
    <t>Years Pat</t>
  </si>
  <si>
    <t>Book Value</t>
  </si>
  <si>
    <t>Sales Price</t>
  </si>
  <si>
    <t>Taxible Income</t>
  </si>
  <si>
    <t>Tax Rate</t>
  </si>
  <si>
    <t>Taxes</t>
  </si>
  <si>
    <t>ICF</t>
  </si>
  <si>
    <t>PV3</t>
  </si>
  <si>
    <t>P0</t>
  </si>
  <si>
    <t>FCF ($ million)</t>
  </si>
  <si>
    <t>275.02M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</si>
</sst>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4" fontId="0" fillId="0" borderId="0" xfId="0" applyNumberFormat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167640</xdr:rowOff>
    </xdr:from>
    <xdr:to>
      <xdr:col>4</xdr:col>
      <xdr:colOff>518554</xdr:colOff>
      <xdr:row>8</xdr:row>
      <xdr:rowOff>91560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55C83-9B12-9AFB-4AB5-B90163BC9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67640"/>
          <a:ext cx="4549534" cy="1386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7938</xdr:colOff>
      <xdr:row>8</xdr:row>
      <xdr:rowOff>7747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EC538-0AED-E832-3FFB-0C87D309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73158" cy="1470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0</xdr:rowOff>
    </xdr:from>
    <xdr:to>
      <xdr:col>7</xdr:col>
      <xdr:colOff>274712</xdr:colOff>
      <xdr:row>20</xdr:row>
      <xdr:rowOff>15558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39B66-F0ED-49D6-2854-D29E2EE7B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0"/>
          <a:ext cx="4519052" cy="3673158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22</xdr:row>
      <xdr:rowOff>15240</xdr:rowOff>
    </xdr:from>
    <xdr:to>
      <xdr:col>8</xdr:col>
      <xdr:colOff>30888</xdr:colOff>
      <xdr:row>43</xdr:row>
      <xdr:rowOff>152745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B81F97-5F0B-2A74-E22C-9D6507E25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" y="4038600"/>
          <a:ext cx="4709568" cy="39779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7</xdr:col>
      <xdr:colOff>358541</xdr:colOff>
      <xdr:row>69</xdr:row>
      <xdr:rowOff>30831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5F820E-DE66-1BF0-BE47-F0B604640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95360"/>
          <a:ext cx="4625741" cy="405419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14</xdr:col>
      <xdr:colOff>442262</xdr:colOff>
      <xdr:row>56</xdr:row>
      <xdr:rowOff>160192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DEA5FB-DEF8-363A-6EDA-0BCA8AB6F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8412480"/>
          <a:ext cx="3490262" cy="1988992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76</xdr:row>
      <xdr:rowOff>121920</xdr:rowOff>
    </xdr:from>
    <xdr:to>
      <xdr:col>5</xdr:col>
      <xdr:colOff>594658</xdr:colOff>
      <xdr:row>92</xdr:row>
      <xdr:rowOff>99312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B43529E-108D-B131-F30E-710AB98E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" y="14020800"/>
          <a:ext cx="3436918" cy="2903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E798-23DB-485A-A6D0-B9BBB208F784}">
  <dimension ref="B10:H23"/>
  <sheetViews>
    <sheetView workbookViewId="0">
      <selection activeCell="C23" sqref="C23"/>
    </sheetView>
  </sheetViews>
  <sheetFormatPr defaultRowHeight="14.4" x14ac:dyDescent="0.3"/>
  <cols>
    <col min="2" max="2" width="24.5546875" bestFit="1" customWidth="1"/>
    <col min="3" max="3" width="20.33203125" bestFit="1" customWidth="1"/>
  </cols>
  <sheetData>
    <row r="10" spans="2:8" x14ac:dyDescent="0.3"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</row>
    <row r="11" spans="2:8" x14ac:dyDescent="0.3">
      <c r="B11" t="s">
        <v>3</v>
      </c>
      <c r="D11">
        <v>2560</v>
      </c>
      <c r="E11">
        <v>2560</v>
      </c>
      <c r="F11">
        <v>2560</v>
      </c>
      <c r="G11">
        <v>2560</v>
      </c>
      <c r="H11">
        <v>-1200</v>
      </c>
    </row>
    <row r="12" spans="2:8" x14ac:dyDescent="0.3">
      <c r="B12" t="s">
        <v>0</v>
      </c>
      <c r="D12">
        <v>1500</v>
      </c>
      <c r="E12">
        <v>1500</v>
      </c>
      <c r="F12">
        <v>1500</v>
      </c>
      <c r="G12">
        <v>1500</v>
      </c>
      <c r="H12">
        <v>1500</v>
      </c>
    </row>
    <row r="13" spans="2:8" x14ac:dyDescent="0.3">
      <c r="B13" t="s">
        <v>4</v>
      </c>
      <c r="D13">
        <f>D11+D12</f>
        <v>4060</v>
      </c>
      <c r="E13">
        <f>E11+E12</f>
        <v>4060</v>
      </c>
      <c r="F13">
        <f>F11+F12</f>
        <v>4060</v>
      </c>
      <c r="G13">
        <f>G11+G12</f>
        <v>4060</v>
      </c>
      <c r="H13">
        <f>H11+H12</f>
        <v>300</v>
      </c>
    </row>
    <row r="15" spans="2:8" x14ac:dyDescent="0.3">
      <c r="B15" t="s">
        <v>5</v>
      </c>
      <c r="C15">
        <v>7500</v>
      </c>
      <c r="D15">
        <v>0</v>
      </c>
      <c r="E15">
        <v>0</v>
      </c>
      <c r="F15">
        <v>0</v>
      </c>
      <c r="G15">
        <v>0</v>
      </c>
      <c r="H15">
        <v>0</v>
      </c>
    </row>
    <row r="17" spans="2:8" x14ac:dyDescent="0.3">
      <c r="B17" t="s">
        <v>6</v>
      </c>
      <c r="C17">
        <v>0</v>
      </c>
      <c r="D17">
        <v>1125</v>
      </c>
      <c r="E17">
        <v>1125</v>
      </c>
      <c r="F17">
        <v>1125</v>
      </c>
      <c r="G17">
        <v>1125</v>
      </c>
      <c r="H17">
        <v>0</v>
      </c>
    </row>
    <row r="18" spans="2:8" x14ac:dyDescent="0.3">
      <c r="B18" t="s">
        <v>2</v>
      </c>
      <c r="C18">
        <v>0</v>
      </c>
      <c r="D18">
        <f>D17-C17</f>
        <v>1125</v>
      </c>
      <c r="E18">
        <f>E17-D17</f>
        <v>0</v>
      </c>
      <c r="F18">
        <f>F17-E17</f>
        <v>0</v>
      </c>
      <c r="G18">
        <f>G17-F17</f>
        <v>0</v>
      </c>
      <c r="H18">
        <f>H17-G17</f>
        <v>-1125</v>
      </c>
    </row>
    <row r="20" spans="2:8" x14ac:dyDescent="0.3">
      <c r="B20" t="s">
        <v>1</v>
      </c>
      <c r="C20">
        <f t="shared" ref="C20:H20" si="0">C13-C15-C18</f>
        <v>-7500</v>
      </c>
      <c r="D20">
        <f t="shared" si="0"/>
        <v>2935</v>
      </c>
      <c r="E20">
        <f t="shared" si="0"/>
        <v>4060</v>
      </c>
      <c r="F20">
        <f t="shared" si="0"/>
        <v>4060</v>
      </c>
      <c r="G20">
        <f t="shared" si="0"/>
        <v>4060</v>
      </c>
      <c r="H20">
        <f t="shared" si="0"/>
        <v>1425</v>
      </c>
    </row>
    <row r="22" spans="2:8" x14ac:dyDescent="0.3">
      <c r="B22" t="s">
        <v>7</v>
      </c>
      <c r="C22" s="1">
        <v>0.12</v>
      </c>
    </row>
    <row r="23" spans="2:8" x14ac:dyDescent="0.3">
      <c r="B23" t="s">
        <v>8</v>
      </c>
      <c r="C23" s="2">
        <f>NPV(C22,D20:H20)+C20</f>
        <v>4635.7573309879226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83C8-E68B-4E5C-81A2-412BBE7FF6C6}">
  <dimension ref="A11:F17"/>
  <sheetViews>
    <sheetView workbookViewId="0">
      <selection activeCell="F18" sqref="F18"/>
    </sheetView>
  </sheetViews>
  <sheetFormatPr defaultRowHeight="14.4" x14ac:dyDescent="0.3"/>
  <cols>
    <col min="1" max="1" width="17.88671875" bestFit="1" customWidth="1"/>
  </cols>
  <sheetData>
    <row r="11" spans="1:6" x14ac:dyDescent="0.3">
      <c r="A11" t="s">
        <v>9</v>
      </c>
      <c r="B11">
        <v>1</v>
      </c>
      <c r="C11">
        <v>2</v>
      </c>
      <c r="D11">
        <v>3</v>
      </c>
      <c r="E11">
        <v>4</v>
      </c>
      <c r="F11">
        <v>5</v>
      </c>
    </row>
    <row r="12" spans="1:6" x14ac:dyDescent="0.3">
      <c r="A12" t="s">
        <v>10</v>
      </c>
      <c r="B12">
        <v>7</v>
      </c>
      <c r="C12">
        <v>10</v>
      </c>
      <c r="D12">
        <v>15</v>
      </c>
      <c r="E12">
        <v>16</v>
      </c>
      <c r="F12">
        <v>16</v>
      </c>
    </row>
    <row r="13" spans="1:6" x14ac:dyDescent="0.3">
      <c r="A13" t="s">
        <v>11</v>
      </c>
      <c r="B13">
        <v>18</v>
      </c>
      <c r="C13">
        <v>26</v>
      </c>
      <c r="D13">
        <v>23</v>
      </c>
      <c r="E13">
        <v>25</v>
      </c>
      <c r="F13">
        <v>23</v>
      </c>
    </row>
    <row r="14" spans="1:6" x14ac:dyDescent="0.3">
      <c r="A14" t="s">
        <v>12</v>
      </c>
      <c r="B14">
        <v>4</v>
      </c>
      <c r="C14">
        <v>9</v>
      </c>
      <c r="D14">
        <v>10</v>
      </c>
      <c r="E14">
        <v>13</v>
      </c>
      <c r="F14">
        <v>16</v>
      </c>
    </row>
    <row r="15" spans="1:6" x14ac:dyDescent="0.3">
      <c r="A15" t="s">
        <v>13</v>
      </c>
      <c r="B15">
        <v>18</v>
      </c>
      <c r="C15">
        <v>19</v>
      </c>
      <c r="D15">
        <v>24</v>
      </c>
      <c r="E15">
        <v>26</v>
      </c>
      <c r="F15">
        <v>32</v>
      </c>
    </row>
    <row r="16" spans="1:6" x14ac:dyDescent="0.3">
      <c r="A16" t="s">
        <v>14</v>
      </c>
      <c r="B16">
        <f>B12+B13+B14-B15</f>
        <v>11</v>
      </c>
      <c r="C16">
        <f>C12+C13+C14-C15</f>
        <v>26</v>
      </c>
      <c r="D16">
        <f>D12+D13+D14-D15</f>
        <v>24</v>
      </c>
      <c r="E16">
        <f>E12+E13+E14-E15</f>
        <v>28</v>
      </c>
      <c r="F16">
        <f>F12+F13+F14-F15</f>
        <v>23</v>
      </c>
    </row>
    <row r="17" spans="1:6" x14ac:dyDescent="0.3">
      <c r="A17" t="s">
        <v>15</v>
      </c>
      <c r="B17">
        <f>-B16</f>
        <v>-11</v>
      </c>
      <c r="C17">
        <f>B16-C16</f>
        <v>-15</v>
      </c>
      <c r="D17">
        <f>C16-D16</f>
        <v>2</v>
      </c>
      <c r="E17">
        <f>D16-E16</f>
        <v>-4</v>
      </c>
      <c r="F17">
        <f>E16-F16</f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FC9E-0555-45E2-B2AD-1AE5F370E242}">
  <dimension ref="A1:F21"/>
  <sheetViews>
    <sheetView workbookViewId="0">
      <selection activeCell="F8" sqref="F8"/>
    </sheetView>
  </sheetViews>
  <sheetFormatPr defaultRowHeight="14.4" x14ac:dyDescent="0.3"/>
  <cols>
    <col min="1" max="1" width="37.44140625" bestFit="1" customWidth="1"/>
    <col min="6" max="6" width="17.88671875" bestFit="1" customWidth="1"/>
  </cols>
  <sheetData>
    <row r="1" spans="1:6" x14ac:dyDescent="0.3">
      <c r="A1" t="s">
        <v>9</v>
      </c>
      <c r="B1">
        <v>1</v>
      </c>
      <c r="C1">
        <v>2</v>
      </c>
      <c r="E1" t="s">
        <v>25</v>
      </c>
      <c r="F1">
        <v>242.7</v>
      </c>
    </row>
    <row r="2" spans="1:6" x14ac:dyDescent="0.3">
      <c r="A2" t="s">
        <v>16</v>
      </c>
      <c r="B2">
        <v>126.6</v>
      </c>
      <c r="C2">
        <v>159.5</v>
      </c>
      <c r="E2" t="s">
        <v>0</v>
      </c>
      <c r="F2">
        <v>93.7</v>
      </c>
    </row>
    <row r="3" spans="1:6" x14ac:dyDescent="0.3">
      <c r="A3" t="s">
        <v>17</v>
      </c>
      <c r="B3">
        <v>34.4</v>
      </c>
      <c r="C3">
        <v>65.900000000000006</v>
      </c>
      <c r="E3" t="s">
        <v>26</v>
      </c>
      <c r="F3">
        <v>205.2</v>
      </c>
    </row>
    <row r="4" spans="1:6" x14ac:dyDescent="0.3">
      <c r="A4" t="s">
        <v>0</v>
      </c>
      <c r="B4">
        <v>26.2</v>
      </c>
      <c r="C4">
        <v>25.7</v>
      </c>
      <c r="E4" t="s">
        <v>27</v>
      </c>
      <c r="F4">
        <v>10.3</v>
      </c>
    </row>
    <row r="5" spans="1:6" x14ac:dyDescent="0.3">
      <c r="A5" t="s">
        <v>21</v>
      </c>
      <c r="B5" s="3">
        <f>B2-B3-B4</f>
        <v>65.999999999999986</v>
      </c>
      <c r="C5" s="3">
        <f>C2-C3-C4</f>
        <v>67.899999999999991</v>
      </c>
      <c r="E5" t="s">
        <v>1</v>
      </c>
      <c r="F5">
        <f>F1+F2-F3-F4</f>
        <v>120.89999999999999</v>
      </c>
    </row>
    <row r="6" spans="1:6" x14ac:dyDescent="0.3">
      <c r="A6" t="s">
        <v>18</v>
      </c>
      <c r="B6">
        <v>2.1</v>
      </c>
      <c r="C6">
        <v>8.6999999999999993</v>
      </c>
    </row>
    <row r="7" spans="1:6" x14ac:dyDescent="0.3">
      <c r="A7" t="s">
        <v>19</v>
      </c>
      <c r="B7">
        <v>29.3</v>
      </c>
      <c r="C7">
        <v>38.700000000000003</v>
      </c>
      <c r="E7" t="s">
        <v>28</v>
      </c>
      <c r="F7" s="4">
        <v>1050000</v>
      </c>
    </row>
    <row r="8" spans="1:6" x14ac:dyDescent="0.3">
      <c r="A8" t="s">
        <v>20</v>
      </c>
      <c r="B8" s="1">
        <v>0.21</v>
      </c>
      <c r="C8" s="1">
        <v>0.21</v>
      </c>
      <c r="E8" t="s">
        <v>29</v>
      </c>
      <c r="F8" s="4">
        <v>7</v>
      </c>
    </row>
    <row r="9" spans="1:6" x14ac:dyDescent="0.3">
      <c r="A9" t="s">
        <v>22</v>
      </c>
      <c r="B9" s="3">
        <f>B5*B8</f>
        <v>13.859999999999996</v>
      </c>
      <c r="C9" s="3">
        <f>C5*C8</f>
        <v>14.258999999999999</v>
      </c>
      <c r="E9" t="s">
        <v>30</v>
      </c>
      <c r="F9" s="5">
        <f>F7/F8</f>
        <v>150000</v>
      </c>
    </row>
    <row r="10" spans="1:6" x14ac:dyDescent="0.3">
      <c r="A10" t="s">
        <v>23</v>
      </c>
      <c r="B10" s="3">
        <f>B5-B9</f>
        <v>52.139999999999986</v>
      </c>
      <c r="C10" s="3">
        <f>C5-C9</f>
        <v>53.640999999999991</v>
      </c>
      <c r="E10" t="s">
        <v>31</v>
      </c>
      <c r="F10" s="4">
        <v>3</v>
      </c>
    </row>
    <row r="11" spans="1:6" x14ac:dyDescent="0.3">
      <c r="A11" t="s">
        <v>24</v>
      </c>
      <c r="B11" s="3">
        <f>-B6</f>
        <v>-2.1</v>
      </c>
      <c r="C11" s="3">
        <f>-C6</f>
        <v>-8.6999999999999993</v>
      </c>
      <c r="E11" t="s">
        <v>32</v>
      </c>
      <c r="F11" s="5">
        <f>F7-(F9*F10)</f>
        <v>600000</v>
      </c>
    </row>
    <row r="12" spans="1:6" x14ac:dyDescent="0.3">
      <c r="A12" t="s">
        <v>1</v>
      </c>
      <c r="B12" s="3">
        <f>B10+B4-B7+B11</f>
        <v>46.939999999999991</v>
      </c>
      <c r="C12" s="3">
        <f>C10+C4-C7+C11</f>
        <v>31.940999999999992</v>
      </c>
      <c r="E12" t="s">
        <v>33</v>
      </c>
      <c r="F12" s="4">
        <v>758000</v>
      </c>
    </row>
    <row r="13" spans="1:6" x14ac:dyDescent="0.3">
      <c r="E13" t="s">
        <v>34</v>
      </c>
      <c r="F13" s="5">
        <f>F12-F11</f>
        <v>158000</v>
      </c>
    </row>
    <row r="14" spans="1:6" x14ac:dyDescent="0.3">
      <c r="E14" t="s">
        <v>35</v>
      </c>
      <c r="F14" s="4">
        <v>0.21</v>
      </c>
    </row>
    <row r="15" spans="1:6" x14ac:dyDescent="0.3">
      <c r="A15" t="s">
        <v>9</v>
      </c>
      <c r="B15">
        <v>1</v>
      </c>
      <c r="C15">
        <v>2</v>
      </c>
      <c r="E15" t="s">
        <v>36</v>
      </c>
      <c r="F15" s="5">
        <f>F13*F14</f>
        <v>33180</v>
      </c>
    </row>
    <row r="16" spans="1:6" x14ac:dyDescent="0.3">
      <c r="A16" t="s">
        <v>16</v>
      </c>
      <c r="B16">
        <v>126.6</v>
      </c>
      <c r="C16">
        <v>159.5</v>
      </c>
      <c r="E16" t="s">
        <v>37</v>
      </c>
      <c r="F16" s="5">
        <f>F12-F15</f>
        <v>724820</v>
      </c>
    </row>
    <row r="17" spans="1:3" x14ac:dyDescent="0.3">
      <c r="A17" t="s">
        <v>17</v>
      </c>
      <c r="B17">
        <v>34.4</v>
      </c>
      <c r="C17">
        <v>65.900000000000006</v>
      </c>
    </row>
    <row r="18" spans="1:3" x14ac:dyDescent="0.3">
      <c r="A18" t="s">
        <v>0</v>
      </c>
      <c r="B18">
        <v>26.2</v>
      </c>
      <c r="C18">
        <v>25.7</v>
      </c>
    </row>
    <row r="19" spans="1:3" x14ac:dyDescent="0.3">
      <c r="A19" t="s">
        <v>18</v>
      </c>
      <c r="B19">
        <v>2.1</v>
      </c>
      <c r="C19">
        <v>8.6999999999999993</v>
      </c>
    </row>
    <row r="20" spans="1:3" x14ac:dyDescent="0.3">
      <c r="A20" t="s">
        <v>19</v>
      </c>
      <c r="B20">
        <v>29.3</v>
      </c>
      <c r="C20">
        <v>38.700000000000003</v>
      </c>
    </row>
    <row r="21" spans="1:3" x14ac:dyDescent="0.3">
      <c r="A21" t="s">
        <v>20</v>
      </c>
      <c r="B21">
        <v>21</v>
      </c>
      <c r="C2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13C1-185C-4860-89A3-2E9C8E1DF6E3}">
  <dimension ref="A1:K74"/>
  <sheetViews>
    <sheetView tabSelected="1" topLeftCell="A68" workbookViewId="0">
      <selection activeCell="H75" sqref="H75"/>
    </sheetView>
  </sheetViews>
  <sheetFormatPr defaultRowHeight="14.4" x14ac:dyDescent="0.3"/>
  <sheetData>
    <row r="1" spans="1:1" x14ac:dyDescent="0.3">
      <c r="A1">
        <f>0.08+(0.69*0.0541)</f>
        <v>0.117329</v>
      </c>
    </row>
    <row r="22" spans="2:2" x14ac:dyDescent="0.3">
      <c r="B22">
        <f>0.0696*(1-0.25)</f>
        <v>5.2199999999999996E-2</v>
      </c>
    </row>
    <row r="46" spans="2:2" x14ac:dyDescent="0.3">
      <c r="B46">
        <f>0.1462*(14.9/28.3)+0.0966*(3.3/28.3)+0.0784*(1-0.3)*(10.1/28.3)</f>
        <v>0.10782501766784451</v>
      </c>
    </row>
    <row r="59" spans="10:11" x14ac:dyDescent="0.3">
      <c r="J59" t="s">
        <v>38</v>
      </c>
      <c r="K59">
        <f>(1.34*(1+0.039))/(0.117-0.039)</f>
        <v>17.849487179487177</v>
      </c>
    </row>
    <row r="60" spans="10:11" x14ac:dyDescent="0.3">
      <c r="J60" t="s">
        <v>39</v>
      </c>
      <c r="K60">
        <f>(1.06/(1+0.117))+(1.21/((1+0.117)^2))+((1.34+17.84949)/((1+0.117)^3))</f>
        <v>15.687811389349269</v>
      </c>
    </row>
    <row r="73" spans="1:8" x14ac:dyDescent="0.3">
      <c r="A73" t="s">
        <v>9</v>
      </c>
      <c r="B73">
        <v>1</v>
      </c>
      <c r="C73">
        <v>2</v>
      </c>
      <c r="D73">
        <v>3</v>
      </c>
      <c r="E73">
        <v>4</v>
      </c>
      <c r="F73">
        <v>5</v>
      </c>
    </row>
    <row r="74" spans="1:8" x14ac:dyDescent="0.3">
      <c r="A74" t="s">
        <v>40</v>
      </c>
      <c r="B74">
        <v>52.8</v>
      </c>
      <c r="C74">
        <v>69.400000000000006</v>
      </c>
      <c r="D74">
        <v>78.900000000000006</v>
      </c>
      <c r="E74">
        <v>73.7</v>
      </c>
      <c r="F74">
        <v>81.5</v>
      </c>
      <c r="H74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Morman, Brian</dc:creator>
  <cp:lastModifiedBy>Morman, Brian</cp:lastModifiedBy>
  <dcterms:created xsi:type="dcterms:W3CDTF">2025-06-26T19:09:08Z</dcterms:created>
  <dcterms:modified xsi:type="dcterms:W3CDTF">2025-06-27T22:18:44Z</dcterms:modified>
</cp:coreProperties>
</file>