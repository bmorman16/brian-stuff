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ocuments\Personal\EMBA\"/>
    </mc:Choice>
  </mc:AlternateContent>
  <xr:revisionPtr revIDLastSave="0" documentId="8_{003D6B6F-1441-4886-BAB5-1EDB24B55108}" xr6:coauthVersionLast="47" xr6:coauthVersionMax="47" xr10:uidLastSave="{00000000-0000-0000-0000-000000000000}"/>
  <bookViews>
    <workbookView xWindow="14400" yWindow="0" windowWidth="14400" windowHeight="15600" xr2:uid="{A098504F-9BAC-46C9-82A4-E9B746275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L8" i="1"/>
  <c r="L23" i="1"/>
  <c r="L22" i="1"/>
  <c r="L21" i="1"/>
  <c r="L20" i="1"/>
  <c r="L19" i="1"/>
  <c r="L18" i="1"/>
  <c r="L17" i="1"/>
  <c r="L16" i="1"/>
  <c r="L7" i="1"/>
  <c r="L6" i="1"/>
  <c r="L5" i="1"/>
  <c r="L4" i="1"/>
  <c r="L3" i="1"/>
  <c r="L2" i="1"/>
  <c r="G8" i="1"/>
  <c r="K23" i="1"/>
  <c r="J23" i="1"/>
  <c r="I23" i="1"/>
  <c r="H23" i="1"/>
  <c r="G23" i="1"/>
  <c r="K8" i="1"/>
  <c r="J8" i="1"/>
  <c r="I8" i="1"/>
  <c r="H8" i="1"/>
</calcChain>
</file>

<file path=xl/sharedStrings.xml><?xml version="1.0" encoding="utf-8"?>
<sst xmlns="http://schemas.openxmlformats.org/spreadsheetml/2006/main" count="51" uniqueCount="43">
  <si>
    <t>MKT</t>
  </si>
  <si>
    <t>Market &amp; Consumer Focus</t>
  </si>
  <si>
    <t>ACCT</t>
  </si>
  <si>
    <t>Strategic Cost Accounting and Control</t>
  </si>
  <si>
    <t>MEC</t>
  </si>
  <si>
    <t>Managerial Economics</t>
  </si>
  <si>
    <t>MGT</t>
  </si>
  <si>
    <r>
      <t>Business, Government, &amp; Society </t>
    </r>
    <r>
      <rPr>
        <b/>
        <sz val="10"/>
        <color rgb="FF000000"/>
        <rFont val="Calibri"/>
        <family val="2"/>
      </rPr>
      <t>(DC Residency)</t>
    </r>
  </si>
  <si>
    <t>OMM</t>
  </si>
  <si>
    <t>Data-Driven Decision Making: Analysis to Action</t>
  </si>
  <si>
    <t>OB</t>
  </si>
  <si>
    <t>Negotiations and Conflict Management</t>
  </si>
  <si>
    <t>Course</t>
  </si>
  <si>
    <t>Number</t>
  </si>
  <si>
    <t>Title</t>
  </si>
  <si>
    <t>Start</t>
  </si>
  <si>
    <t>End</t>
  </si>
  <si>
    <t>Grade Submission</t>
  </si>
  <si>
    <t>Credits</t>
  </si>
  <si>
    <t>Cost by unit</t>
  </si>
  <si>
    <t>Net tuition</t>
  </si>
  <si>
    <t>Program fee</t>
  </si>
  <si>
    <t>Coutse Materials</t>
  </si>
  <si>
    <t>Course #</t>
  </si>
  <si>
    <t>Course Title</t>
  </si>
  <si>
    <t>Start Date</t>
  </si>
  <si>
    <t>End Date</t>
  </si>
  <si>
    <t>Projected Grade Submission</t>
  </si>
  <si>
    <t>Units</t>
  </si>
  <si>
    <t>Net Cost by Unit*</t>
  </si>
  <si>
    <t>Net Tuition</t>
  </si>
  <si>
    <t>Program Fee</t>
  </si>
  <si>
    <t>Course Materials</t>
  </si>
  <si>
    <r>
      <t>GO! Week:</t>
    </r>
    <r>
      <rPr>
        <sz val="10"/>
        <color rgb="FF000000"/>
        <rFont val="Calibri"/>
        <family val="2"/>
      </rPr>
      <t> Module 1: Values-Based/Data-Driven Leadership</t>
    </r>
  </si>
  <si>
    <r>
      <t>GO! Week: </t>
    </r>
    <r>
      <rPr>
        <sz val="10"/>
        <color rgb="FF500050"/>
        <rFont val="Calibri"/>
        <family val="2"/>
      </rPr>
      <t>Team Development and Assessment</t>
    </r>
  </si>
  <si>
    <r>
      <t>GO! Week: </t>
    </r>
    <r>
      <rPr>
        <sz val="10"/>
        <color rgb="FF500050"/>
        <rFont val="Calibri"/>
        <family val="2"/>
      </rPr>
      <t>Strategic Management</t>
    </r>
  </si>
  <si>
    <t>Financial Accountability: Metrics for Leaders</t>
  </si>
  <si>
    <t>Creative Thinking</t>
  </si>
  <si>
    <t>Business Analytics &amp; Decisions</t>
  </si>
  <si>
    <t>707E</t>
  </si>
  <si>
    <t>Leadership Communication</t>
  </si>
  <si>
    <t>SUMS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</si>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</sst>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8" x14ac:knownFonts="1">
    <font>
      <sz val="11"/>
      <color theme="1"/>
      <name val="Aptos Narrow"/>
      <family val="2"/>
      <scheme val="minor"/>
    </font>
    <font>
      <sz val="12"/>
      <color rgb="FF222222"/>
      <name val="Arial"/>
      <family val="2"/>
    </font>
    <font>
      <sz val="10"/>
      <color rgb="FF222222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rgb="FF1F497D"/>
      <name val="Calibri"/>
      <family val="2"/>
    </font>
    <font>
      <sz val="10"/>
      <color rgb="FF500050"/>
      <name val="Calibri"/>
      <family val="2"/>
    </font>
    <font>
      <b/>
      <sz val="10"/>
      <color rgb="FF500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8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14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Fill="1" applyBorder="1"/>
    <xf numFmtId="168" fontId="1" fillId="2" borderId="0" xfId="0" applyNumberFormat="1" applyFont="1" applyFill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57DD9-8376-4BEB-B04B-0B488EEAF2C6}">
  <dimension ref="A1:L23"/>
  <sheetViews>
    <sheetView tabSelected="1" workbookViewId="0">
      <selection activeCell="C6" sqref="C6"/>
    </sheetView>
  </sheetViews>
  <sheetFormatPr defaultRowHeight="15" x14ac:dyDescent="0.25"/>
  <cols>
    <col min="1" max="1" width="5.42578125" bestFit="1" customWidth="1"/>
    <col min="2" max="2" width="4" bestFit="1" customWidth="1"/>
    <col min="3" max="3" width="39.28515625" bestFit="1" customWidth="1"/>
    <col min="4" max="5" width="10.42578125" bestFit="1" customWidth="1"/>
    <col min="6" max="6" width="17.42578125" bestFit="1" customWidth="1"/>
    <col min="7" max="7" width="4" bestFit="1" customWidth="1"/>
    <col min="8" max="8" width="13.7109375" bestFit="1" customWidth="1"/>
    <col min="9" max="9" width="12.7109375" bestFit="1" customWidth="1"/>
    <col min="10" max="10" width="13.5703125" bestFit="1" customWidth="1"/>
    <col min="11" max="11" width="14.42578125" bestFit="1" customWidth="1"/>
    <col min="12" max="12" width="14.140625" customWidth="1"/>
  </cols>
  <sheetData>
    <row r="1" spans="1:12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23" t="s">
        <v>42</v>
      </c>
    </row>
    <row r="2" spans="1:12" x14ac:dyDescent="0.25">
      <c r="A2" s="5" t="s">
        <v>0</v>
      </c>
      <c r="B2" s="5">
        <v>774</v>
      </c>
      <c r="C2" s="6" t="s">
        <v>1</v>
      </c>
      <c r="D2" s="7">
        <v>45673</v>
      </c>
      <c r="E2" s="7">
        <v>45731</v>
      </c>
      <c r="F2" s="8">
        <v>45767</v>
      </c>
      <c r="G2" s="5">
        <v>3</v>
      </c>
      <c r="H2" s="9">
        <v>5248.8</v>
      </c>
      <c r="I2" s="9">
        <v>0</v>
      </c>
      <c r="J2" s="9">
        <v>493.2</v>
      </c>
      <c r="K2" s="9">
        <v>137.49</v>
      </c>
      <c r="L2" s="24">
        <f>SUM(H2,I2,J2,K2)</f>
        <v>5879.49</v>
      </c>
    </row>
    <row r="3" spans="1:12" x14ac:dyDescent="0.25">
      <c r="A3" s="10" t="s">
        <v>2</v>
      </c>
      <c r="B3" s="10">
        <v>763</v>
      </c>
      <c r="C3" s="11" t="s">
        <v>3</v>
      </c>
      <c r="D3" s="8">
        <v>45673</v>
      </c>
      <c r="E3" s="8">
        <v>45703</v>
      </c>
      <c r="F3" s="8">
        <v>45736</v>
      </c>
      <c r="G3" s="10">
        <v>3</v>
      </c>
      <c r="H3" s="9">
        <v>5248.8</v>
      </c>
      <c r="I3" s="9">
        <v>5248.8</v>
      </c>
      <c r="J3" s="9">
        <v>493.2</v>
      </c>
      <c r="K3" s="9">
        <v>137.49</v>
      </c>
      <c r="L3" s="24">
        <f>SUM(H3,I3,J3,K3)</f>
        <v>11128.29</v>
      </c>
    </row>
    <row r="4" spans="1:12" x14ac:dyDescent="0.25">
      <c r="A4" s="10" t="s">
        <v>4</v>
      </c>
      <c r="B4" s="10">
        <v>722</v>
      </c>
      <c r="C4" s="11" t="s">
        <v>5</v>
      </c>
      <c r="D4" s="8">
        <v>45701</v>
      </c>
      <c r="E4" s="8">
        <v>45731</v>
      </c>
      <c r="F4" s="8">
        <v>45767</v>
      </c>
      <c r="G4" s="10">
        <v>3</v>
      </c>
      <c r="H4" s="9">
        <v>5248.8</v>
      </c>
      <c r="I4" s="9">
        <v>5248.8</v>
      </c>
      <c r="J4" s="9">
        <v>493.2</v>
      </c>
      <c r="K4" s="9">
        <v>137.49</v>
      </c>
      <c r="L4" s="24">
        <f>SUM(H4,I4,J4,K4)</f>
        <v>11128.29</v>
      </c>
    </row>
    <row r="5" spans="1:12" x14ac:dyDescent="0.25">
      <c r="A5" s="10" t="s">
        <v>6</v>
      </c>
      <c r="B5" s="10">
        <v>785</v>
      </c>
      <c r="C5" s="11" t="s">
        <v>7</v>
      </c>
      <c r="D5" s="8">
        <v>45749</v>
      </c>
      <c r="E5" s="8">
        <v>45752</v>
      </c>
      <c r="F5" s="8">
        <v>45797</v>
      </c>
      <c r="G5" s="10">
        <v>3</v>
      </c>
      <c r="H5" s="9">
        <v>5248.8</v>
      </c>
      <c r="I5" s="9">
        <v>5248.8</v>
      </c>
      <c r="J5" s="9">
        <v>493.2</v>
      </c>
      <c r="K5" s="9">
        <v>137.49</v>
      </c>
      <c r="L5" s="24">
        <f>SUM(H5,I5,J5,K5)</f>
        <v>11128.29</v>
      </c>
    </row>
    <row r="6" spans="1:12" ht="76.5" x14ac:dyDescent="0.25">
      <c r="A6" s="10" t="s">
        <v>8</v>
      </c>
      <c r="B6" s="10">
        <v>748</v>
      </c>
      <c r="C6" s="12" t="s">
        <v>9</v>
      </c>
      <c r="D6" s="8">
        <v>45778</v>
      </c>
      <c r="E6" s="8">
        <v>45780</v>
      </c>
      <c r="F6" s="13">
        <v>45833</v>
      </c>
      <c r="G6" s="5">
        <v>1.5</v>
      </c>
      <c r="H6" s="9">
        <v>2624.4</v>
      </c>
      <c r="I6" s="9">
        <v>0</v>
      </c>
      <c r="J6" s="9">
        <v>246.6</v>
      </c>
      <c r="K6" s="9">
        <v>68.75</v>
      </c>
      <c r="L6" s="24">
        <f>SUM(H6,I6,J6,K6)</f>
        <v>2939.75</v>
      </c>
    </row>
    <row r="7" spans="1:12" x14ac:dyDescent="0.25">
      <c r="A7" s="5" t="s">
        <v>10</v>
      </c>
      <c r="B7" s="5">
        <v>727</v>
      </c>
      <c r="C7" s="6" t="s">
        <v>11</v>
      </c>
      <c r="D7" s="7">
        <v>45778</v>
      </c>
      <c r="E7" s="7">
        <v>45780</v>
      </c>
      <c r="F7" s="8">
        <v>45828</v>
      </c>
      <c r="G7" s="10">
        <v>1.5</v>
      </c>
      <c r="H7" s="9">
        <v>2624.4</v>
      </c>
      <c r="I7" s="9">
        <v>2624.4</v>
      </c>
      <c r="J7" s="9">
        <v>246.6</v>
      </c>
      <c r="K7" s="9">
        <v>68.75</v>
      </c>
      <c r="L7" s="24">
        <f>SUM(H7,I7,J7,K7)</f>
        <v>5564.1500000000005</v>
      </c>
    </row>
    <row r="8" spans="1:12" ht="15.75" x14ac:dyDescent="0.25">
      <c r="A8" s="14"/>
      <c r="B8" s="4"/>
      <c r="C8" s="4"/>
      <c r="D8" s="4"/>
      <c r="E8" s="4"/>
      <c r="F8" s="4"/>
      <c r="G8">
        <f>SUM(G1:G7)</f>
        <v>15</v>
      </c>
      <c r="H8" s="4">
        <f>SUM(H2:H7)</f>
        <v>26244.000000000004</v>
      </c>
      <c r="I8" s="4">
        <f>SUM(I2:I7)</f>
        <v>18370.800000000003</v>
      </c>
      <c r="J8" s="4">
        <f>SUM(J2:J7)</f>
        <v>2466</v>
      </c>
      <c r="K8" s="4">
        <f>SUM(K2:K7)</f>
        <v>687.46</v>
      </c>
      <c r="L8" s="24">
        <f>SUM(H8,I8,J8,K8)</f>
        <v>47768.26</v>
      </c>
    </row>
    <row r="10" spans="1:12" x14ac:dyDescent="0.25">
      <c r="H10">
        <f>25000</f>
        <v>25000</v>
      </c>
    </row>
    <row r="15" spans="1:12" ht="26.25" thickBot="1" x14ac:dyDescent="0.3">
      <c r="A15" s="21" t="s">
        <v>23</v>
      </c>
      <c r="B15" s="21"/>
      <c r="C15" s="15" t="s">
        <v>24</v>
      </c>
      <c r="D15" s="15" t="s">
        <v>25</v>
      </c>
      <c r="E15" s="15" t="s">
        <v>26</v>
      </c>
      <c r="F15" s="15" t="s">
        <v>27</v>
      </c>
      <c r="G15" s="15" t="s">
        <v>28</v>
      </c>
      <c r="H15" s="15" t="s">
        <v>29</v>
      </c>
      <c r="I15" s="15" t="s">
        <v>30</v>
      </c>
      <c r="J15" s="15" t="s">
        <v>31</v>
      </c>
      <c r="K15" s="15" t="s">
        <v>32</v>
      </c>
      <c r="L15" s="25" t="s">
        <v>42</v>
      </c>
    </row>
    <row r="16" spans="1:12" x14ac:dyDescent="0.25">
      <c r="A16" s="3" t="s">
        <v>10</v>
      </c>
      <c r="B16" s="3">
        <v>746</v>
      </c>
      <c r="C16" s="16" t="s">
        <v>33</v>
      </c>
      <c r="D16" s="17">
        <v>45530</v>
      </c>
      <c r="E16" s="17">
        <v>45535</v>
      </c>
      <c r="F16" s="1">
        <v>45641</v>
      </c>
      <c r="G16" s="3">
        <v>1.5</v>
      </c>
      <c r="H16" s="2">
        <v>3280.5</v>
      </c>
      <c r="I16" s="2">
        <v>3657.5</v>
      </c>
      <c r="J16" s="2">
        <v>308.25</v>
      </c>
      <c r="K16" s="2">
        <v>68.75</v>
      </c>
      <c r="L16">
        <f>I16+J16+K16</f>
        <v>4034.5</v>
      </c>
    </row>
    <row r="17" spans="1:12" x14ac:dyDescent="0.25">
      <c r="A17" s="18" t="s">
        <v>10</v>
      </c>
      <c r="B17" s="18">
        <v>726</v>
      </c>
      <c r="C17" s="19" t="s">
        <v>34</v>
      </c>
      <c r="D17" s="17">
        <v>45530</v>
      </c>
      <c r="E17" s="17">
        <v>45535</v>
      </c>
      <c r="F17" s="1">
        <v>45580</v>
      </c>
      <c r="G17" s="3">
        <v>1.5</v>
      </c>
      <c r="H17" s="2">
        <v>3280.5</v>
      </c>
      <c r="I17" s="2">
        <v>3657.5</v>
      </c>
      <c r="J17" s="2">
        <v>308.25</v>
      </c>
      <c r="K17" s="2">
        <v>68.75</v>
      </c>
      <c r="L17">
        <f>I17+J17+K17</f>
        <v>4034.5</v>
      </c>
    </row>
    <row r="18" spans="1:12" x14ac:dyDescent="0.25">
      <c r="A18" s="18" t="s">
        <v>6</v>
      </c>
      <c r="B18" s="18">
        <v>706</v>
      </c>
      <c r="C18" s="19" t="s">
        <v>35</v>
      </c>
      <c r="D18" s="17">
        <v>45530</v>
      </c>
      <c r="E18" s="17">
        <v>45535</v>
      </c>
      <c r="F18" s="1">
        <v>45580</v>
      </c>
      <c r="G18" s="3">
        <v>1.5</v>
      </c>
      <c r="H18" s="2">
        <v>3280.5</v>
      </c>
      <c r="I18" s="2">
        <v>3657.5</v>
      </c>
      <c r="J18" s="2">
        <v>308.25</v>
      </c>
      <c r="K18" s="2">
        <v>68.75</v>
      </c>
      <c r="L18">
        <f>I18+J18+K18</f>
        <v>4034.5</v>
      </c>
    </row>
    <row r="19" spans="1:12" x14ac:dyDescent="0.25">
      <c r="A19" s="18" t="s">
        <v>2</v>
      </c>
      <c r="B19" s="18">
        <v>760</v>
      </c>
      <c r="C19" s="20" t="s">
        <v>36</v>
      </c>
      <c r="D19" s="17">
        <v>45561</v>
      </c>
      <c r="E19" s="17">
        <v>45591</v>
      </c>
      <c r="F19" s="1">
        <v>45641</v>
      </c>
      <c r="G19" s="18">
        <v>3</v>
      </c>
      <c r="H19" s="2">
        <v>6561</v>
      </c>
      <c r="I19" s="2">
        <v>7314.99</v>
      </c>
      <c r="J19" s="2">
        <v>616.5</v>
      </c>
      <c r="K19" s="2">
        <v>137.49</v>
      </c>
      <c r="L19">
        <f>I19+J19+K19</f>
        <v>8068.98</v>
      </c>
    </row>
    <row r="20" spans="1:12" x14ac:dyDescent="0.25">
      <c r="A20" s="18" t="s">
        <v>10</v>
      </c>
      <c r="B20" s="18">
        <v>740</v>
      </c>
      <c r="C20" s="20" t="s">
        <v>37</v>
      </c>
      <c r="D20" s="1">
        <v>45561</v>
      </c>
      <c r="E20" s="1">
        <v>45563</v>
      </c>
      <c r="F20" s="1">
        <v>45992</v>
      </c>
      <c r="G20" s="3">
        <v>1.5</v>
      </c>
      <c r="H20" s="2">
        <v>3280.5</v>
      </c>
      <c r="I20" s="2">
        <v>3657.5</v>
      </c>
      <c r="J20" s="2">
        <v>308.25</v>
      </c>
      <c r="K20" s="2">
        <v>68.75</v>
      </c>
      <c r="L20">
        <f>I20+J20+K20</f>
        <v>4034.5</v>
      </c>
    </row>
    <row r="21" spans="1:12" x14ac:dyDescent="0.25">
      <c r="A21" s="18" t="s">
        <v>6</v>
      </c>
      <c r="B21" s="18">
        <v>790</v>
      </c>
      <c r="C21" s="20" t="s">
        <v>38</v>
      </c>
      <c r="D21" s="17">
        <v>45589</v>
      </c>
      <c r="E21" s="17">
        <v>45633</v>
      </c>
      <c r="F21" s="1">
        <v>45672</v>
      </c>
      <c r="G21" s="18">
        <v>3</v>
      </c>
      <c r="H21" s="2">
        <v>6561</v>
      </c>
      <c r="I21" s="2">
        <v>7314.99</v>
      </c>
      <c r="J21" s="2">
        <v>616.5</v>
      </c>
      <c r="K21" s="2">
        <v>137.49</v>
      </c>
      <c r="L21">
        <f>I21+J21+K21</f>
        <v>8068.98</v>
      </c>
    </row>
    <row r="22" spans="1:12" x14ac:dyDescent="0.25">
      <c r="A22" s="18" t="s">
        <v>6</v>
      </c>
      <c r="B22" s="18" t="s">
        <v>39</v>
      </c>
      <c r="C22" s="20" t="s">
        <v>40</v>
      </c>
      <c r="D22" s="1">
        <v>45631</v>
      </c>
      <c r="E22" s="1">
        <v>45633</v>
      </c>
      <c r="F22" s="1">
        <v>45672</v>
      </c>
      <c r="G22" s="3">
        <v>1.5</v>
      </c>
      <c r="H22" s="2">
        <v>3280.5</v>
      </c>
      <c r="I22" s="2">
        <v>3657.5</v>
      </c>
      <c r="J22" s="2">
        <v>308.25</v>
      </c>
      <c r="K22" s="2">
        <v>68.75</v>
      </c>
      <c r="L22">
        <f>I22+J22+K22</f>
        <v>4034.5</v>
      </c>
    </row>
    <row r="23" spans="1:12" x14ac:dyDescent="0.25">
      <c r="A23" s="22" t="s">
        <v>41</v>
      </c>
      <c r="B23" s="22"/>
      <c r="C23" s="22"/>
      <c r="D23" s="22"/>
      <c r="E23" s="22"/>
      <c r="F23" s="22"/>
      <c r="G23">
        <f>SUM(G16:G22)</f>
        <v>13.5</v>
      </c>
      <c r="H23">
        <f>SUM(H16:H22)</f>
        <v>29524.5</v>
      </c>
      <c r="I23">
        <f>SUM(I16:I22)</f>
        <v>32917.479999999996</v>
      </c>
      <c r="J23">
        <f>SUM(J16:J22)</f>
        <v>2774.25</v>
      </c>
      <c r="K23">
        <f>SUM(K16:K22)</f>
        <v>618.73</v>
      </c>
      <c r="L23">
        <f>I23+J23+K23</f>
        <v>36310.46</v>
      </c>
    </row>
  </sheetData>
  <mergeCells count="2">
    <mergeCell ref="A15:B15"/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dcterms:created xsi:type="dcterms:W3CDTF">2025-02-17T17:28:01Z</dcterms:created>
  <dcterms:modified xsi:type="dcterms:W3CDTF">2025-02-17T18:24:42Z</dcterms:modified>
</cp:coreProperties>
</file>