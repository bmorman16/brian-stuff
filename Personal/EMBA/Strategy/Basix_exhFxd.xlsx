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dix/Documents/_WorkFiles_09.17.23/_CourseDev/Analytics/MailOuts/Part 2/5b_BASIX/"/>
    </mc:Choice>
  </mc:AlternateContent>
  <xr:revisionPtr revIDLastSave="0" documentId="13_ncr:1_{6F10A63F-52FA-4744-89A8-E085C8120F8B}" xr6:coauthVersionLast="47" xr6:coauthVersionMax="47" xr10:uidLastSave="{00000000-0000-0000-0000-000000000000}"/>
  <bookViews>
    <workbookView xWindow="0" yWindow="660" windowWidth="22080" windowHeight="15480" xr2:uid="{00000000-000D-0000-FFFF-FFFF00000000}"/>
  </bookViews>
  <sheets>
    <sheet name="Table A" sheetId="2" r:id="rId1"/>
    <sheet name="Exhibit 1" sheetId="3" r:id="rId2"/>
    <sheet name="Exhibit 2" sheetId="4" r:id="rId3"/>
    <sheet name="Exhibit 3" sheetId="5" r:id="rId4"/>
    <sheet name="Exhibit 4" sheetId="6" r:id="rId5"/>
    <sheet name="Exhibit 5 (continued)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2" i="3" l="1"/>
</calcChain>
</file>

<file path=xl/sharedStrings.xml><?xml version="1.0" encoding="utf-8"?>
<sst xmlns="http://schemas.openxmlformats.org/spreadsheetml/2006/main" count="156" uniqueCount="140">
  <si>
    <t>Stage</t>
  </si>
  <si>
    <t>Length of Stage (in days)</t>
  </si>
  <si>
    <t>Ky (yield response) Factor</t>
  </si>
  <si>
    <t>Initial</t>
  </si>
  <si>
    <t>Crop Development</t>
  </si>
  <si>
    <t>Midseason</t>
  </si>
  <si>
    <t>Late</t>
  </si>
  <si>
    <t>Total</t>
  </si>
  <si>
    <t>2001</t>
  </si>
  <si>
    <t>2002</t>
  </si>
  <si>
    <t>2003</t>
  </si>
  <si>
    <t>2004</t>
  </si>
  <si>
    <t>Income</t>
  </si>
  <si>
    <t>Income from Operations</t>
  </si>
  <si>
    <t>Income from Investments</t>
  </si>
  <si>
    <t>Other Income</t>
  </si>
  <si>
    <t>Expenditure</t>
  </si>
  <si>
    <t>Interest on Borrowed Funds</t>
  </si>
  <si>
    <t>Salaries, Allowances and Benefits to Staff</t>
  </si>
  <si>
    <t>Financial Services Charges to Customer Service Agents</t>
  </si>
  <si>
    <t>Other Operating Expenses</t>
  </si>
  <si>
    <t>Bad Debts Written Off</t>
  </si>
  <si>
    <t>Provision of Doubtful Debts</t>
  </si>
  <si>
    <t>Depreciation</t>
  </si>
  <si>
    <t>Other</t>
  </si>
  <si>
    <t>Profit before Taxation</t>
  </si>
  <si>
    <t>Provision for current Taxation</t>
  </si>
  <si>
    <t>Profit after current Taxation</t>
  </si>
  <si>
    <t>Credit for Deferred tax</t>
  </si>
  <si>
    <t>Profit after tax</t>
  </si>
  <si>
    <t>Earlier-year provision written back</t>
  </si>
  <si>
    <t>Assets</t>
  </si>
  <si>
    <t>Current Assets, Loans &amp; Advances</t>
  </si>
  <si>
    <t>Cash and Bank Balances</t>
  </si>
  <si>
    <t>Unsecured Loans to Rural Producers</t>
  </si>
  <si>
    <t>Less: Securitised Loans Derecognized</t>
  </si>
  <si>
    <t>Net Loans Owned</t>
  </si>
  <si>
    <t>Interest Receivable on Loans</t>
  </si>
  <si>
    <t>Advances Recoverable and other current assets</t>
  </si>
  <si>
    <t>Total Current Assets, Loans, &amp; Advances</t>
  </si>
  <si>
    <t>Fixed Assets</t>
  </si>
  <si>
    <t>Investments</t>
  </si>
  <si>
    <t>Less: Current Liabilities and Provisions</t>
  </si>
  <si>
    <t>Current Liabilities</t>
  </si>
  <si>
    <t>Provision for Taxation</t>
  </si>
  <si>
    <t>Other Provisions</t>
  </si>
  <si>
    <t>Total Current Liabilities and Provisions</t>
  </si>
  <si>
    <t>Net Current Assets</t>
  </si>
  <si>
    <t>Miscellaneous Expenditures (not yet written off)</t>
  </si>
  <si>
    <t>Liabilities and Shareholder Funds</t>
  </si>
  <si>
    <t>Shareholder Funds</t>
  </si>
  <si>
    <t>Share Capital</t>
  </si>
  <si>
    <t>Reserves and Surplus</t>
  </si>
  <si>
    <t>Total Shareholder Funds</t>
  </si>
  <si>
    <t>Loan Funds</t>
  </si>
  <si>
    <t>Secured Loans</t>
  </si>
  <si>
    <t>Unsecured Loans</t>
  </si>
  <si>
    <t>Deferred Taxation (net)</t>
  </si>
  <si>
    <t>Total Liabilities and Shareholder Funds</t>
  </si>
  <si>
    <t>&lt; Rs. 2,000</t>
  </si>
  <si>
    <t>&gt; Rs. 3000</t>
  </si>
  <si>
    <t>Share of BASIX Clients in Income Range</t>
  </si>
  <si>
    <t>&gt; Rs. 3,000</t>
  </si>
  <si>
    <t>Main Activity of Households</t>
  </si>
  <si>
    <t>Share of Households With Primary Income From:</t>
  </si>
  <si>
    <t>Own farm cultivation</t>
  </si>
  <si>
    <t>Agricultural labor</t>
  </si>
  <si>
    <t>Self-employment (nonagricultural)</t>
  </si>
  <si>
    <t>Wage labor</t>
  </si>
  <si>
    <t>Household Composition</t>
  </si>
  <si>
    <t>Average Household Size</t>
  </si>
  <si>
    <t>Adults</t>
  </si>
  <si>
    <t>Children</t>
  </si>
  <si>
    <t>Total Expenditures</t>
  </si>
  <si>
    <t>Food</t>
  </si>
  <si>
    <t>Fuel &amp; Light</t>
  </si>
  <si>
    <t>Clothing and Footwear</t>
  </si>
  <si>
    <t>Medical care</t>
  </si>
  <si>
    <t>Rent</t>
  </si>
  <si>
    <t>Assets:</t>
  </si>
  <si>
    <t>Average Landholdings (acre)</t>
  </si>
  <si>
    <t>Total indebtedness</t>
  </si>
  <si>
    <t>Bank loans</t>
  </si>
  <si>
    <t>Population Information</t>
  </si>
  <si>
    <t>Population (2001)</t>
  </si>
  <si>
    <t>3.5 million</t>
  </si>
  <si>
    <t>76.2 million</t>
  </si>
  <si>
    <t>406 million</t>
  </si>
  <si>
    <t>Number of Villages (2001)</t>
  </si>
  <si>
    <t>BASIX Operations</t>
  </si>
  <si>
    <t>BASIX Borrowers (March 2004)</t>
  </si>
  <si>
    <t>Villages in which Insurance Sold (2003)</t>
  </si>
  <si>
    <t>Individuals who Purchased Insurance (2003)</t>
  </si>
  <si>
    <t>Approximate Number of Acres Insured (2003)</t>
  </si>
  <si>
    <t>Approximate Total Insurance Revenue (2003)</t>
  </si>
  <si>
    <t>Premium (Rs.)</t>
  </si>
  <si>
    <t>Normal Index</t>
  </si>
  <si>
    <t>Payment / mm for Shortfall (Rs.)</t>
  </si>
  <si>
    <t>Trigger for Max</t>
  </si>
  <si>
    <t>Max Payout (Rs.)</t>
  </si>
  <si>
    <t>1 Days 1-35</t>
  </si>
  <si>
    <t>20mm</t>
  </si>
  <si>
    <t>2 Days 36-70</t>
  </si>
  <si>
    <t>40mm</t>
  </si>
  <si>
    <t>3 Days 71-115</t>
  </si>
  <si>
    <t>10mm</t>
  </si>
  <si>
    <r>
      <t>Other</t>
    </r>
    <r>
      <rPr>
        <vertAlign val="superscript"/>
        <sz val="10"/>
        <rFont val="Arial"/>
        <family val="2"/>
      </rPr>
      <t>d</t>
    </r>
  </si>
  <si>
    <r>
      <t>Table A</t>
    </r>
    <r>
      <rPr>
        <sz val="10"/>
        <rFont val="Arial"/>
        <family val="2"/>
      </rPr>
      <t xml:space="preserve"> Yield Response Factor for Groundnut</t>
    </r>
  </si>
  <si>
    <t>Source: Adapted from Food and Agricultural Organization of the United Nations.</t>
  </si>
  <si>
    <t>Bhartiya Samruddhi Finance Limited</t>
  </si>
  <si>
    <r>
      <t>Exhibit 1</t>
    </r>
    <r>
      <rPr>
        <sz val="10"/>
        <rFont val="Arial"/>
        <family val="2"/>
      </rPr>
      <t xml:space="preserve"> Statement of Profits and Losses for Years Ending March 31, 2001–2004 (in 000 rupees)</t>
    </r>
  </si>
  <si>
    <t>Source: BASIX annual reports.</t>
  </si>
  <si>
    <r>
      <t>Exhibit 2</t>
    </r>
    <r>
      <rPr>
        <sz val="10"/>
        <rFont val="Arial"/>
        <family val="2"/>
      </rPr>
      <t xml:space="preserve"> Balance Sheet Years Ending March 31, 2001–2004 (in 000 rupees)</t>
    </r>
  </si>
  <si>
    <t>Characteristics of Households Whose Primary Income is From Own Farm Cultivation or Agricultural Labor:</t>
  </si>
  <si>
    <r>
      <t>Exhibit 3</t>
    </r>
    <r>
      <rPr>
        <sz val="10"/>
        <rFont val="Arial"/>
        <family val="2"/>
      </rPr>
      <t xml:space="preserve"> Characteristics of BASIX Clients and Population in Districts in which BASIX Operates</t>
    </r>
  </si>
  <si>
    <r>
      <t>Moneylender Loans</t>
    </r>
    <r>
      <rPr>
        <vertAlign val="superscript"/>
        <sz val="10"/>
        <rFont val="Arial"/>
        <family val="2"/>
      </rPr>
      <t>c</t>
    </r>
  </si>
  <si>
    <r>
      <t>A: Income per Month</t>
    </r>
    <r>
      <rPr>
        <b/>
        <vertAlign val="superscript"/>
        <sz val="10"/>
        <rFont val="Arial"/>
        <family val="2"/>
      </rPr>
      <t>a</t>
    </r>
  </si>
  <si>
    <t>Source: BASIX annual feports, Indian National Sample Survey.</t>
  </si>
  <si>
    <r>
      <t>a</t>
    </r>
    <r>
      <rPr>
        <sz val="8"/>
        <rFont val="Arial"/>
        <family val="2"/>
      </rPr>
      <t>Panel A gives the share of BASIX clients whose monthly income falls in the following range.</t>
    </r>
  </si>
  <si>
    <r>
      <t>b</t>
    </r>
    <r>
      <rPr>
        <sz val="8"/>
        <rFont val="Arial"/>
        <family val="2"/>
      </rPr>
      <t>Panel B gives the average household characteristics, expenditures, and assets and liabilities of a household whose monthly household expenditures are in the indicated income range. These expenditures do not include farm inputs. Source: National Sample Survey, 2001.</t>
    </r>
  </si>
  <si>
    <r>
      <t>c</t>
    </r>
    <r>
      <rPr>
        <sz val="8"/>
        <rFont val="Arial"/>
        <family val="2"/>
      </rPr>
      <t>Moneylenders are private individuals who provide loans to members of the community, at interest rates ranging from 2% to 10% per month.</t>
    </r>
  </si>
  <si>
    <r>
      <t>d</t>
    </r>
    <r>
      <rPr>
        <sz val="8"/>
        <rFont val="Arial"/>
        <family val="2"/>
      </rPr>
      <t xml:space="preserve">Other sources of debt include loans from friends and neighbors and suppliers of farm inputs. </t>
    </r>
  </si>
  <si>
    <t>Mahbubnagar District</t>
  </si>
  <si>
    <t>Andhra Pradesh State</t>
  </si>
  <si>
    <t>All States in which BASIX Operates</t>
  </si>
  <si>
    <t>Approximate Share of Population within 30 km of rainfall station</t>
  </si>
  <si>
    <t>Source: Census of India, 2001; casewriter estimates; BASIX Annual Report 2003–2004.</t>
  </si>
  <si>
    <r>
      <t>Exhibit 4</t>
    </r>
    <r>
      <rPr>
        <sz val="10"/>
        <rFont val="Arial"/>
        <family val="2"/>
      </rPr>
      <t xml:space="preserve"> Data on Districts in which BASIX Operates</t>
    </r>
  </si>
  <si>
    <t>Period</t>
  </si>
  <si>
    <t>Phase</t>
  </si>
  <si>
    <t>Proposed Insurance Policy for Groundnut, 2004</t>
  </si>
  <si>
    <t>Proposed Policy, 2004</t>
  </si>
  <si>
    <t>Coverage Period: June 10 to October 12, 2004</t>
  </si>
  <si>
    <t>Exhibit 5 (continued)</t>
  </si>
  <si>
    <t>Source: BASIX documents.</t>
  </si>
  <si>
    <t>Rs. 2,001–Rs. 3,000</t>
  </si>
  <si>
    <r>
      <t>B: Expenditures per Month</t>
    </r>
    <r>
      <rPr>
        <b/>
        <vertAlign val="superscript"/>
        <sz val="10"/>
        <rFont val="Arial"/>
        <family val="2"/>
      </rPr>
      <t>b</t>
    </r>
  </si>
  <si>
    <t>Rs. 2,001– Rs. 3,000</t>
  </si>
  <si>
    <t>Expenses</t>
  </si>
  <si>
    <t>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</si>
</sst>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>
      <alignment vertical="top"/>
    </xf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2">
    <xf numFmtId="0" fontId="1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1" xfId="0" applyNumberFormat="1" applyFont="1" applyFill="1" applyBorder="1" applyAlignment="1" applyProtection="1">
      <alignment horizontal="left" vertical="top"/>
    </xf>
    <xf numFmtId="0" fontId="2" fillId="0" borderId="2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horizontal="center" vertical="top"/>
    </xf>
    <xf numFmtId="0" fontId="3" fillId="0" borderId="3" xfId="0" applyNumberFormat="1" applyFont="1" applyFill="1" applyBorder="1" applyAlignment="1" applyProtection="1">
      <alignment horizontal="center" vertical="top"/>
    </xf>
    <xf numFmtId="0" fontId="3" fillId="0" borderId="2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 vertical="top" indent="3"/>
    </xf>
    <xf numFmtId="0" fontId="2" fillId="0" borderId="0" xfId="0" applyNumberFormat="1" applyFont="1" applyFill="1" applyBorder="1" applyAlignment="1" applyProtection="1">
      <alignment horizontal="left" vertical="top" indent="1"/>
    </xf>
    <xf numFmtId="0" fontId="3" fillId="0" borderId="1" xfId="0" applyNumberFormat="1" applyFont="1" applyFill="1" applyBorder="1" applyAlignment="1" applyProtection="1">
      <alignment horizontal="left" vertical="top"/>
    </xf>
    <xf numFmtId="1" fontId="2" fillId="0" borderId="0" xfId="0" applyNumberFormat="1" applyFont="1" applyFill="1" applyBorder="1" applyAlignment="1" applyProtection="1">
      <alignment horizontal="right" vertical="top"/>
    </xf>
    <xf numFmtId="0" fontId="3" fillId="0" borderId="3" xfId="0" applyNumberFormat="1" applyFont="1" applyFill="1" applyBorder="1" applyAlignment="1" applyProtection="1">
      <alignment horizontal="left" vertical="top"/>
    </xf>
    <xf numFmtId="0" fontId="3" fillId="0" borderId="2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top"/>
    </xf>
    <xf numFmtId="164" fontId="2" fillId="0" borderId="0" xfId="0" applyNumberFormat="1" applyFont="1" applyFill="1" applyBorder="1" applyAlignment="1" applyProtection="1">
      <alignment horizontal="center" vertical="top"/>
    </xf>
    <xf numFmtId="0" fontId="2" fillId="0" borderId="3" xfId="0" applyNumberFormat="1" applyFont="1" applyFill="1" applyBorder="1" applyAlignment="1" applyProtection="1">
      <alignment vertical="top"/>
    </xf>
    <xf numFmtId="0" fontId="2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1" xfId="0" applyNumberFormat="1" applyFont="1" applyFill="1" applyBorder="1" applyAlignment="1" applyProtection="1">
      <alignment vertical="top"/>
    </xf>
    <xf numFmtId="0" fontId="7" fillId="0" borderId="0" xfId="0" applyNumberFormat="1" applyFont="1" applyFill="1" applyBorder="1" applyAlignment="1" applyProtection="1">
      <alignment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3" fontId="2" fillId="0" borderId="1" xfId="0" applyNumberFormat="1" applyFont="1" applyFill="1" applyBorder="1" applyAlignment="1" applyProtection="1">
      <alignment horizontal="right" vertical="top"/>
    </xf>
    <xf numFmtId="1" fontId="3" fillId="0" borderId="1" xfId="0" applyNumberFormat="1" applyFont="1" applyFill="1" applyBorder="1" applyAlignment="1" applyProtection="1">
      <alignment horizontal="center" vertical="top"/>
    </xf>
    <xf numFmtId="1" fontId="3" fillId="0" borderId="0" xfId="0" applyNumberFormat="1" applyFont="1" applyFill="1" applyBorder="1" applyAlignment="1" applyProtection="1">
      <alignment horizontal="center" vertical="top"/>
    </xf>
    <xf numFmtId="0" fontId="7" fillId="0" borderId="1" xfId="0" applyNumberFormat="1" applyFont="1" applyFill="1" applyBorder="1" applyAlignment="1" applyProtection="1">
      <alignment vertical="top"/>
    </xf>
    <xf numFmtId="2" fontId="2" fillId="0" borderId="0" xfId="0" applyNumberFormat="1" applyFont="1" applyFill="1" applyBorder="1" applyAlignment="1" applyProtection="1">
      <alignment horizontal="right" vertical="top"/>
    </xf>
    <xf numFmtId="16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vertical="top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 indent="1"/>
    </xf>
    <xf numFmtId="0" fontId="2" fillId="0" borderId="0" xfId="0" applyNumberFormat="1" applyFont="1" applyFill="1" applyBorder="1" applyAlignment="1" applyProtection="1">
      <alignment horizontal="left" vertical="top" wrapText="1" indent="2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wrapText="1"/>
    </xf>
    <xf numFmtId="9" fontId="2" fillId="0" borderId="0" xfId="0" applyNumberFormat="1" applyFont="1" applyFill="1" applyBorder="1" applyAlignment="1" applyProtection="1">
      <alignment horizontal="right" vertical="top" wrapText="1"/>
    </xf>
    <xf numFmtId="9" fontId="2" fillId="0" borderId="0" xfId="0" applyNumberFormat="1" applyFont="1" applyFill="1" applyBorder="1" applyAlignment="1" applyProtection="1">
      <alignment horizontal="right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3" fontId="2" fillId="0" borderId="0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vertical="top" wrapText="1"/>
    </xf>
    <xf numFmtId="1" fontId="1" fillId="0" borderId="0" xfId="0" applyNumberFormat="1" applyFont="1" applyFill="1" applyBorder="1" applyAlignment="1" applyProtection="1">
      <alignment vertical="top"/>
    </xf>
    <xf numFmtId="165" fontId="2" fillId="0" borderId="0" xfId="1" applyNumberFormat="1" applyFont="1" applyFill="1" applyBorder="1" applyAlignment="1" applyProtection="1">
      <alignment horizontal="right" vertical="top"/>
    </xf>
    <xf numFmtId="165" fontId="1" fillId="0" borderId="0" xfId="1" applyNumberFormat="1" applyFont="1" applyFill="1" applyBorder="1" applyAlignment="1" applyProtection="1">
      <alignment vertical="top"/>
    </xf>
    <xf numFmtId="9" fontId="2" fillId="0" borderId="0" xfId="2" applyFont="1" applyFill="1" applyBorder="1" applyAlignment="1" applyProtection="1">
      <alignment horizontal="right" vertical="top"/>
    </xf>
    <xf numFmtId="9" fontId="1" fillId="0" borderId="0" xfId="2" applyFont="1" applyFill="1" applyBorder="1" applyAlignment="1" applyProtection="1">
      <alignment vertical="top"/>
    </xf>
    <xf numFmtId="166" fontId="1" fillId="0" borderId="0" xfId="2" applyNumberFormat="1" applyFont="1" applyFill="1" applyBorder="1" applyAlignment="1" applyProtection="1">
      <alignment vertical="top"/>
    </xf>
    <xf numFmtId="166" fontId="1" fillId="0" borderId="0" xfId="0" applyNumberFormat="1" applyFont="1" applyFill="1" applyBorder="1" applyAlignment="1" applyProtection="1">
      <alignment vertical="top"/>
    </xf>
    <xf numFmtId="165" fontId="1" fillId="0" borderId="0" xfId="1" applyNumberFormat="1" applyFont="1" applyFill="1" applyBorder="1" applyAlignment="1" applyProtection="1">
      <alignment horizontal="right" vertical="top"/>
    </xf>
    <xf numFmtId="3" fontId="1" fillId="0" borderId="0" xfId="0" applyNumberFormat="1" applyFont="1" applyFill="1" applyBorder="1" applyAlignment="1" applyProtection="1">
      <alignment vertical="top"/>
    </xf>
    <xf numFmtId="9" fontId="2" fillId="0" borderId="3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/>
    </xf>
    <xf numFmtId="0" fontId="7" fillId="0" borderId="0" xfId="0" applyNumberFormat="1" applyFont="1" applyFill="1" applyBorder="1" applyAlignment="1" applyProtection="1">
      <alignment vertical="top"/>
    </xf>
    <xf numFmtId="0" fontId="1" fillId="0" borderId="2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left" vertical="top" indent="3"/>
    </xf>
    <xf numFmtId="0" fontId="3" fillId="0" borderId="0" xfId="0" applyNumberFormat="1" applyFont="1" applyFill="1" applyBorder="1" applyAlignment="1" applyProtection="1">
      <alignment horizontal="left" vertical="top" indent="3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zoomScale="184" workbookViewId="0">
      <selection sqref="A1:C1"/>
    </sheetView>
  </sheetViews>
  <sheetFormatPr baseColWidth="10" defaultColWidth="8.83203125" defaultRowHeight="13" x14ac:dyDescent="0.15"/>
  <cols>
    <col min="1" max="1" width="16" bestFit="1" customWidth="1"/>
    <col min="2" max="2" width="24.6640625" customWidth="1"/>
    <col min="3" max="3" width="26.6640625" customWidth="1"/>
  </cols>
  <sheetData>
    <row r="1" spans="1:3" x14ac:dyDescent="0.15">
      <c r="A1" s="58" t="s">
        <v>107</v>
      </c>
      <c r="B1" s="59"/>
      <c r="C1" s="59"/>
    </row>
    <row r="3" spans="1:3" x14ac:dyDescent="0.15">
      <c r="A3" s="14" t="s">
        <v>0</v>
      </c>
      <c r="B3" s="7" t="s">
        <v>1</v>
      </c>
      <c r="C3" s="7" t="s">
        <v>2</v>
      </c>
    </row>
    <row r="4" spans="1:3" x14ac:dyDescent="0.15">
      <c r="A4" s="8"/>
      <c r="B4" s="15"/>
      <c r="C4" s="15"/>
    </row>
    <row r="5" spans="1:3" x14ac:dyDescent="0.15">
      <c r="A5" s="2" t="s">
        <v>3</v>
      </c>
      <c r="B5" s="13">
        <v>35</v>
      </c>
      <c r="C5" s="17">
        <v>0.2</v>
      </c>
    </row>
    <row r="6" spans="1:3" x14ac:dyDescent="0.15">
      <c r="A6" s="2" t="s">
        <v>4</v>
      </c>
      <c r="B6" s="13">
        <v>45</v>
      </c>
      <c r="C6" s="17">
        <v>0.8</v>
      </c>
    </row>
    <row r="7" spans="1:3" x14ac:dyDescent="0.15">
      <c r="A7" s="2" t="s">
        <v>5</v>
      </c>
      <c r="B7" s="13">
        <v>35</v>
      </c>
      <c r="C7" s="17">
        <v>0.6</v>
      </c>
    </row>
    <row r="8" spans="1:3" x14ac:dyDescent="0.15">
      <c r="A8" s="2" t="s">
        <v>6</v>
      </c>
      <c r="B8" s="13">
        <v>25</v>
      </c>
      <c r="C8" s="17">
        <v>0.2</v>
      </c>
    </row>
    <row r="9" spans="1:3" x14ac:dyDescent="0.15">
      <c r="A9" s="2" t="s">
        <v>7</v>
      </c>
      <c r="B9" s="13">
        <v>140</v>
      </c>
      <c r="C9" s="17">
        <v>0.7</v>
      </c>
    </row>
    <row r="10" spans="1:3" x14ac:dyDescent="0.15">
      <c r="A10" s="16"/>
      <c r="B10" s="16"/>
      <c r="C10" s="16"/>
    </row>
    <row r="12" spans="1:3" x14ac:dyDescent="0.15">
      <c r="A12" s="60" t="s">
        <v>108</v>
      </c>
      <c r="B12" s="60"/>
      <c r="C12" s="60"/>
    </row>
  </sheetData>
  <mergeCells count="2">
    <mergeCell ref="A1:C1"/>
    <mergeCell ref="A12:C1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="174" workbookViewId="0">
      <selection sqref="A1:E1"/>
    </sheetView>
  </sheetViews>
  <sheetFormatPr baseColWidth="10" defaultColWidth="8.83203125" defaultRowHeight="13" x14ac:dyDescent="0.15"/>
  <cols>
    <col min="1" max="1" width="48.83203125" bestFit="1" customWidth="1"/>
    <col min="2" max="5" width="8.33203125" customWidth="1"/>
    <col min="6" max="6" width="8.6640625" customWidth="1"/>
  </cols>
  <sheetData>
    <row r="1" spans="1:7" x14ac:dyDescent="0.15">
      <c r="A1" s="61" t="s">
        <v>110</v>
      </c>
      <c r="B1" s="62"/>
      <c r="C1" s="62"/>
      <c r="D1" s="62"/>
      <c r="E1" s="62"/>
    </row>
    <row r="2" spans="1:7" x14ac:dyDescent="0.15">
      <c r="A2" s="62"/>
      <c r="B2" s="62"/>
      <c r="C2" s="62"/>
      <c r="D2" s="62"/>
      <c r="E2" s="62"/>
    </row>
    <row r="3" spans="1:7" x14ac:dyDescent="0.15">
      <c r="A3" s="63" t="s">
        <v>109</v>
      </c>
      <c r="B3" s="62"/>
      <c r="C3" s="62"/>
      <c r="D3" s="62"/>
      <c r="E3" s="62"/>
    </row>
    <row r="4" spans="1:7" x14ac:dyDescent="0.15">
      <c r="A4" s="27"/>
      <c r="B4" s="16"/>
      <c r="C4" s="16"/>
      <c r="D4" s="16"/>
      <c r="E4" s="16"/>
    </row>
    <row r="5" spans="1:7" x14ac:dyDescent="0.15">
      <c r="A5" s="18"/>
      <c r="B5" s="7" t="s">
        <v>8</v>
      </c>
      <c r="C5" s="7" t="s">
        <v>9</v>
      </c>
      <c r="D5" s="7" t="s">
        <v>10</v>
      </c>
      <c r="E5" s="7" t="s">
        <v>11</v>
      </c>
    </row>
    <row r="6" spans="1:7" x14ac:dyDescent="0.15">
      <c r="A6" s="19"/>
      <c r="B6" s="15"/>
      <c r="C6" s="15"/>
      <c r="D6" s="15"/>
      <c r="E6" s="15"/>
    </row>
    <row r="7" spans="1:7" x14ac:dyDescent="0.15">
      <c r="A7" s="20" t="s">
        <v>12</v>
      </c>
      <c r="B7" s="13"/>
      <c r="C7" s="13"/>
      <c r="D7" s="13"/>
      <c r="E7" s="13"/>
    </row>
    <row r="8" spans="1:7" x14ac:dyDescent="0.15">
      <c r="A8" s="11" t="s">
        <v>13</v>
      </c>
      <c r="B8" s="49">
        <v>29695</v>
      </c>
      <c r="C8" s="49">
        <v>45607</v>
      </c>
      <c r="D8" s="49">
        <v>64572</v>
      </c>
      <c r="E8" s="49">
        <v>94375</v>
      </c>
    </row>
    <row r="9" spans="1:7" x14ac:dyDescent="0.15">
      <c r="A9" s="11" t="s">
        <v>14</v>
      </c>
      <c r="B9" s="49">
        <v>631</v>
      </c>
      <c r="C9" s="49">
        <v>3520</v>
      </c>
      <c r="D9" s="49">
        <v>7322</v>
      </c>
      <c r="E9" s="49">
        <v>7039</v>
      </c>
    </row>
    <row r="10" spans="1:7" x14ac:dyDescent="0.15">
      <c r="A10" s="11" t="s">
        <v>15</v>
      </c>
      <c r="B10" s="49">
        <v>2239</v>
      </c>
      <c r="C10" s="49">
        <v>590</v>
      </c>
      <c r="D10" s="49">
        <v>2515</v>
      </c>
      <c r="E10" s="49">
        <v>1039</v>
      </c>
    </row>
    <row r="11" spans="1:7" x14ac:dyDescent="0.15">
      <c r="A11" s="11" t="s">
        <v>7</v>
      </c>
      <c r="B11" s="49">
        <v>32565</v>
      </c>
      <c r="C11" s="49">
        <v>49717</v>
      </c>
      <c r="D11" s="49">
        <v>74408</v>
      </c>
      <c r="E11" s="49">
        <v>102453</v>
      </c>
      <c r="F11" s="51"/>
    </row>
    <row r="12" spans="1:7" x14ac:dyDescent="0.15">
      <c r="A12" s="11"/>
      <c r="B12" s="5"/>
      <c r="C12" s="5"/>
      <c r="D12" s="5"/>
    </row>
    <row r="13" spans="1:7" x14ac:dyDescent="0.15">
      <c r="A13" s="20" t="s">
        <v>16</v>
      </c>
      <c r="B13" s="5"/>
      <c r="C13" s="5"/>
      <c r="D13" s="5"/>
      <c r="E13" s="5"/>
    </row>
    <row r="14" spans="1:7" x14ac:dyDescent="0.15">
      <c r="A14" s="11" t="s">
        <v>17</v>
      </c>
      <c r="B14" s="49">
        <v>11566</v>
      </c>
      <c r="C14" s="49">
        <v>15615</v>
      </c>
      <c r="D14" s="49">
        <v>16225</v>
      </c>
      <c r="E14" s="49">
        <v>18120</v>
      </c>
      <c r="F14" s="48"/>
    </row>
    <row r="15" spans="1:7" x14ac:dyDescent="0.15">
      <c r="A15" s="11" t="s">
        <v>18</v>
      </c>
      <c r="B15" s="49">
        <v>5923</v>
      </c>
      <c r="C15" s="49">
        <v>9491</v>
      </c>
      <c r="D15" s="49">
        <v>17305</v>
      </c>
      <c r="E15" s="49">
        <v>24593</v>
      </c>
      <c r="F15" s="53"/>
    </row>
    <row r="16" spans="1:7" x14ac:dyDescent="0.15">
      <c r="A16" s="11" t="s">
        <v>19</v>
      </c>
      <c r="B16" s="49">
        <v>1690</v>
      </c>
      <c r="C16" s="49">
        <v>5121</v>
      </c>
      <c r="D16" s="49">
        <v>7114</v>
      </c>
      <c r="E16" s="49">
        <v>9782</v>
      </c>
      <c r="F16" s="48"/>
      <c r="G16" s="53"/>
    </row>
    <row r="17" spans="1:7" x14ac:dyDescent="0.15">
      <c r="A17" s="11" t="s">
        <v>20</v>
      </c>
      <c r="B17" s="49">
        <v>7892</v>
      </c>
      <c r="C17" s="49">
        <v>10833</v>
      </c>
      <c r="D17" s="49">
        <v>17463</v>
      </c>
      <c r="E17" s="49">
        <v>28137</v>
      </c>
      <c r="F17" s="53"/>
    </row>
    <row r="18" spans="1:7" x14ac:dyDescent="0.15">
      <c r="A18" s="11" t="s">
        <v>21</v>
      </c>
      <c r="B18" s="49">
        <v>2203</v>
      </c>
      <c r="C18" s="49">
        <v>4602</v>
      </c>
      <c r="D18" s="49">
        <v>8771</v>
      </c>
      <c r="E18" s="49">
        <v>8315</v>
      </c>
      <c r="F18" s="48"/>
      <c r="G18" s="53"/>
    </row>
    <row r="19" spans="1:7" x14ac:dyDescent="0.15">
      <c r="A19" s="11" t="s">
        <v>22</v>
      </c>
      <c r="B19" s="49">
        <v>824</v>
      </c>
      <c r="C19" s="49">
        <v>970</v>
      </c>
      <c r="D19" s="49">
        <v>0</v>
      </c>
      <c r="E19" s="49">
        <v>4440</v>
      </c>
      <c r="F19" s="48"/>
      <c r="G19" s="53"/>
    </row>
    <row r="20" spans="1:7" x14ac:dyDescent="0.15">
      <c r="A20" s="11" t="s">
        <v>23</v>
      </c>
      <c r="B20" s="49">
        <v>291</v>
      </c>
      <c r="C20" s="49">
        <v>373</v>
      </c>
      <c r="D20" s="49">
        <v>1482</v>
      </c>
      <c r="E20" s="49">
        <v>1167</v>
      </c>
      <c r="G20" s="53"/>
    </row>
    <row r="21" spans="1:7" x14ac:dyDescent="0.15">
      <c r="A21" s="11" t="s">
        <v>24</v>
      </c>
      <c r="B21" s="49">
        <v>0</v>
      </c>
      <c r="C21" s="49">
        <v>0</v>
      </c>
      <c r="D21" s="49">
        <v>51</v>
      </c>
      <c r="E21" s="49">
        <v>1099</v>
      </c>
      <c r="G21" s="53"/>
    </row>
    <row r="22" spans="1:7" x14ac:dyDescent="0.15">
      <c r="A22" s="11" t="s">
        <v>7</v>
      </c>
      <c r="B22" s="49">
        <v>30389</v>
      </c>
      <c r="C22" s="49">
        <v>47005</v>
      </c>
      <c r="D22" s="49">
        <v>68410</v>
      </c>
      <c r="E22" s="49">
        <f>SUM(E14:E21)</f>
        <v>95653</v>
      </c>
      <c r="F22" s="53"/>
    </row>
    <row r="23" spans="1:7" x14ac:dyDescent="0.15">
      <c r="A23" s="11"/>
      <c r="B23" s="5"/>
      <c r="C23" s="5"/>
      <c r="D23" s="5"/>
      <c r="E23" s="5"/>
      <c r="F23" s="50"/>
      <c r="G23" s="54"/>
    </row>
    <row r="24" spans="1:7" x14ac:dyDescent="0.15">
      <c r="A24" s="11" t="s">
        <v>25</v>
      </c>
      <c r="B24" s="49">
        <v>2175</v>
      </c>
      <c r="C24" s="49">
        <v>2712</v>
      </c>
      <c r="D24" s="49">
        <v>5998</v>
      </c>
      <c r="E24" s="49">
        <v>6799</v>
      </c>
      <c r="F24" s="53"/>
      <c r="G24" s="53"/>
    </row>
    <row r="25" spans="1:7" x14ac:dyDescent="0.15">
      <c r="A25" s="11" t="s">
        <v>26</v>
      </c>
      <c r="B25" s="49">
        <v>900</v>
      </c>
      <c r="C25" s="49">
        <v>600</v>
      </c>
      <c r="D25" s="49">
        <v>1700</v>
      </c>
      <c r="E25" s="49">
        <v>3506</v>
      </c>
      <c r="F25" s="50"/>
      <c r="G25" s="54"/>
    </row>
    <row r="26" spans="1:7" x14ac:dyDescent="0.15">
      <c r="A26" s="11" t="s">
        <v>27</v>
      </c>
      <c r="B26" s="49">
        <v>1275</v>
      </c>
      <c r="C26" s="49">
        <v>2112</v>
      </c>
      <c r="D26" s="49">
        <v>4298</v>
      </c>
      <c r="E26" s="49">
        <v>3293</v>
      </c>
      <c r="F26" s="53"/>
      <c r="G26" s="53"/>
    </row>
    <row r="27" spans="1:7" x14ac:dyDescent="0.15">
      <c r="A27" s="11" t="s">
        <v>28</v>
      </c>
      <c r="B27" s="49">
        <v>0</v>
      </c>
      <c r="C27" s="49">
        <v>0</v>
      </c>
      <c r="D27" s="49">
        <v>-14</v>
      </c>
      <c r="E27" s="49">
        <v>151</v>
      </c>
      <c r="F27" s="52"/>
    </row>
    <row r="28" spans="1:7" x14ac:dyDescent="0.15">
      <c r="A28" s="11" t="s">
        <v>29</v>
      </c>
      <c r="B28" s="49">
        <v>0</v>
      </c>
      <c r="C28" s="49">
        <v>0</v>
      </c>
      <c r="D28" s="49">
        <v>4312</v>
      </c>
      <c r="E28" s="49">
        <v>3142</v>
      </c>
    </row>
    <row r="29" spans="1:7" x14ac:dyDescent="0.15">
      <c r="A29" s="11" t="s">
        <v>30</v>
      </c>
      <c r="B29" s="55">
        <v>0</v>
      </c>
      <c r="C29" s="49">
        <v>215</v>
      </c>
      <c r="D29" s="55">
        <v>0</v>
      </c>
      <c r="E29" s="49">
        <v>0</v>
      </c>
    </row>
    <row r="30" spans="1:7" x14ac:dyDescent="0.15">
      <c r="A30" s="11" t="s">
        <v>7</v>
      </c>
      <c r="B30" s="49">
        <v>1275</v>
      </c>
      <c r="C30" s="49">
        <v>2327</v>
      </c>
      <c r="D30" s="49">
        <v>4312</v>
      </c>
      <c r="E30" s="49">
        <v>3142</v>
      </c>
    </row>
    <row r="31" spans="1:7" x14ac:dyDescent="0.15">
      <c r="A31" s="16"/>
      <c r="B31" s="16"/>
      <c r="C31" s="16"/>
      <c r="D31" s="16"/>
      <c r="E31" s="16"/>
    </row>
    <row r="32" spans="1:7" x14ac:dyDescent="0.15">
      <c r="A32" s="64"/>
      <c r="B32" s="64"/>
      <c r="C32" s="64"/>
      <c r="D32" s="64"/>
      <c r="E32" s="64"/>
    </row>
    <row r="33" spans="1:5" x14ac:dyDescent="0.15">
      <c r="A33" s="60" t="s">
        <v>111</v>
      </c>
      <c r="B33" s="60"/>
      <c r="C33" s="60"/>
      <c r="D33" s="60"/>
      <c r="E33" s="60"/>
    </row>
  </sheetData>
  <mergeCells count="5">
    <mergeCell ref="A33:E33"/>
    <mergeCell ref="A1:E1"/>
    <mergeCell ref="A3:E3"/>
    <mergeCell ref="A2:E2"/>
    <mergeCell ref="A32:E3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"/>
  <sheetViews>
    <sheetView zoomScale="178" workbookViewId="0">
      <selection sqref="A1:E1"/>
    </sheetView>
  </sheetViews>
  <sheetFormatPr baseColWidth="10" defaultColWidth="8.83203125" defaultRowHeight="13" x14ac:dyDescent="0.15"/>
  <cols>
    <col min="1" max="1" width="42.1640625" customWidth="1"/>
    <col min="2" max="2" width="10.6640625" customWidth="1"/>
    <col min="3" max="3" width="11" customWidth="1"/>
    <col min="4" max="4" width="10.83203125" customWidth="1"/>
    <col min="5" max="5" width="10.5" customWidth="1"/>
  </cols>
  <sheetData>
    <row r="1" spans="1:7" x14ac:dyDescent="0.15">
      <c r="A1" s="58" t="s">
        <v>112</v>
      </c>
      <c r="B1" s="59"/>
      <c r="C1" s="59"/>
      <c r="D1" s="59"/>
      <c r="E1" s="59"/>
    </row>
    <row r="3" spans="1:7" x14ac:dyDescent="0.15">
      <c r="A3" s="22" t="s">
        <v>109</v>
      </c>
    </row>
    <row r="4" spans="1:7" x14ac:dyDescent="0.15">
      <c r="A4" s="22"/>
    </row>
    <row r="5" spans="1:7" x14ac:dyDescent="0.15">
      <c r="A5" s="14" t="s">
        <v>31</v>
      </c>
      <c r="B5" s="7" t="s">
        <v>8</v>
      </c>
      <c r="C5" s="7" t="s">
        <v>9</v>
      </c>
      <c r="D5" s="7" t="s">
        <v>10</v>
      </c>
      <c r="E5" s="7" t="s">
        <v>11</v>
      </c>
    </row>
    <row r="6" spans="1:7" x14ac:dyDescent="0.15">
      <c r="A6" s="8"/>
      <c r="B6" s="15"/>
      <c r="C6" s="15"/>
      <c r="D6" s="15"/>
      <c r="E6" s="15"/>
    </row>
    <row r="7" spans="1:7" x14ac:dyDescent="0.15">
      <c r="A7" s="2" t="s">
        <v>32</v>
      </c>
      <c r="B7" s="23"/>
      <c r="C7" s="23"/>
      <c r="D7" s="23"/>
      <c r="E7" s="23"/>
    </row>
    <row r="8" spans="1:7" x14ac:dyDescent="0.15">
      <c r="A8" s="11" t="s">
        <v>33</v>
      </c>
      <c r="B8" s="23">
        <v>32331</v>
      </c>
      <c r="C8" s="23">
        <v>121958</v>
      </c>
      <c r="D8" s="23">
        <v>59357</v>
      </c>
      <c r="E8" s="23">
        <v>82814</v>
      </c>
      <c r="G8" s="56"/>
    </row>
    <row r="9" spans="1:7" x14ac:dyDescent="0.15">
      <c r="A9" s="11"/>
      <c r="B9" s="23"/>
      <c r="C9" s="23"/>
      <c r="D9" s="23"/>
      <c r="E9" s="23"/>
    </row>
    <row r="10" spans="1:7" x14ac:dyDescent="0.15">
      <c r="A10" s="11" t="s">
        <v>34</v>
      </c>
      <c r="B10" s="23">
        <v>153219</v>
      </c>
      <c r="C10" s="23">
        <v>222778</v>
      </c>
      <c r="D10" s="23">
        <v>307956</v>
      </c>
      <c r="E10" s="23">
        <v>384910</v>
      </c>
    </row>
    <row r="11" spans="1:7" x14ac:dyDescent="0.15">
      <c r="A11" s="11" t="s">
        <v>35</v>
      </c>
      <c r="B11" s="23"/>
      <c r="C11" s="23"/>
      <c r="D11" s="23"/>
      <c r="E11" s="23">
        <v>21512</v>
      </c>
    </row>
    <row r="12" spans="1:7" x14ac:dyDescent="0.15">
      <c r="A12" s="11" t="s">
        <v>36</v>
      </c>
      <c r="B12" s="23">
        <v>153219</v>
      </c>
      <c r="C12" s="23">
        <v>222778</v>
      </c>
      <c r="D12" s="23">
        <v>307956</v>
      </c>
      <c r="E12" s="23">
        <v>363398</v>
      </c>
    </row>
    <row r="13" spans="1:7" x14ac:dyDescent="0.15">
      <c r="A13" s="11"/>
      <c r="B13" s="23"/>
      <c r="C13" s="23"/>
      <c r="D13" s="23"/>
      <c r="E13" s="23"/>
    </row>
    <row r="14" spans="1:7" x14ac:dyDescent="0.15">
      <c r="A14" s="11" t="s">
        <v>37</v>
      </c>
      <c r="B14" s="23">
        <v>5208</v>
      </c>
      <c r="C14" s="23">
        <v>7311</v>
      </c>
      <c r="D14" s="23">
        <v>7611</v>
      </c>
      <c r="E14" s="23">
        <v>7818</v>
      </c>
    </row>
    <row r="15" spans="1:7" x14ac:dyDescent="0.15">
      <c r="A15" s="11" t="s">
        <v>38</v>
      </c>
      <c r="B15" s="23">
        <v>3260</v>
      </c>
      <c r="C15" s="23">
        <v>6635</v>
      </c>
      <c r="D15" s="23">
        <v>6144</v>
      </c>
      <c r="E15" s="23">
        <v>18608</v>
      </c>
    </row>
    <row r="16" spans="1:7" x14ac:dyDescent="0.15">
      <c r="A16" s="11"/>
      <c r="B16" s="23"/>
      <c r="C16" s="23"/>
      <c r="D16" s="23"/>
      <c r="E16" s="23"/>
    </row>
    <row r="17" spans="1:5" x14ac:dyDescent="0.15">
      <c r="A17" s="11" t="s">
        <v>39</v>
      </c>
      <c r="B17" s="23">
        <v>194019</v>
      </c>
      <c r="C17" s="23">
        <v>358682</v>
      </c>
      <c r="D17" s="23">
        <v>381068</v>
      </c>
      <c r="E17" s="23">
        <v>472638</v>
      </c>
    </row>
    <row r="18" spans="1:5" x14ac:dyDescent="0.15">
      <c r="A18" s="2"/>
      <c r="B18" s="23"/>
      <c r="C18" s="23"/>
      <c r="D18" s="23"/>
      <c r="E18" s="23"/>
    </row>
    <row r="19" spans="1:5" x14ac:dyDescent="0.15">
      <c r="A19" s="2" t="s">
        <v>40</v>
      </c>
      <c r="B19" s="23">
        <v>3802</v>
      </c>
      <c r="C19" s="23">
        <v>5286</v>
      </c>
      <c r="D19" s="23">
        <v>5826</v>
      </c>
      <c r="E19" s="23">
        <v>16145</v>
      </c>
    </row>
    <row r="20" spans="1:5" x14ac:dyDescent="0.15">
      <c r="A20" s="2" t="s">
        <v>41</v>
      </c>
      <c r="B20" s="23">
        <v>90</v>
      </c>
      <c r="C20" s="23">
        <v>43590</v>
      </c>
      <c r="D20" s="23">
        <v>39940</v>
      </c>
      <c r="E20" s="23">
        <v>10090</v>
      </c>
    </row>
    <row r="21" spans="1:5" x14ac:dyDescent="0.15">
      <c r="A21" s="2"/>
      <c r="B21" s="23"/>
      <c r="C21" s="23"/>
      <c r="D21" s="23"/>
      <c r="E21" s="23"/>
    </row>
    <row r="22" spans="1:5" x14ac:dyDescent="0.15">
      <c r="A22" s="2" t="s">
        <v>42</v>
      </c>
      <c r="B22" s="23">
        <v>186314</v>
      </c>
      <c r="C22" s="23"/>
      <c r="D22" s="23"/>
      <c r="E22" s="23"/>
    </row>
    <row r="23" spans="1:5" x14ac:dyDescent="0.15">
      <c r="A23" s="11" t="s">
        <v>43</v>
      </c>
      <c r="B23" s="23">
        <v>10697</v>
      </c>
      <c r="C23" s="23">
        <v>24906</v>
      </c>
      <c r="D23" s="23">
        <v>40828</v>
      </c>
      <c r="E23" s="23">
        <v>59649</v>
      </c>
    </row>
    <row r="24" spans="1:5" x14ac:dyDescent="0.15">
      <c r="A24" s="11" t="s">
        <v>44</v>
      </c>
      <c r="B24" s="23">
        <v>900</v>
      </c>
      <c r="C24" s="23">
        <v>1500</v>
      </c>
      <c r="D24" s="23">
        <v>1700</v>
      </c>
      <c r="E24" s="23">
        <v>8660</v>
      </c>
    </row>
    <row r="25" spans="1:5" x14ac:dyDescent="0.15">
      <c r="A25" s="11" t="s">
        <v>45</v>
      </c>
      <c r="B25" s="23"/>
      <c r="C25" s="23"/>
      <c r="D25" s="23"/>
      <c r="E25" s="23"/>
    </row>
    <row r="26" spans="1:5" x14ac:dyDescent="0.15">
      <c r="A26" s="11" t="s">
        <v>46</v>
      </c>
      <c r="B26" s="23">
        <v>11597</v>
      </c>
      <c r="C26" s="23">
        <v>26406</v>
      </c>
      <c r="D26" s="23">
        <v>42528</v>
      </c>
      <c r="E26" s="23">
        <v>68309</v>
      </c>
    </row>
    <row r="27" spans="1:5" x14ac:dyDescent="0.15">
      <c r="A27" s="2" t="s">
        <v>47</v>
      </c>
      <c r="B27" s="23">
        <v>182422</v>
      </c>
      <c r="C27" s="23">
        <v>332277</v>
      </c>
      <c r="D27" s="23">
        <v>384306</v>
      </c>
      <c r="E27" s="23">
        <v>404329</v>
      </c>
    </row>
    <row r="28" spans="1:5" x14ac:dyDescent="0.15">
      <c r="A28" s="2" t="s">
        <v>48</v>
      </c>
      <c r="B28" s="23">
        <v>202</v>
      </c>
      <c r="C28" s="23">
        <v>152</v>
      </c>
      <c r="D28" s="23">
        <v>101</v>
      </c>
      <c r="E28" s="23">
        <v>51</v>
      </c>
    </row>
    <row r="29" spans="1:5" x14ac:dyDescent="0.15">
      <c r="A29" s="2"/>
      <c r="B29" s="23"/>
      <c r="C29" s="23"/>
      <c r="D29" s="23"/>
      <c r="E29" s="23"/>
    </row>
    <row r="30" spans="1:5" x14ac:dyDescent="0.15">
      <c r="A30" s="2" t="s">
        <v>7</v>
      </c>
      <c r="B30" s="23">
        <v>186517</v>
      </c>
      <c r="C30" s="23">
        <v>381305</v>
      </c>
      <c r="D30" s="23">
        <v>384407</v>
      </c>
      <c r="E30" s="23">
        <v>430615</v>
      </c>
    </row>
    <row r="31" spans="1:5" x14ac:dyDescent="0.15">
      <c r="A31" s="3"/>
      <c r="B31" s="24"/>
      <c r="C31" s="24"/>
      <c r="D31" s="24"/>
      <c r="E31" s="24"/>
    </row>
    <row r="32" spans="1:5" x14ac:dyDescent="0.15">
      <c r="A32" s="12" t="s">
        <v>49</v>
      </c>
      <c r="B32" s="25" t="s">
        <v>8</v>
      </c>
      <c r="C32" s="25" t="s">
        <v>9</v>
      </c>
      <c r="D32" s="25" t="s">
        <v>10</v>
      </c>
      <c r="E32" s="25" t="s">
        <v>11</v>
      </c>
    </row>
    <row r="33" spans="1:5" x14ac:dyDescent="0.15">
      <c r="A33" s="9"/>
      <c r="B33" s="26"/>
      <c r="C33" s="26"/>
      <c r="D33" s="26"/>
      <c r="E33" s="26"/>
    </row>
    <row r="34" spans="1:5" x14ac:dyDescent="0.15">
      <c r="A34" s="2" t="s">
        <v>50</v>
      </c>
      <c r="B34" s="23"/>
      <c r="C34" s="23"/>
      <c r="D34" s="23"/>
      <c r="E34" s="23"/>
    </row>
    <row r="35" spans="1:5" x14ac:dyDescent="0.15">
      <c r="A35" s="11" t="s">
        <v>51</v>
      </c>
      <c r="B35" s="23">
        <v>40495</v>
      </c>
      <c r="C35" s="23">
        <v>206001</v>
      </c>
      <c r="D35" s="23">
        <v>206001</v>
      </c>
      <c r="E35" s="23">
        <v>207001</v>
      </c>
    </row>
    <row r="36" spans="1:5" x14ac:dyDescent="0.15">
      <c r="A36" s="11" t="s">
        <v>52</v>
      </c>
      <c r="B36" s="23">
        <v>3188</v>
      </c>
      <c r="C36" s="23">
        <v>5515</v>
      </c>
      <c r="D36" s="23">
        <v>8767</v>
      </c>
      <c r="E36" s="23">
        <v>22834</v>
      </c>
    </row>
    <row r="37" spans="1:5" x14ac:dyDescent="0.15">
      <c r="A37" s="11" t="s">
        <v>53</v>
      </c>
      <c r="B37" s="23">
        <v>43683</v>
      </c>
      <c r="C37" s="23">
        <v>211516</v>
      </c>
      <c r="D37" s="23">
        <v>214768</v>
      </c>
      <c r="E37" s="23">
        <v>229834</v>
      </c>
    </row>
    <row r="38" spans="1:5" x14ac:dyDescent="0.15">
      <c r="A38" s="2" t="s">
        <v>54</v>
      </c>
      <c r="B38" s="23"/>
      <c r="C38" s="23"/>
      <c r="D38" s="23"/>
      <c r="E38" s="23"/>
    </row>
    <row r="39" spans="1:5" x14ac:dyDescent="0.15">
      <c r="A39" s="11" t="s">
        <v>55</v>
      </c>
      <c r="B39" s="23">
        <v>77755</v>
      </c>
      <c r="C39" s="23">
        <v>65579</v>
      </c>
      <c r="D39" s="23">
        <v>97203</v>
      </c>
      <c r="E39" s="23">
        <v>98458</v>
      </c>
    </row>
    <row r="40" spans="1:5" x14ac:dyDescent="0.15">
      <c r="A40" s="11" t="s">
        <v>56</v>
      </c>
      <c r="B40" s="23">
        <v>65079</v>
      </c>
      <c r="C40" s="23">
        <v>104209</v>
      </c>
      <c r="D40" s="23">
        <v>71390</v>
      </c>
      <c r="E40" s="23">
        <v>101125</v>
      </c>
    </row>
    <row r="41" spans="1:5" x14ac:dyDescent="0.15">
      <c r="A41" s="11"/>
      <c r="B41" s="23">
        <v>142834</v>
      </c>
      <c r="C41" s="23">
        <v>169788</v>
      </c>
      <c r="D41" s="23">
        <v>168593</v>
      </c>
      <c r="E41" s="23">
        <v>199583</v>
      </c>
    </row>
    <row r="42" spans="1:5" x14ac:dyDescent="0.15">
      <c r="A42" s="11" t="s">
        <v>57</v>
      </c>
      <c r="B42" s="23"/>
      <c r="C42" s="23"/>
      <c r="D42" s="23">
        <v>1046</v>
      </c>
      <c r="E42" s="23">
        <v>1197</v>
      </c>
    </row>
    <row r="43" spans="1:5" x14ac:dyDescent="0.15">
      <c r="A43" s="2"/>
      <c r="B43" s="23"/>
      <c r="C43" s="23"/>
      <c r="D43" s="23"/>
      <c r="E43" s="23"/>
    </row>
    <row r="44" spans="1:5" x14ac:dyDescent="0.15">
      <c r="A44" s="2" t="s">
        <v>58</v>
      </c>
      <c r="B44" s="23">
        <v>186517</v>
      </c>
      <c r="C44" s="23">
        <v>381305</v>
      </c>
      <c r="D44" s="23">
        <v>384407</v>
      </c>
      <c r="E44" s="23">
        <v>430615</v>
      </c>
    </row>
    <row r="45" spans="1:5" x14ac:dyDescent="0.15">
      <c r="A45" s="16"/>
      <c r="B45" s="16"/>
      <c r="C45" s="16"/>
      <c r="D45" s="16"/>
      <c r="E45" s="16"/>
    </row>
    <row r="47" spans="1:5" x14ac:dyDescent="0.15">
      <c r="A47" s="60" t="s">
        <v>111</v>
      </c>
      <c r="B47" s="60"/>
      <c r="C47" s="60"/>
      <c r="D47" s="60"/>
      <c r="E47" s="60"/>
    </row>
  </sheetData>
  <mergeCells count="2">
    <mergeCell ref="A1:E1"/>
    <mergeCell ref="A47:E47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zoomScale="159" workbookViewId="0">
      <selection sqref="A1:D1"/>
    </sheetView>
  </sheetViews>
  <sheetFormatPr baseColWidth="10" defaultColWidth="8.83203125" defaultRowHeight="13" x14ac:dyDescent="0.15"/>
  <cols>
    <col min="1" max="1" width="44.33203125" customWidth="1"/>
    <col min="2" max="2" width="11.5" customWidth="1"/>
    <col min="3" max="3" width="19" customWidth="1"/>
    <col min="4" max="4" width="11.5" customWidth="1"/>
  </cols>
  <sheetData>
    <row r="1" spans="1:4" x14ac:dyDescent="0.15">
      <c r="A1" s="58" t="s">
        <v>114</v>
      </c>
      <c r="B1" s="59"/>
      <c r="C1" s="59"/>
      <c r="D1" s="59"/>
    </row>
    <row r="3" spans="1:4" ht="16" x14ac:dyDescent="0.15">
      <c r="A3" s="40" t="s">
        <v>116</v>
      </c>
      <c r="B3" s="7" t="s">
        <v>59</v>
      </c>
      <c r="C3" s="7" t="s">
        <v>135</v>
      </c>
      <c r="D3" s="7" t="s">
        <v>60</v>
      </c>
    </row>
    <row r="4" spans="1:4" ht="14" x14ac:dyDescent="0.15">
      <c r="A4" s="34" t="s">
        <v>61</v>
      </c>
      <c r="B4" s="57">
        <v>0.21</v>
      </c>
      <c r="C4" s="57">
        <v>0.16</v>
      </c>
      <c r="D4" s="57">
        <v>0.6</v>
      </c>
    </row>
    <row r="5" spans="1:4" ht="16" x14ac:dyDescent="0.15">
      <c r="A5" s="40" t="s">
        <v>136</v>
      </c>
      <c r="B5" s="7" t="s">
        <v>59</v>
      </c>
      <c r="C5" s="7" t="s">
        <v>137</v>
      </c>
      <c r="D5" s="7" t="s">
        <v>62</v>
      </c>
    </row>
    <row r="6" spans="1:4" x14ac:dyDescent="0.15">
      <c r="A6" s="39"/>
      <c r="B6" s="4"/>
      <c r="C6" s="4"/>
      <c r="D6" s="4"/>
    </row>
    <row r="7" spans="1:4" ht="14" x14ac:dyDescent="0.15">
      <c r="A7" s="36" t="s">
        <v>63</v>
      </c>
      <c r="B7" s="2"/>
      <c r="C7" s="2"/>
      <c r="D7" s="2"/>
    </row>
    <row r="8" spans="1:4" ht="14" x14ac:dyDescent="0.15">
      <c r="A8" s="37" t="s">
        <v>64</v>
      </c>
      <c r="B8" s="2"/>
      <c r="C8" s="2"/>
      <c r="D8" s="2"/>
    </row>
    <row r="9" spans="1:4" ht="14" x14ac:dyDescent="0.15">
      <c r="A9" s="38" t="s">
        <v>65</v>
      </c>
      <c r="B9" s="28">
        <v>0.22</v>
      </c>
      <c r="C9" s="28">
        <v>0.39</v>
      </c>
      <c r="D9" s="28">
        <v>0.5</v>
      </c>
    </row>
    <row r="10" spans="1:4" ht="14" x14ac:dyDescent="0.15">
      <c r="A10" s="38" t="s">
        <v>66</v>
      </c>
      <c r="B10" s="28">
        <v>0.44</v>
      </c>
      <c r="C10" s="28">
        <v>0.27</v>
      </c>
      <c r="D10" s="28">
        <v>0.12</v>
      </c>
    </row>
    <row r="11" spans="1:4" ht="14" x14ac:dyDescent="0.15">
      <c r="A11" s="38" t="s">
        <v>67</v>
      </c>
      <c r="B11" s="28">
        <v>0.16</v>
      </c>
      <c r="C11" s="28">
        <v>0.18</v>
      </c>
      <c r="D11" s="28">
        <v>0.18</v>
      </c>
    </row>
    <row r="12" spans="1:4" ht="14" x14ac:dyDescent="0.15">
      <c r="A12" s="38" t="s">
        <v>68</v>
      </c>
      <c r="B12" s="28">
        <v>0.06</v>
      </c>
      <c r="C12" s="28">
        <v>0.06</v>
      </c>
      <c r="D12" s="28">
        <v>0.03</v>
      </c>
    </row>
    <row r="13" spans="1:4" x14ac:dyDescent="0.15">
      <c r="A13" s="38"/>
      <c r="B13" s="28"/>
      <c r="C13" s="28"/>
      <c r="D13" s="28"/>
    </row>
    <row r="14" spans="1:4" ht="39" customHeight="1" x14ac:dyDescent="0.15">
      <c r="A14" s="36" t="s">
        <v>113</v>
      </c>
      <c r="B14" s="28"/>
      <c r="C14" s="28"/>
      <c r="D14" s="28"/>
    </row>
    <row r="15" spans="1:4" x14ac:dyDescent="0.15">
      <c r="A15" s="36"/>
      <c r="B15" s="28"/>
      <c r="C15" s="28"/>
      <c r="D15" s="28"/>
    </row>
    <row r="16" spans="1:4" ht="14" x14ac:dyDescent="0.15">
      <c r="A16" s="36" t="s">
        <v>69</v>
      </c>
      <c r="B16" s="28"/>
      <c r="C16" s="28"/>
      <c r="D16" s="28"/>
    </row>
    <row r="17" spans="1:4" ht="14" x14ac:dyDescent="0.15">
      <c r="A17" s="38" t="s">
        <v>70</v>
      </c>
      <c r="B17" s="28">
        <v>3.77</v>
      </c>
      <c r="C17" s="28">
        <v>5.18</v>
      </c>
      <c r="D17" s="28">
        <v>6.82</v>
      </c>
    </row>
    <row r="18" spans="1:4" ht="14" x14ac:dyDescent="0.15">
      <c r="A18" s="37" t="s">
        <v>71</v>
      </c>
      <c r="B18" s="28">
        <v>2.38</v>
      </c>
      <c r="C18" s="28">
        <v>3.29</v>
      </c>
      <c r="D18" s="28">
        <v>4.57</v>
      </c>
    </row>
    <row r="19" spans="1:4" ht="14" x14ac:dyDescent="0.15">
      <c r="A19" s="37" t="s">
        <v>72</v>
      </c>
      <c r="B19" s="28">
        <v>1.39</v>
      </c>
      <c r="C19" s="28">
        <v>1.89</v>
      </c>
      <c r="D19" s="28">
        <v>2.25</v>
      </c>
    </row>
    <row r="20" spans="1:4" x14ac:dyDescent="0.15">
      <c r="A20" s="37"/>
      <c r="B20" s="28"/>
      <c r="C20" s="28"/>
      <c r="D20" s="28"/>
    </row>
    <row r="21" spans="1:4" ht="14" x14ac:dyDescent="0.15">
      <c r="A21" s="36" t="s">
        <v>138</v>
      </c>
      <c r="B21" s="2"/>
      <c r="C21" s="2"/>
      <c r="D21" s="2"/>
    </row>
    <row r="22" spans="1:4" ht="14" x14ac:dyDescent="0.15">
      <c r="A22" s="38" t="s">
        <v>73</v>
      </c>
      <c r="B22" s="23">
        <v>1346</v>
      </c>
      <c r="C22" s="23">
        <v>2399</v>
      </c>
      <c r="D22" s="23">
        <v>4553</v>
      </c>
    </row>
    <row r="23" spans="1:4" ht="14" x14ac:dyDescent="0.15">
      <c r="A23" s="35" t="s">
        <v>74</v>
      </c>
      <c r="B23" s="23">
        <v>945</v>
      </c>
      <c r="C23" s="23">
        <v>1562</v>
      </c>
      <c r="D23" s="23">
        <v>2500</v>
      </c>
    </row>
    <row r="24" spans="1:4" ht="14" x14ac:dyDescent="0.15">
      <c r="A24" s="35" t="s">
        <v>75</v>
      </c>
      <c r="B24" s="23">
        <v>98</v>
      </c>
      <c r="C24" s="23">
        <v>147</v>
      </c>
      <c r="D24" s="23">
        <v>216</v>
      </c>
    </row>
    <row r="25" spans="1:4" ht="14" x14ac:dyDescent="0.15">
      <c r="A25" s="35" t="s">
        <v>76</v>
      </c>
      <c r="B25" s="23">
        <v>92</v>
      </c>
      <c r="C25" s="23">
        <v>174</v>
      </c>
      <c r="D25" s="23">
        <v>342</v>
      </c>
    </row>
    <row r="26" spans="1:4" ht="14" x14ac:dyDescent="0.15">
      <c r="A26" s="35" t="s">
        <v>77</v>
      </c>
      <c r="B26" s="23">
        <v>49</v>
      </c>
      <c r="C26" s="23">
        <v>161</v>
      </c>
      <c r="D26" s="23">
        <v>451</v>
      </c>
    </row>
    <row r="27" spans="1:4" ht="14" x14ac:dyDescent="0.15">
      <c r="A27" s="35" t="s">
        <v>78</v>
      </c>
      <c r="B27" s="23">
        <v>3</v>
      </c>
      <c r="C27" s="23">
        <v>7</v>
      </c>
      <c r="D27" s="23">
        <v>8</v>
      </c>
    </row>
    <row r="28" spans="1:4" ht="14" x14ac:dyDescent="0.15">
      <c r="A28" s="35" t="s">
        <v>24</v>
      </c>
      <c r="B28" s="23">
        <v>160</v>
      </c>
      <c r="C28" s="23">
        <v>347</v>
      </c>
      <c r="D28" s="23">
        <v>1035</v>
      </c>
    </row>
    <row r="29" spans="1:4" ht="14" x14ac:dyDescent="0.15">
      <c r="A29" s="36" t="s">
        <v>79</v>
      </c>
      <c r="B29" s="2"/>
      <c r="C29" s="2"/>
      <c r="D29" s="2"/>
    </row>
    <row r="30" spans="1:4" ht="14" x14ac:dyDescent="0.15">
      <c r="A30" s="37" t="s">
        <v>80</v>
      </c>
      <c r="B30" s="29">
        <v>1.7</v>
      </c>
      <c r="C30" s="29">
        <v>4.0999999999999996</v>
      </c>
      <c r="D30" s="29">
        <v>9.5</v>
      </c>
    </row>
    <row r="31" spans="1:4" ht="14" x14ac:dyDescent="0.15">
      <c r="A31" s="36" t="s">
        <v>139</v>
      </c>
      <c r="B31" s="2"/>
      <c r="C31" s="2"/>
      <c r="D31" s="2"/>
    </row>
    <row r="32" spans="1:4" ht="14" x14ac:dyDescent="0.15">
      <c r="A32" s="38" t="s">
        <v>81</v>
      </c>
      <c r="B32" s="23">
        <v>3395</v>
      </c>
      <c r="C32" s="23">
        <v>5482</v>
      </c>
      <c r="D32" s="23">
        <v>8660</v>
      </c>
    </row>
    <row r="33" spans="1:4" ht="14" x14ac:dyDescent="0.15">
      <c r="A33" s="37" t="s">
        <v>82</v>
      </c>
      <c r="B33" s="23">
        <v>241</v>
      </c>
      <c r="C33" s="23">
        <v>203</v>
      </c>
      <c r="D33" s="23">
        <v>253</v>
      </c>
    </row>
    <row r="34" spans="1:4" ht="16" x14ac:dyDescent="0.15">
      <c r="A34" s="37" t="s">
        <v>115</v>
      </c>
      <c r="B34" s="23">
        <v>1200</v>
      </c>
      <c r="C34" s="23">
        <v>2863</v>
      </c>
      <c r="D34" s="23">
        <v>2887</v>
      </c>
    </row>
    <row r="35" spans="1:4" ht="16" x14ac:dyDescent="0.15">
      <c r="A35" s="37" t="s">
        <v>106</v>
      </c>
      <c r="B35" s="23">
        <v>1953</v>
      </c>
      <c r="C35" s="23">
        <v>2416</v>
      </c>
      <c r="D35" s="23">
        <v>5519</v>
      </c>
    </row>
    <row r="36" spans="1:4" x14ac:dyDescent="0.15">
      <c r="A36" s="16"/>
      <c r="B36" s="16"/>
      <c r="C36" s="16"/>
      <c r="D36" s="16"/>
    </row>
    <row r="38" spans="1:4" x14ac:dyDescent="0.15">
      <c r="A38" s="66" t="s">
        <v>117</v>
      </c>
      <c r="B38" s="66"/>
      <c r="C38" s="66"/>
      <c r="D38" s="66"/>
    </row>
    <row r="39" spans="1:4" x14ac:dyDescent="0.15">
      <c r="A39" s="65" t="s">
        <v>118</v>
      </c>
      <c r="B39" s="66"/>
      <c r="C39" s="66"/>
      <c r="D39" s="66"/>
    </row>
    <row r="40" spans="1:4" ht="36" customHeight="1" x14ac:dyDescent="0.15">
      <c r="A40" s="65" t="s">
        <v>119</v>
      </c>
      <c r="B40" s="66"/>
      <c r="C40" s="66"/>
      <c r="D40" s="66"/>
    </row>
    <row r="41" spans="1:4" ht="24" customHeight="1" x14ac:dyDescent="0.15">
      <c r="A41" s="65" t="s">
        <v>120</v>
      </c>
      <c r="B41" s="66"/>
      <c r="C41" s="66"/>
      <c r="D41" s="66"/>
    </row>
    <row r="42" spans="1:4" x14ac:dyDescent="0.15">
      <c r="A42" s="65" t="s">
        <v>121</v>
      </c>
      <c r="B42" s="66"/>
      <c r="C42" s="66"/>
      <c r="D42" s="66"/>
    </row>
  </sheetData>
  <mergeCells count="6">
    <mergeCell ref="A42:D42"/>
    <mergeCell ref="A41:D41"/>
    <mergeCell ref="A1:D1"/>
    <mergeCell ref="A38:D38"/>
    <mergeCell ref="A39:D39"/>
    <mergeCell ref="A40:D40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zoomScale="188" workbookViewId="0">
      <selection sqref="A1:D1"/>
    </sheetView>
  </sheetViews>
  <sheetFormatPr baseColWidth="10" defaultColWidth="9.1640625" defaultRowHeight="13" x14ac:dyDescent="0.15"/>
  <cols>
    <col min="1" max="1" width="41" style="30" customWidth="1"/>
    <col min="2" max="2" width="14.1640625" style="30" customWidth="1"/>
    <col min="3" max="3" width="14.33203125" style="30" bestFit="1" customWidth="1"/>
    <col min="4" max="4" width="18.1640625" style="30" customWidth="1"/>
    <col min="5" max="16384" width="9.1640625" style="30"/>
  </cols>
  <sheetData>
    <row r="1" spans="1:4" x14ac:dyDescent="0.15">
      <c r="A1" s="67" t="s">
        <v>127</v>
      </c>
      <c r="B1" s="68"/>
      <c r="C1" s="68"/>
      <c r="D1" s="68"/>
    </row>
    <row r="3" spans="1:4" ht="28" x14ac:dyDescent="0.15">
      <c r="A3" s="41"/>
      <c r="B3" s="42" t="s">
        <v>122</v>
      </c>
      <c r="C3" s="42" t="s">
        <v>123</v>
      </c>
      <c r="D3" s="42" t="s">
        <v>124</v>
      </c>
    </row>
    <row r="4" spans="1:4" x14ac:dyDescent="0.15">
      <c r="A4" s="41"/>
      <c r="B4" s="42"/>
      <c r="C4" s="42"/>
      <c r="D4" s="42"/>
    </row>
    <row r="5" spans="1:4" ht="14" x14ac:dyDescent="0.15">
      <c r="A5" s="32" t="s">
        <v>83</v>
      </c>
      <c r="B5" s="31"/>
      <c r="C5" s="31"/>
      <c r="D5" s="31"/>
    </row>
    <row r="6" spans="1:4" ht="14" x14ac:dyDescent="0.15">
      <c r="A6" s="31" t="s">
        <v>84</v>
      </c>
      <c r="B6" s="45" t="s">
        <v>85</v>
      </c>
      <c r="C6" s="45" t="s">
        <v>86</v>
      </c>
      <c r="D6" s="45" t="s">
        <v>87</v>
      </c>
    </row>
    <row r="7" spans="1:4" ht="14" x14ac:dyDescent="0.15">
      <c r="A7" s="31" t="s">
        <v>88</v>
      </c>
      <c r="B7" s="46">
        <v>1477</v>
      </c>
      <c r="C7" s="46">
        <v>26613</v>
      </c>
      <c r="D7" s="46">
        <v>263942</v>
      </c>
    </row>
    <row r="8" spans="1:4" x14ac:dyDescent="0.15">
      <c r="A8" s="31"/>
      <c r="B8" s="46"/>
      <c r="C8" s="46"/>
      <c r="D8" s="46"/>
    </row>
    <row r="9" spans="1:4" ht="14" x14ac:dyDescent="0.15">
      <c r="A9" s="32" t="s">
        <v>89</v>
      </c>
      <c r="B9" s="46"/>
      <c r="C9" s="46"/>
      <c r="D9" s="46"/>
    </row>
    <row r="10" spans="1:4" ht="14" x14ac:dyDescent="0.15">
      <c r="A10" s="31" t="s">
        <v>90</v>
      </c>
      <c r="B10" s="46">
        <v>991</v>
      </c>
      <c r="C10" s="46">
        <v>41511</v>
      </c>
      <c r="D10" s="46">
        <v>62551</v>
      </c>
    </row>
    <row r="11" spans="1:4" ht="14" x14ac:dyDescent="0.15">
      <c r="A11" s="31" t="s">
        <v>91</v>
      </c>
      <c r="B11" s="46">
        <v>4</v>
      </c>
      <c r="C11" s="46"/>
      <c r="D11" s="46"/>
    </row>
    <row r="12" spans="1:4" ht="14" x14ac:dyDescent="0.15">
      <c r="A12" s="31" t="s">
        <v>92</v>
      </c>
      <c r="B12" s="46">
        <v>148</v>
      </c>
      <c r="C12" s="46"/>
      <c r="D12" s="46"/>
    </row>
    <row r="13" spans="1:4" ht="14" x14ac:dyDescent="0.15">
      <c r="A13" s="31" t="s">
        <v>93</v>
      </c>
      <c r="B13" s="46">
        <v>600</v>
      </c>
      <c r="C13" s="46"/>
      <c r="D13" s="46"/>
    </row>
    <row r="14" spans="1:4" ht="14" x14ac:dyDescent="0.15">
      <c r="A14" s="31" t="s">
        <v>94</v>
      </c>
      <c r="B14" s="46">
        <v>74000</v>
      </c>
      <c r="C14" s="46"/>
      <c r="D14" s="46"/>
    </row>
    <row r="15" spans="1:4" x14ac:dyDescent="0.15">
      <c r="A15" s="31"/>
      <c r="B15" s="31"/>
      <c r="C15" s="31"/>
      <c r="D15" s="31"/>
    </row>
    <row r="16" spans="1:4" ht="28" x14ac:dyDescent="0.15">
      <c r="A16" s="31" t="s">
        <v>125</v>
      </c>
      <c r="B16" s="43"/>
      <c r="C16" s="43"/>
      <c r="D16" s="44">
        <v>0.23</v>
      </c>
    </row>
    <row r="17" spans="1:4" x14ac:dyDescent="0.15">
      <c r="A17" s="33"/>
      <c r="B17" s="33"/>
      <c r="C17" s="33"/>
      <c r="D17" s="47"/>
    </row>
    <row r="19" spans="1:4" x14ac:dyDescent="0.15">
      <c r="A19" s="66" t="s">
        <v>126</v>
      </c>
      <c r="B19" s="66"/>
      <c r="C19" s="66"/>
      <c r="D19" s="66"/>
    </row>
  </sheetData>
  <mergeCells count="2">
    <mergeCell ref="A19:D19"/>
    <mergeCell ref="A1:D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zoomScale="162" workbookViewId="0">
      <selection sqref="A1:F1"/>
    </sheetView>
  </sheetViews>
  <sheetFormatPr baseColWidth="10" defaultColWidth="9.1640625" defaultRowHeight="13" x14ac:dyDescent="0.15"/>
  <cols>
    <col min="1" max="1" width="13" style="1" bestFit="1" customWidth="1"/>
    <col min="2" max="2" width="14" style="1" customWidth="1"/>
    <col min="3" max="3" width="12.83203125" style="1" customWidth="1"/>
    <col min="4" max="4" width="28.6640625" style="1" customWidth="1"/>
    <col min="5" max="5" width="15.83203125" style="1" customWidth="1"/>
    <col min="6" max="6" width="16.5" style="1" customWidth="1"/>
    <col min="7" max="16384" width="9.1640625" style="1"/>
  </cols>
  <sheetData>
    <row r="1" spans="1:6" x14ac:dyDescent="0.15">
      <c r="A1" s="58" t="s">
        <v>133</v>
      </c>
      <c r="B1" s="58"/>
      <c r="C1" s="58"/>
      <c r="D1" s="58"/>
      <c r="E1" s="58"/>
      <c r="F1" s="58"/>
    </row>
    <row r="3" spans="1:6" x14ac:dyDescent="0.15">
      <c r="D3" s="71" t="s">
        <v>131</v>
      </c>
      <c r="E3" s="71"/>
    </row>
    <row r="4" spans="1:6" x14ac:dyDescent="0.15">
      <c r="D4" s="70" t="s">
        <v>132</v>
      </c>
      <c r="E4" s="70"/>
    </row>
    <row r="5" spans="1:6" x14ac:dyDescent="0.15">
      <c r="A5" s="69" t="s">
        <v>130</v>
      </c>
      <c r="B5" s="69"/>
      <c r="C5" s="69"/>
    </row>
    <row r="7" spans="1:6" x14ac:dyDescent="0.15">
      <c r="A7" s="2" t="s">
        <v>95</v>
      </c>
      <c r="C7" s="5">
        <v>125</v>
      </c>
      <c r="D7" s="2"/>
      <c r="E7" s="2"/>
    </row>
    <row r="8" spans="1:6" x14ac:dyDescent="0.15">
      <c r="A8" s="2"/>
      <c r="C8" s="5"/>
      <c r="D8" s="2"/>
      <c r="E8" s="2"/>
    </row>
    <row r="9" spans="1:6" x14ac:dyDescent="0.15">
      <c r="A9" s="1" t="s">
        <v>129</v>
      </c>
      <c r="B9" s="6" t="s">
        <v>128</v>
      </c>
      <c r="C9" s="6" t="s">
        <v>96</v>
      </c>
      <c r="D9" s="6" t="s">
        <v>97</v>
      </c>
      <c r="E9" s="6" t="s">
        <v>98</v>
      </c>
      <c r="F9" s="6" t="s">
        <v>99</v>
      </c>
    </row>
    <row r="10" spans="1:6" x14ac:dyDescent="0.15">
      <c r="B10" s="2" t="s">
        <v>100</v>
      </c>
      <c r="C10" s="5">
        <v>75</v>
      </c>
      <c r="D10" s="5">
        <v>15</v>
      </c>
      <c r="E10" s="10" t="s">
        <v>101</v>
      </c>
      <c r="F10" s="5">
        <v>3000</v>
      </c>
    </row>
    <row r="11" spans="1:6" x14ac:dyDescent="0.15">
      <c r="B11" s="2" t="s">
        <v>102</v>
      </c>
      <c r="C11" s="5">
        <v>110</v>
      </c>
      <c r="D11" s="5">
        <v>10</v>
      </c>
      <c r="E11" s="10" t="s">
        <v>103</v>
      </c>
      <c r="F11" s="5">
        <v>2000</v>
      </c>
    </row>
    <row r="12" spans="1:6" x14ac:dyDescent="0.15">
      <c r="B12" s="2" t="s">
        <v>104</v>
      </c>
      <c r="C12" s="5">
        <v>75</v>
      </c>
      <c r="D12" s="5">
        <v>5</v>
      </c>
      <c r="E12" s="10" t="s">
        <v>105</v>
      </c>
      <c r="F12" s="5">
        <v>1000</v>
      </c>
    </row>
    <row r="13" spans="1:6" x14ac:dyDescent="0.15">
      <c r="A13" s="21"/>
      <c r="B13" s="21"/>
      <c r="C13" s="21"/>
      <c r="D13" s="21"/>
      <c r="E13" s="21"/>
      <c r="F13" s="21"/>
    </row>
    <row r="15" spans="1:6" x14ac:dyDescent="0.15">
      <c r="A15" s="60" t="s">
        <v>134</v>
      </c>
      <c r="B15" s="60"/>
      <c r="C15" s="60"/>
      <c r="D15" s="60"/>
      <c r="E15" s="60"/>
      <c r="F15" s="60"/>
    </row>
  </sheetData>
  <mergeCells count="5">
    <mergeCell ref="A1:F1"/>
    <mergeCell ref="A15:F15"/>
    <mergeCell ref="A5:C5"/>
    <mergeCell ref="D4:E4"/>
    <mergeCell ref="D3:E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A</vt:lpstr>
      <vt:lpstr>Exhibit 1</vt:lpstr>
      <vt:lpstr>Exhibit 2</vt:lpstr>
      <vt:lpstr>Exhibit 3</vt:lpstr>
      <vt:lpstr>Exhibit 4</vt:lpstr>
      <vt:lpstr>Exhibit 5 (continued)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Allston, Malika</dc:creator>
  <cp:lastModifiedBy>Chun, Samuel</cp:lastModifiedBy>
  <cp:lastPrinted>2011-03-01T13:53:11Z</cp:lastPrinted>
  <dcterms:created xsi:type="dcterms:W3CDTF">2011-01-18T15:58:35Z</dcterms:created>
  <dcterms:modified xsi:type="dcterms:W3CDTF">2023-09-18T19:22:21Z</dcterms:modified>
</cp:coreProperties>
</file>