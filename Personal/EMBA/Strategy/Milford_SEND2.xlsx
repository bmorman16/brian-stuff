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codeName="ThisWorkbook" autoCompressPictures="0"/>
  <mc:AlternateContent xmlns:mc="http://schemas.openxmlformats.org/markup-compatibility/2006">
    <mc:Choice Requires="x15">
      <x15ac:absPath xmlns:x15ac="http://schemas.microsoft.com/office/spreadsheetml/2010/11/ac" url="/Users/radix/Documents/_WorkFiles_11.01.24/_CourseDev/BAD/MailOuts/Part 2/6b_Milford/"/>
    </mc:Choice>
  </mc:AlternateContent>
  <xr:revisionPtr revIDLastSave="0" documentId="13_ncr:1_{9613399B-EBD9-C043-AEBA-7C3CD31E11F1}" xr6:coauthVersionLast="47" xr6:coauthVersionMax="47" xr10:uidLastSave="{00000000-0000-0000-0000-000000000000}"/>
  <bookViews>
    <workbookView xWindow="1800" yWindow="1020" windowWidth="23800" windowHeight="15380" activeTab="3" xr2:uid="{00000000-000D-0000-FFFF-FFFF00000000}"/>
  </bookViews>
  <sheets>
    <sheet name="Final QN" sheetId="12" r:id="rId1"/>
    <sheet name="82-83 Summ" sheetId="15" r:id="rId2"/>
    <sheet name="82-83 Transposed" sheetId="14" r:id="rId3"/>
    <sheet name="Performance" sheetId="5" r:id="rId4"/>
    <sheet name="Input-Output" sheetId="11" r:id="rId5"/>
  </sheets>
  <definedNames>
    <definedName name="OpenSolver_ChosenSolver" localSheetId="3" hidden="1">CBC</definedName>
    <definedName name="OpenSolver_DualsNewSheet" localSheetId="3" hidden="1">0</definedName>
    <definedName name="OpenSolver_LinearityCheck" localSheetId="3" hidden="1">1</definedName>
    <definedName name="OpenSolver_UpdateSensitivity" localSheetId="3" hidden="1">1</definedName>
    <definedName name="solver_adj" localSheetId="1" hidden="1">'82-83 Summ'!$B$43:$J$43</definedName>
    <definedName name="solver_adj" localSheetId="3" hidden="1">Performance!#REF!</definedName>
    <definedName name="solver_cvg" localSheetId="1" hidden="1">0.0001</definedName>
    <definedName name="solver_cvg" localSheetId="3" hidden="1">0.0001</definedName>
    <definedName name="solver_drv" localSheetId="1" hidden="1">1</definedName>
    <definedName name="solver_drv" localSheetId="3" hidden="1">1</definedName>
    <definedName name="solver_eng" localSheetId="1" hidden="1">2</definedName>
    <definedName name="solver_eng" localSheetId="3" hidden="1">2</definedName>
    <definedName name="solver_est" localSheetId="3" hidden="1">1</definedName>
    <definedName name="solver_itr" localSheetId="1" hidden="1">2147483647</definedName>
    <definedName name="solver_itr" localSheetId="3" hidden="1">2147483647</definedName>
    <definedName name="solver_lhs1" localSheetId="1" hidden="1">'82-83 Summ'!$J$45</definedName>
    <definedName name="solver_lhs1" localSheetId="3" hidden="1">Performance!#REF!</definedName>
    <definedName name="solver_lhs2" localSheetId="1" hidden="1">'82-83 Summ'!$J$46</definedName>
    <definedName name="solver_lhs2" localSheetId="3" hidden="1">Performance!#REF!</definedName>
    <definedName name="solver_lhs3" localSheetId="1" hidden="1">'82-83 Summ'!$J$49</definedName>
    <definedName name="solver_lhs3" localSheetId="3" hidden="1">Performance!#REF!</definedName>
    <definedName name="solver_lhs4" localSheetId="1" hidden="1">'82-83 Summ'!$J$50</definedName>
    <definedName name="solver_lhs4" localSheetId="3" hidden="1">Performance!#REF!</definedName>
    <definedName name="solver_lhs5" localSheetId="1" hidden="1">'82-83 Summ'!$J$52</definedName>
    <definedName name="solver_lhs5" localSheetId="3" hidden="1">Performance!#REF!</definedName>
    <definedName name="solver_lhs6" localSheetId="1" hidden="1">'82-83 Summ'!$J$52</definedName>
    <definedName name="solver_lhs6" localSheetId="3" hidden="1">Performance!#REF!</definedName>
    <definedName name="solver_lin" localSheetId="1" hidden="1">1</definedName>
    <definedName name="solver_lin" localSheetId="3" hidden="1">1</definedName>
    <definedName name="solver_mip" localSheetId="1" hidden="1">2147483647</definedName>
    <definedName name="solver_mip" localSheetId="3" hidden="1">2147483647</definedName>
    <definedName name="solver_mni" localSheetId="1" hidden="1">30</definedName>
    <definedName name="solver_mni" localSheetId="3" hidden="1">30</definedName>
    <definedName name="solver_mrt" localSheetId="1" hidden="1">0.075</definedName>
    <definedName name="solver_mrt" localSheetId="3" hidden="1">0.075</definedName>
    <definedName name="solver_msl" localSheetId="1" hidden="1">2</definedName>
    <definedName name="solver_msl" localSheetId="3" hidden="1">2</definedName>
    <definedName name="solver_neg" localSheetId="1" hidden="1">1</definedName>
    <definedName name="solver_neg" localSheetId="3" hidden="1">1</definedName>
    <definedName name="solver_nod" localSheetId="1" hidden="1">2147483647</definedName>
    <definedName name="solver_nod" localSheetId="3" hidden="1">2147483647</definedName>
    <definedName name="solver_num" localSheetId="1" hidden="1">5</definedName>
    <definedName name="solver_num" localSheetId="3" hidden="1">3</definedName>
    <definedName name="solver_nwt" localSheetId="3" hidden="1">1</definedName>
    <definedName name="solver_opt" localSheetId="1" hidden="1">'82-83 Summ'!#REF!</definedName>
    <definedName name="solver_opt" localSheetId="3" hidden="1">Performance!#REF!</definedName>
    <definedName name="solver_pre" localSheetId="1" hidden="1">0.000001</definedName>
    <definedName name="solver_pre" localSheetId="3" hidden="1">0.000001</definedName>
    <definedName name="solver_rbv" localSheetId="1" hidden="1">1</definedName>
    <definedName name="solver_rbv" localSheetId="3" hidden="1">1</definedName>
    <definedName name="solver_rel1" localSheetId="1" hidden="1">1</definedName>
    <definedName name="solver_rel1" localSheetId="3" hidden="1">1</definedName>
    <definedName name="solver_rel2" localSheetId="1" hidden="1">1</definedName>
    <definedName name="solver_rel2" localSheetId="3" hidden="1">3</definedName>
    <definedName name="solver_rel3" localSheetId="1" hidden="1">3</definedName>
    <definedName name="solver_rel3" localSheetId="3" hidden="1">2</definedName>
    <definedName name="solver_rel4" localSheetId="1" hidden="1">3</definedName>
    <definedName name="solver_rel4" localSheetId="3" hidden="1">2</definedName>
    <definedName name="solver_rel5" localSheetId="1" hidden="1">2</definedName>
    <definedName name="solver_rel5" localSheetId="3" hidden="1">3</definedName>
    <definedName name="solver_rel6" localSheetId="1" hidden="1">2</definedName>
    <definedName name="solver_rel6" localSheetId="3" hidden="1">2</definedName>
    <definedName name="solver_rhs1" localSheetId="1" hidden="1">'82-83 Summ'!$K$45</definedName>
    <definedName name="solver_rhs1" localSheetId="3" hidden="1">Performance!#REF!</definedName>
    <definedName name="solver_rhs2" localSheetId="1" hidden="1">'82-83 Summ'!$K$46</definedName>
    <definedName name="solver_rhs2" localSheetId="3" hidden="1">Performance!#REF!</definedName>
    <definedName name="solver_rhs3" localSheetId="1" hidden="1">'82-83 Summ'!$K$49</definedName>
    <definedName name="solver_rhs3" localSheetId="3" hidden="1">Performance!#REF!</definedName>
    <definedName name="solver_rhs4" localSheetId="1" hidden="1">'82-83 Summ'!$K$50</definedName>
    <definedName name="solver_rhs4" localSheetId="3" hidden="1">Performance!#REF!</definedName>
    <definedName name="solver_rhs5" localSheetId="1" hidden="1">'82-83 Summ'!$K$52</definedName>
    <definedName name="solver_rhs5" localSheetId="3" hidden="1">Performance!#REF!</definedName>
    <definedName name="solver_rhs6" localSheetId="1" hidden="1">'82-83 Summ'!$K$52</definedName>
    <definedName name="solver_rhs6" localSheetId="3" hidden="1">Performance!#REF!</definedName>
    <definedName name="solver_rlx" localSheetId="1" hidden="1">2</definedName>
    <definedName name="solver_rlx" localSheetId="3" hidden="1">2</definedName>
    <definedName name="solver_rsd" localSheetId="1" hidden="1">0</definedName>
    <definedName name="solver_rsd" localSheetId="3" hidden="1">0</definedName>
    <definedName name="solver_scl" localSheetId="1" hidden="1">1</definedName>
    <definedName name="solver_scl" localSheetId="3" hidden="1">1</definedName>
    <definedName name="solver_sho" localSheetId="1" hidden="1">2</definedName>
    <definedName name="solver_sho" localSheetId="3" hidden="1">2</definedName>
    <definedName name="solver_ssz" localSheetId="1" hidden="1">100</definedName>
    <definedName name="solver_ssz" localSheetId="3" hidden="1">100</definedName>
    <definedName name="solver_tim" localSheetId="1" hidden="1">2147483647</definedName>
    <definedName name="solver_tim" localSheetId="3" hidden="1">2147483647</definedName>
    <definedName name="solver_tol" localSheetId="1" hidden="1">0.01</definedName>
    <definedName name="solver_tol" localSheetId="3" hidden="1">0.01</definedName>
    <definedName name="solver_typ" localSheetId="1" hidden="1">2</definedName>
    <definedName name="solver_typ" localSheetId="3" hidden="1">2</definedName>
    <definedName name="solver_val" localSheetId="1" hidden="1">0</definedName>
    <definedName name="solver_val" localSheetId="3" hidden="1">0</definedName>
    <definedName name="solver_ver" localSheetId="1" hidden="1">2</definedName>
    <definedName name="solver_ver" localSheetId="3" hidde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59" i="5" l="1"/>
  <c r="M65" i="5"/>
  <c r="M64" i="5"/>
  <c r="L64" i="5"/>
  <c r="L63" i="5"/>
  <c r="M63" i="5"/>
  <c r="K63" i="5"/>
  <c r="K62" i="5"/>
  <c r="L62" i="5"/>
  <c r="M62" i="5"/>
  <c r="J62" i="5"/>
  <c r="H60" i="5"/>
  <c r="J61" i="5"/>
  <c r="K61" i="5"/>
  <c r="L61" i="5"/>
  <c r="M61" i="5"/>
  <c r="I61" i="5"/>
  <c r="M60" i="5"/>
  <c r="I60" i="5"/>
  <c r="J60" i="5"/>
  <c r="K60" i="5"/>
  <c r="L60" i="5"/>
  <c r="H59" i="5"/>
  <c r="I59" i="5"/>
  <c r="J59" i="5"/>
  <c r="K59" i="5"/>
  <c r="L59" i="5"/>
  <c r="M59" i="5"/>
  <c r="E33" i="5"/>
  <c r="F33" i="5"/>
  <c r="F34" i="5" s="1"/>
  <c r="G33" i="5"/>
  <c r="H33" i="5"/>
  <c r="I33" i="5"/>
  <c r="J33" i="5"/>
  <c r="K33" i="5"/>
  <c r="D33" i="5"/>
  <c r="E32" i="5"/>
  <c r="F32" i="5"/>
  <c r="G32" i="5"/>
  <c r="H32" i="5"/>
  <c r="H34" i="5" s="1"/>
  <c r="I32" i="5"/>
  <c r="I34" i="5" s="1"/>
  <c r="J32" i="5"/>
  <c r="J34" i="5" s="1"/>
  <c r="K32" i="5"/>
  <c r="D32" i="5"/>
  <c r="G34" i="5"/>
  <c r="E34" i="5"/>
  <c r="M26" i="5"/>
  <c r="B19" i="15"/>
  <c r="C19" i="15"/>
  <c r="D19" i="15"/>
  <c r="E19" i="15"/>
  <c r="F19" i="15"/>
  <c r="G19" i="15"/>
  <c r="H19" i="15"/>
  <c r="I19" i="15"/>
  <c r="B28" i="15"/>
  <c r="C28" i="15"/>
  <c r="D28" i="15"/>
  <c r="E28" i="15"/>
  <c r="F28" i="15"/>
  <c r="F29" i="15" s="1"/>
  <c r="G28" i="15"/>
  <c r="G29" i="15" s="1"/>
  <c r="H28" i="15"/>
  <c r="H29" i="15" s="1"/>
  <c r="I28" i="15"/>
  <c r="I29" i="15" s="1"/>
  <c r="B29" i="15"/>
  <c r="C29" i="15"/>
  <c r="D29" i="15"/>
  <c r="E29" i="15"/>
  <c r="N3" i="14"/>
  <c r="N4" i="14"/>
  <c r="N5" i="14"/>
  <c r="N6" i="14"/>
  <c r="N7" i="14"/>
  <c r="N8" i="14"/>
  <c r="N9" i="14"/>
  <c r="N10" i="14"/>
  <c r="D34" i="5" l="1"/>
  <c r="K34" i="5"/>
  <c r="M33" i="5" l="1"/>
  <c r="K2" i="5" l="1"/>
  <c r="J2" i="5"/>
  <c r="I2" i="5"/>
  <c r="H2" i="5"/>
  <c r="G2" i="5"/>
  <c r="F2" i="5"/>
  <c r="E2" i="5"/>
  <c r="D2" i="5"/>
  <c r="M2" i="5" l="1"/>
  <c r="L2" i="5"/>
  <c r="M27" i="5"/>
  <c r="L27" i="5"/>
  <c r="L26" i="5"/>
  <c r="M25" i="5"/>
  <c r="L25" i="5"/>
  <c r="M24" i="5"/>
  <c r="L24" i="5"/>
  <c r="M23" i="5"/>
  <c r="L23" i="5"/>
  <c r="M22" i="5"/>
  <c r="L22" i="5"/>
  <c r="M20" i="5"/>
  <c r="L20" i="5"/>
  <c r="M19" i="5"/>
  <c r="L19" i="5"/>
  <c r="M18" i="5"/>
  <c r="L18" i="5"/>
  <c r="M17" i="5"/>
  <c r="L17" i="5"/>
  <c r="M16" i="5"/>
  <c r="L16" i="5"/>
  <c r="M15" i="5"/>
  <c r="L15" i="5"/>
  <c r="M14" i="5"/>
  <c r="L14" i="5"/>
  <c r="M13" i="5"/>
  <c r="L13" i="5"/>
  <c r="M11" i="5"/>
  <c r="L11" i="5"/>
  <c r="M10" i="5"/>
  <c r="L10" i="5"/>
  <c r="M9" i="5"/>
  <c r="L9" i="5"/>
  <c r="M8" i="5"/>
  <c r="L8" i="5"/>
  <c r="M6" i="5"/>
  <c r="L6" i="5"/>
  <c r="M5" i="5"/>
  <c r="L5" i="5"/>
  <c r="M4" i="5"/>
  <c r="L4" i="5"/>
  <c r="M3" i="5"/>
  <c r="L3" i="5"/>
  <c r="E17" i="11" l="1"/>
  <c r="F17" i="11"/>
  <c r="E18" i="11"/>
  <c r="F18" i="11"/>
  <c r="E19" i="11"/>
  <c r="F19" i="11"/>
  <c r="E20" i="11"/>
  <c r="F20" i="11"/>
  <c r="E21" i="11"/>
  <c r="F21" i="11"/>
  <c r="E22" i="11"/>
  <c r="F22" i="11"/>
  <c r="E23" i="11"/>
  <c r="F23" i="11"/>
  <c r="E24" i="11"/>
  <c r="F24" i="11"/>
  <c r="C28" i="11"/>
  <c r="L33" i="11"/>
  <c r="N33" i="11"/>
  <c r="L34" i="11"/>
  <c r="N34" i="11"/>
  <c r="L35" i="11"/>
  <c r="N35" i="11"/>
  <c r="L36" i="11"/>
  <c r="N36" i="11"/>
  <c r="L38" i="11"/>
  <c r="M32" i="5" l="1"/>
  <c r="M34" i="5" s="1"/>
</calcChain>
</file>

<file path=xl/sharedStrings.xml><?xml version="1.0" encoding="utf-8"?>
<sst xmlns="http://schemas.openxmlformats.org/spreadsheetml/2006/main" count="193" uniqueCount="126">
  <si>
    <t>Eaton</t>
  </si>
  <si>
    <t>Burke</t>
  </si>
  <si>
    <t>Durfee</t>
  </si>
  <si>
    <t>Harlow</t>
  </si>
  <si>
    <t>Furness</t>
  </si>
  <si>
    <t>Gibson</t>
  </si>
  <si>
    <t>Caplan</t>
  </si>
  <si>
    <t>Salary ($000)</t>
  </si>
  <si>
    <t>Commision ($000)</t>
  </si>
  <si>
    <t>Expenses ($000)</t>
  </si>
  <si>
    <t>Potential Accts</t>
  </si>
  <si>
    <t>Buying Power Index</t>
  </si>
  <si>
    <t>Total Population</t>
  </si>
  <si>
    <t>Total Area Sq. Mi.</t>
  </si>
  <si>
    <t>Calls Made</t>
  </si>
  <si>
    <t>Results 82</t>
  </si>
  <si>
    <t>Metal Sales</t>
  </si>
  <si>
    <t>Wood Sales</t>
  </si>
  <si>
    <t>Portable Sales</t>
  </si>
  <si>
    <t>Hand Sales</t>
  </si>
  <si>
    <t>Mason Sales</t>
  </si>
  <si>
    <t>Measuring Sales</t>
  </si>
  <si>
    <t>1982 Totals</t>
  </si>
  <si>
    <t>1983 YTD Sales</t>
  </si>
  <si>
    <t>Active Accts</t>
  </si>
  <si>
    <t>Alderson</t>
  </si>
  <si>
    <t>Calls</t>
  </si>
  <si>
    <t>Weights</t>
  </si>
  <si>
    <t>Constraints</t>
  </si>
  <si>
    <t>Index_E</t>
  </si>
  <si>
    <t>w_c</t>
  </si>
  <si>
    <t>w_d</t>
  </si>
  <si>
    <t>w_e</t>
  </si>
  <si>
    <t>w_f</t>
  </si>
  <si>
    <t>w_g</t>
  </si>
  <si>
    <t>w_h</t>
  </si>
  <si>
    <t>E</t>
  </si>
  <si>
    <t>=</t>
  </si>
  <si>
    <t>&lt;</t>
  </si>
  <si>
    <t>&gt;</t>
  </si>
  <si>
    <t>INPUTS</t>
  </si>
  <si>
    <t>OUTPUTS</t>
  </si>
  <si>
    <t>Off</t>
  </si>
  <si>
    <t>Last Year Sales</t>
  </si>
  <si>
    <t>BPI</t>
  </si>
  <si>
    <t>%Exp/Sales</t>
  </si>
  <si>
    <t>$ Sales/Call</t>
  </si>
  <si>
    <t>Efficiency</t>
  </si>
  <si>
    <t>$ Net Marg</t>
  </si>
  <si>
    <t>%Year-over-Year</t>
  </si>
  <si>
    <t>$ Sales/Acct</t>
  </si>
  <si>
    <t>$ Sales ($M)</t>
  </si>
  <si>
    <t>Results</t>
  </si>
  <si>
    <t>%Active/Pot</t>
  </si>
  <si>
    <t>Pot-Active</t>
  </si>
  <si>
    <t>#Active Accts</t>
  </si>
  <si>
    <t>Calls/Day</t>
  </si>
  <si>
    <t>Calls/Active</t>
  </si>
  <si>
    <t>Activity</t>
  </si>
  <si>
    <t>Calls/PotAcct</t>
  </si>
  <si>
    <t># Calls</t>
  </si>
  <si>
    <t>Territory Size</t>
  </si>
  <si>
    <t>Context</t>
  </si>
  <si>
    <t>PotAcct/10sq Mile</t>
  </si>
  <si>
    <t>st-dev</t>
  </si>
  <si>
    <t>mean</t>
  </si>
  <si>
    <t>Attribute</t>
  </si>
  <si>
    <t>Salary</t>
  </si>
  <si>
    <t>Commisions</t>
  </si>
  <si>
    <t>Expenses</t>
  </si>
  <si>
    <t>Total Cost</t>
  </si>
  <si>
    <t>w_a</t>
  </si>
  <si>
    <t>w_b</t>
  </si>
  <si>
    <t>Net Margin</t>
  </si>
  <si>
    <t>Pot Accts</t>
  </si>
  <si>
    <t>Age</t>
  </si>
  <si>
    <t>High Margin Sales</t>
  </si>
  <si>
    <t>Total Goal</t>
  </si>
  <si>
    <t>Total Actual</t>
  </si>
  <si>
    <t>Sales</t>
  </si>
  <si>
    <t>Experience</t>
  </si>
  <si>
    <t>Sale/Acct</t>
  </si>
  <si>
    <t>Sales/Call</t>
  </si>
  <si>
    <t>SpA/Calls</t>
  </si>
  <si>
    <t>% Net Marg</t>
  </si>
  <si>
    <t>Exp</t>
  </si>
  <si>
    <t>TotComp</t>
  </si>
  <si>
    <t>Plotted</t>
  </si>
  <si>
    <t>INPUT</t>
  </si>
  <si>
    <t>Sales Correlations</t>
  </si>
  <si>
    <t>Expense Correlations</t>
  </si>
  <si>
    <t>Call Correlations</t>
  </si>
  <si>
    <t>Exper. Correlations</t>
  </si>
  <si>
    <t>Gr Mar</t>
  </si>
  <si>
    <t>1983 YTD</t>
  </si>
  <si>
    <t>1982 Tot.</t>
  </si>
  <si>
    <t>Meas.</t>
  </si>
  <si>
    <t>Mason</t>
  </si>
  <si>
    <t>Hand</t>
  </si>
  <si>
    <t>Portable</t>
  </si>
  <si>
    <t>Wood</t>
  </si>
  <si>
    <t>Metal</t>
  </si>
  <si>
    <t>Tot Sq Miles</t>
  </si>
  <si>
    <t>Tot. Pop.</t>
  </si>
  <si>
    <t>%US Sales</t>
  </si>
  <si>
    <t>PotAcct</t>
  </si>
  <si>
    <t>Commission</t>
  </si>
  <si>
    <t>Expenditures ($ 000s)</t>
  </si>
  <si>
    <t>Context (Market)</t>
  </si>
  <si>
    <t>$ Net by Salesperson</t>
  </si>
  <si>
    <t>$ GM by Salesperson</t>
  </si>
  <si>
    <t>Expenditures</t>
  </si>
  <si>
    <t>Gross Marg.</t>
  </si>
  <si>
    <t>Activity (Effort)</t>
  </si>
  <si>
    <t>% US Retail Sales</t>
  </si>
  <si>
    <t>%US Ret Sales</t>
  </si>
  <si>
    <r>
      <t>(3</t>
    </r>
    <r>
      <rPr>
        <b/>
        <sz val="22"/>
        <color theme="1"/>
        <rFont val="Calibri"/>
        <family val="2"/>
      </rPr>
      <t xml:space="preserve"> </t>
    </r>
    <r>
      <rPr>
        <sz val="22"/>
        <color theme="1"/>
        <rFont val="Calibri"/>
        <family val="2"/>
      </rPr>
      <t>pts): 1) Rank order your salespeople from top to bottom performance. Which metrics did you use and why? 2) What seem to be the critical drivers (i.e., "context" and "activities") of "results" and "effectiveness?" Explain the rationale behind your determinations. 3) Given 1 and 2, what will you do to improve the performance in the Capital District?</t>
    </r>
  </si>
  <si>
    <r>
      <t>Question 2 – Case: Milford Industries (</t>
    </r>
    <r>
      <rPr>
        <i/>
        <sz val="22"/>
        <color theme="1"/>
        <rFont val="Calibri"/>
        <family val="2"/>
      </rPr>
      <t>using statistics - session 6 exercise</t>
    </r>
    <r>
      <rPr>
        <b/>
        <sz val="22"/>
        <color theme="1"/>
        <rFont val="Calibri"/>
        <family val="2"/>
      </rPr>
      <t>)</t>
    </r>
  </si>
  <si>
    <t>GOAL (MM) ??</t>
  </si>
  <si>
    <t>% of Goal</t>
  </si>
  <si>
    <t>Total Comm Sales</t>
  </si>
  <si>
    <t>Terr</t>
  </si>
  <si>
    <t>Pot/SqMile</t>
  </si>
  <si>
    <t>Territory Correlations</t>
  </si>
  <si>
    <t>Pot/SqM Correlations</t>
  </si>
  <si>
    <t>PotAcct Correlations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</si>
</sst>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164" formatCode="&quot;$&quot;#,##0"/>
    <numFmt numFmtId="165" formatCode="&quot;$&quot;#,##0.0"/>
    <numFmt numFmtId="166" formatCode="0.0000"/>
    <numFmt numFmtId="167" formatCode="0.0"/>
    <numFmt numFmtId="168" formatCode="0.0%"/>
    <numFmt numFmtId="169" formatCode="#,##0.0"/>
    <numFmt numFmtId="170" formatCode="_(&quot;$&quot;* #,##0.0_);_(&quot;$&quot;* \(#,##0.0\);_(&quot;$&quot;* &quot;-&quot;??_);_(@_)"/>
    <numFmt numFmtId="171" formatCode="_(&quot;$&quot;* #,##0_);_(&quot;$&quot;* \(#,##0\);_(&quot;$&quot;* &quot;-&quot;??_);_(@_)"/>
  </numFmts>
  <fonts count="16" x14ac:knownFonts="1">
    <font>
      <sz val="10"/>
      <name val="Arial"/>
    </font>
    <font>
      <sz val="12"/>
      <color theme="1"/>
      <name val="Calibri"/>
      <family val="2"/>
      <scheme val="minor"/>
    </font>
    <font>
      <sz val="10"/>
      <name val="Arial"/>
      <family val="2"/>
    </font>
    <font>
      <b/>
      <sz val="10"/>
      <color indexed="12"/>
      <name val="Arial"/>
      <family val="2"/>
    </font>
    <font>
      <sz val="10"/>
      <name val="Arial"/>
      <family val="2"/>
    </font>
    <font>
      <sz val="10"/>
      <color indexed="13"/>
      <name val="Arial"/>
      <family val="2"/>
    </font>
    <font>
      <b/>
      <i/>
      <sz val="10"/>
      <name val="Arial"/>
      <family val="2"/>
    </font>
    <font>
      <sz val="10"/>
      <color rgb="FFFF0000"/>
      <name val="Arial"/>
      <family val="2"/>
    </font>
    <font>
      <i/>
      <sz val="10"/>
      <name val="Arial"/>
      <family val="2"/>
    </font>
    <font>
      <b/>
      <i/>
      <sz val="10"/>
      <color indexed="12"/>
      <name val="Arial"/>
      <family val="2"/>
    </font>
    <font>
      <b/>
      <sz val="10"/>
      <name val="Arial"/>
      <family val="2"/>
    </font>
    <font>
      <b/>
      <sz val="10"/>
      <color rgb="FF0070C0"/>
      <name val="Arial"/>
      <family val="2"/>
    </font>
    <font>
      <sz val="22"/>
      <color theme="1"/>
      <name val="Calibri"/>
      <family val="2"/>
    </font>
    <font>
      <b/>
      <sz val="22"/>
      <color theme="1"/>
      <name val="Calibri"/>
      <family val="2"/>
    </font>
    <font>
      <i/>
      <sz val="22"/>
      <color theme="1"/>
      <name val="Calibri"/>
      <family val="2"/>
    </font>
    <font>
      <sz val="10"/>
      <color theme="1"/>
      <name val="Arial"/>
      <family val="2"/>
    </font>
  </fonts>
  <fills count="8">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8" tint="0.79998168889431442"/>
        <bgColor indexed="64"/>
      </patternFill>
    </fill>
  </fills>
  <borders count="24">
    <border>
      <left/>
      <right/>
      <top/>
      <bottom/>
      <diagonal/>
    </border>
    <border>
      <left/>
      <right style="medium">
        <color auto="1"/>
      </right>
      <top/>
      <bottom/>
      <diagonal/>
    </border>
    <border>
      <left/>
      <right style="medium">
        <color auto="1"/>
      </right>
      <top/>
      <bottom style="medium">
        <color auto="1"/>
      </bottom>
      <diagonal/>
    </border>
    <border>
      <left/>
      <right/>
      <top/>
      <bottom style="medium">
        <color auto="1"/>
      </bottom>
      <diagonal/>
    </border>
    <border>
      <left/>
      <right style="thin">
        <color auto="1"/>
      </right>
      <top/>
      <bottom style="medium">
        <color auto="1"/>
      </bottom>
      <diagonal/>
    </border>
    <border>
      <left style="medium">
        <color auto="1"/>
      </left>
      <right/>
      <top/>
      <bottom style="medium">
        <color auto="1"/>
      </bottom>
      <diagonal/>
    </border>
    <border>
      <left/>
      <right style="thin">
        <color auto="1"/>
      </right>
      <top/>
      <bottom/>
      <diagonal/>
    </border>
    <border>
      <left style="medium">
        <color auto="1"/>
      </left>
      <right/>
      <top/>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medium">
        <color auto="1"/>
      </left>
      <right/>
      <top style="medium">
        <color auto="1"/>
      </top>
      <bottom style="medium">
        <color auto="1"/>
      </bottom>
      <diagonal/>
    </border>
    <border>
      <left/>
      <right style="thin">
        <color indexed="64"/>
      </right>
      <top style="medium">
        <color auto="1"/>
      </top>
      <bottom/>
      <diagonal/>
    </border>
    <border>
      <left style="medium">
        <color auto="1"/>
      </left>
      <right style="medium">
        <color auto="1"/>
      </right>
      <top/>
      <bottom style="medium">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s>
  <cellStyleXfs count="7">
    <xf numFmtId="0" fontId="0" fillId="0" borderId="0"/>
    <xf numFmtId="44" fontId="4" fillId="0" borderId="0" applyFont="0" applyFill="0" applyBorder="0" applyAlignment="0" applyProtection="0"/>
    <xf numFmtId="9" fontId="4"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1" fillId="0" borderId="0"/>
  </cellStyleXfs>
  <cellXfs count="134">
    <xf numFmtId="0" fontId="0" fillId="0" borderId="0" xfId="0"/>
    <xf numFmtId="165" fontId="2" fillId="0" borderId="0" xfId="0" applyNumberFormat="1" applyFont="1"/>
    <xf numFmtId="165" fontId="0" fillId="0" borderId="0" xfId="0" applyNumberFormat="1"/>
    <xf numFmtId="0" fontId="2" fillId="0" borderId="0" xfId="3"/>
    <xf numFmtId="0" fontId="5" fillId="0" borderId="0" xfId="3" applyFont="1"/>
    <xf numFmtId="0" fontId="2" fillId="0" borderId="0" xfId="3" applyAlignment="1">
      <alignment horizontal="center"/>
    </xf>
    <xf numFmtId="0" fontId="6" fillId="0" borderId="0" xfId="3" applyFont="1" applyAlignment="1">
      <alignment horizontal="center"/>
    </xf>
    <xf numFmtId="9" fontId="2" fillId="0" borderId="0" xfId="3" applyNumberFormat="1"/>
    <xf numFmtId="164" fontId="2" fillId="0" borderId="0" xfId="3" applyNumberFormat="1"/>
    <xf numFmtId="0" fontId="7" fillId="0" borderId="0" xfId="3" applyFont="1"/>
    <xf numFmtId="10" fontId="2" fillId="0" borderId="0" xfId="3" applyNumberFormat="1"/>
    <xf numFmtId="9" fontId="8" fillId="0" borderId="3" xfId="3" applyNumberFormat="1" applyFont="1" applyBorder="1"/>
    <xf numFmtId="0" fontId="8" fillId="0" borderId="4" xfId="3" applyFont="1" applyBorder="1" applyAlignment="1">
      <alignment horizontal="center"/>
    </xf>
    <xf numFmtId="0" fontId="6" fillId="0" borderId="5" xfId="3" applyFont="1" applyBorder="1" applyAlignment="1">
      <alignment horizontal="center"/>
    </xf>
    <xf numFmtId="0" fontId="2" fillId="0" borderId="6" xfId="3" applyBorder="1" applyAlignment="1">
      <alignment horizontal="center"/>
    </xf>
    <xf numFmtId="0" fontId="6" fillId="0" borderId="7" xfId="3" applyFont="1" applyBorder="1" applyAlignment="1">
      <alignment horizontal="center"/>
    </xf>
    <xf numFmtId="3" fontId="2" fillId="0" borderId="0" xfId="3" applyNumberFormat="1"/>
    <xf numFmtId="0" fontId="2" fillId="0" borderId="3" xfId="3" applyBorder="1"/>
    <xf numFmtId="0" fontId="2" fillId="0" borderId="4" xfId="3" applyBorder="1" applyAlignment="1">
      <alignment horizontal="center"/>
    </xf>
    <xf numFmtId="1" fontId="2" fillId="0" borderId="0" xfId="3" applyNumberFormat="1"/>
    <xf numFmtId="2" fontId="2" fillId="0" borderId="0" xfId="3" applyNumberFormat="1"/>
    <xf numFmtId="3" fontId="2" fillId="0" borderId="0" xfId="3" applyNumberFormat="1" applyAlignment="1">
      <alignment horizontal="right"/>
    </xf>
    <xf numFmtId="0" fontId="3" fillId="0" borderId="0" xfId="3" applyFont="1" applyAlignment="1">
      <alignment horizontal="center"/>
    </xf>
    <xf numFmtId="0" fontId="9" fillId="0" borderId="11" xfId="3" applyFont="1" applyBorder="1" applyAlignment="1">
      <alignment horizontal="center"/>
    </xf>
    <xf numFmtId="171" fontId="2" fillId="0" borderId="0" xfId="1" applyNumberFormat="1" applyFont="1" applyFill="1" applyBorder="1"/>
    <xf numFmtId="167" fontId="2" fillId="0" borderId="0" xfId="3" applyNumberFormat="1"/>
    <xf numFmtId="0" fontId="2" fillId="0" borderId="12" xfId="3" applyBorder="1" applyAlignment="1">
      <alignment horizontal="center"/>
    </xf>
    <xf numFmtId="44" fontId="2" fillId="0" borderId="0" xfId="1" applyFont="1" applyFill="1" applyBorder="1"/>
    <xf numFmtId="168" fontId="2" fillId="0" borderId="0" xfId="4" applyNumberFormat="1" applyFont="1" applyFill="1" applyBorder="1"/>
    <xf numFmtId="4" fontId="2" fillId="0" borderId="0" xfId="3" applyNumberFormat="1"/>
    <xf numFmtId="9" fontId="2" fillId="0" borderId="0" xfId="2" applyFont="1"/>
    <xf numFmtId="9" fontId="2" fillId="0" borderId="3" xfId="2" applyFont="1" applyBorder="1"/>
    <xf numFmtId="9" fontId="0" fillId="0" borderId="14" xfId="4" applyFont="1" applyBorder="1"/>
    <xf numFmtId="0" fontId="11" fillId="0" borderId="6" xfId="3" applyFont="1" applyBorder="1" applyAlignment="1">
      <alignment horizontal="center"/>
    </xf>
    <xf numFmtId="0" fontId="0" fillId="0" borderId="0" xfId="4" applyNumberFormat="1" applyFont="1" applyBorder="1"/>
    <xf numFmtId="171" fontId="0" fillId="0" borderId="0" xfId="5" applyNumberFormat="1" applyFont="1" applyBorder="1"/>
    <xf numFmtId="0" fontId="2" fillId="0" borderId="6" xfId="3" applyBorder="1"/>
    <xf numFmtId="171" fontId="0" fillId="0" borderId="0" xfId="5" applyNumberFormat="1" applyFont="1"/>
    <xf numFmtId="9" fontId="0" fillId="0" borderId="6" xfId="4" applyFont="1" applyBorder="1"/>
    <xf numFmtId="0" fontId="0" fillId="0" borderId="0" xfId="4" applyNumberFormat="1" applyFont="1"/>
    <xf numFmtId="0" fontId="11" fillId="0" borderId="14" xfId="3" applyFont="1" applyBorder="1" applyAlignment="1">
      <alignment horizontal="center"/>
    </xf>
    <xf numFmtId="0" fontId="2" fillId="0" borderId="15" xfId="3" applyBorder="1"/>
    <xf numFmtId="171" fontId="2" fillId="0" borderId="15" xfId="5" applyNumberFormat="1" applyFont="1" applyBorder="1"/>
    <xf numFmtId="0" fontId="2" fillId="0" borderId="14" xfId="3" applyBorder="1"/>
    <xf numFmtId="165" fontId="2" fillId="0" borderId="0" xfId="3" applyNumberFormat="1"/>
    <xf numFmtId="9" fontId="2" fillId="0" borderId="0" xfId="4" applyFont="1" applyAlignment="1">
      <alignment horizontal="center"/>
    </xf>
    <xf numFmtId="1" fontId="0" fillId="0" borderId="0" xfId="5" applyNumberFormat="1" applyFont="1"/>
    <xf numFmtId="1" fontId="2" fillId="0" borderId="0" xfId="3" applyNumberFormat="1" applyAlignment="1">
      <alignment horizontal="center"/>
    </xf>
    <xf numFmtId="1" fontId="0" fillId="0" borderId="0" xfId="4" applyNumberFormat="1" applyFont="1" applyBorder="1"/>
    <xf numFmtId="2" fontId="2" fillId="2" borderId="0" xfId="3" applyNumberFormat="1" applyFill="1"/>
    <xf numFmtId="2" fontId="2" fillId="3" borderId="0" xfId="3" applyNumberFormat="1" applyFill="1"/>
    <xf numFmtId="44" fontId="2" fillId="4" borderId="0" xfId="3" applyNumberFormat="1" applyFill="1"/>
    <xf numFmtId="171" fontId="2" fillId="2" borderId="0" xfId="5" applyNumberFormat="1" applyFont="1" applyFill="1"/>
    <xf numFmtId="0" fontId="2" fillId="5" borderId="0" xfId="3" applyFill="1"/>
    <xf numFmtId="171" fontId="0" fillId="2" borderId="0" xfId="5" applyNumberFormat="1" applyFont="1" applyFill="1"/>
    <xf numFmtId="0" fontId="0" fillId="5" borderId="0" xfId="4" applyNumberFormat="1" applyFont="1" applyFill="1"/>
    <xf numFmtId="0" fontId="2" fillId="4" borderId="0" xfId="3" applyFill="1"/>
    <xf numFmtId="2" fontId="2" fillId="4" borderId="0" xfId="3" applyNumberFormat="1" applyFill="1"/>
    <xf numFmtId="44" fontId="0" fillId="2" borderId="0" xfId="4" applyNumberFormat="1" applyFont="1" applyFill="1" applyBorder="1"/>
    <xf numFmtId="0" fontId="10" fillId="0" borderId="0" xfId="3" applyFont="1"/>
    <xf numFmtId="44" fontId="2" fillId="4" borderId="8" xfId="3" applyNumberFormat="1" applyFill="1" applyBorder="1"/>
    <xf numFmtId="0" fontId="2" fillId="5" borderId="9" xfId="3" applyFill="1" applyBorder="1"/>
    <xf numFmtId="0" fontId="2" fillId="0" borderId="11" xfId="3" applyBorder="1"/>
    <xf numFmtId="44" fontId="2" fillId="6" borderId="8" xfId="3" applyNumberFormat="1" applyFill="1" applyBorder="1"/>
    <xf numFmtId="171" fontId="0" fillId="2" borderId="9" xfId="5" applyNumberFormat="1" applyFont="1" applyFill="1" applyBorder="1"/>
    <xf numFmtId="2" fontId="2" fillId="6" borderId="9" xfId="3" applyNumberFormat="1" applyFill="1" applyBorder="1"/>
    <xf numFmtId="44" fontId="0" fillId="2" borderId="9" xfId="4" applyNumberFormat="1" applyFont="1" applyFill="1" applyBorder="1"/>
    <xf numFmtId="2" fontId="2" fillId="4" borderId="9" xfId="3" applyNumberFormat="1" applyFill="1" applyBorder="1"/>
    <xf numFmtId="0" fontId="0" fillId="5" borderId="9" xfId="4" applyNumberFormat="1" applyFont="1" applyFill="1" applyBorder="1"/>
    <xf numFmtId="0" fontId="1" fillId="0" borderId="0" xfId="6"/>
    <xf numFmtId="0" fontId="13" fillId="0" borderId="0" xfId="6" applyFont="1" applyAlignment="1">
      <alignment horizontal="left" vertical="center" wrapText="1"/>
    </xf>
    <xf numFmtId="9" fontId="2" fillId="0" borderId="0" xfId="2" applyFont="1" applyFill="1"/>
    <xf numFmtId="0" fontId="12" fillId="0" borderId="0" xfId="0" applyFont="1" applyAlignment="1">
      <alignment horizontal="left" vertical="center" wrapText="1"/>
    </xf>
    <xf numFmtId="0" fontId="3" fillId="0" borderId="0" xfId="3" applyFont="1"/>
    <xf numFmtId="0" fontId="2" fillId="0" borderId="2" xfId="3" applyBorder="1"/>
    <xf numFmtId="164" fontId="2" fillId="0" borderId="3" xfId="3" applyNumberFormat="1" applyBorder="1"/>
    <xf numFmtId="164" fontId="2" fillId="0" borderId="5" xfId="3" applyNumberFormat="1" applyBorder="1"/>
    <xf numFmtId="3" fontId="2" fillId="0" borderId="13" xfId="3" applyNumberFormat="1" applyBorder="1"/>
    <xf numFmtId="3" fontId="2" fillId="0" borderId="2" xfId="3" applyNumberFormat="1" applyBorder="1"/>
    <xf numFmtId="3" fontId="2" fillId="0" borderId="3" xfId="3" applyNumberFormat="1" applyBorder="1"/>
    <xf numFmtId="166" fontId="2" fillId="0" borderId="3" xfId="3" applyNumberFormat="1" applyBorder="1"/>
    <xf numFmtId="0" fontId="2" fillId="0" borderId="5" xfId="3" applyBorder="1"/>
    <xf numFmtId="165" fontId="2" fillId="0" borderId="2" xfId="3" applyNumberFormat="1" applyBorder="1"/>
    <xf numFmtId="165" fontId="2" fillId="0" borderId="3" xfId="3" applyNumberFormat="1" applyBorder="1"/>
    <xf numFmtId="165" fontId="2" fillId="0" borderId="5" xfId="3" applyNumberFormat="1" applyBorder="1"/>
    <xf numFmtId="0" fontId="2" fillId="0" borderId="1" xfId="3" applyBorder="1"/>
    <xf numFmtId="164" fontId="2" fillId="0" borderId="7" xfId="3" applyNumberFormat="1" applyBorder="1"/>
    <xf numFmtId="3" fontId="2" fillId="0" borderId="16" xfId="3" applyNumberFormat="1" applyBorder="1"/>
    <xf numFmtId="3" fontId="2" fillId="0" borderId="1" xfId="3" applyNumberFormat="1" applyBorder="1"/>
    <xf numFmtId="166" fontId="2" fillId="0" borderId="0" xfId="3" applyNumberFormat="1"/>
    <xf numFmtId="0" fontId="2" fillId="0" borderId="7" xfId="3" applyBorder="1"/>
    <xf numFmtId="165" fontId="2" fillId="0" borderId="1" xfId="3" applyNumberFormat="1" applyBorder="1"/>
    <xf numFmtId="165" fontId="2" fillId="0" borderId="7" xfId="3" applyNumberFormat="1" applyBorder="1"/>
    <xf numFmtId="0" fontId="2" fillId="0" borderId="17" xfId="3" applyBorder="1" applyAlignment="1">
      <alignment horizontal="right"/>
    </xf>
    <xf numFmtId="0" fontId="15" fillId="0" borderId="18" xfId="3" applyFont="1" applyBorder="1" applyAlignment="1">
      <alignment horizontal="left"/>
    </xf>
    <xf numFmtId="0" fontId="2" fillId="0" borderId="18" xfId="3" applyBorder="1" applyAlignment="1">
      <alignment horizontal="right"/>
    </xf>
    <xf numFmtId="0" fontId="2" fillId="0" borderId="19" xfId="3" applyBorder="1" applyAlignment="1">
      <alignment horizontal="right"/>
    </xf>
    <xf numFmtId="0" fontId="2" fillId="0" borderId="20" xfId="3" applyBorder="1" applyAlignment="1">
      <alignment horizontal="right"/>
    </xf>
    <xf numFmtId="0" fontId="3" fillId="0" borderId="21" xfId="3" applyFont="1" applyBorder="1" applyAlignment="1">
      <alignment horizontal="center"/>
    </xf>
    <xf numFmtId="44" fontId="0" fillId="0" borderId="0" xfId="5" applyFont="1"/>
    <xf numFmtId="0" fontId="11" fillId="0" borderId="0" xfId="3" applyFont="1"/>
    <xf numFmtId="0" fontId="2" fillId="0" borderId="0" xfId="3" applyAlignment="1">
      <alignment horizontal="right"/>
    </xf>
    <xf numFmtId="0" fontId="3" fillId="0" borderId="0" xfId="3" applyFont="1" applyAlignment="1">
      <alignment horizontal="left"/>
    </xf>
    <xf numFmtId="0" fontId="11" fillId="0" borderId="10" xfId="3" applyFont="1" applyBorder="1" applyAlignment="1">
      <alignment horizontal="center"/>
    </xf>
    <xf numFmtId="0" fontId="11" fillId="0" borderId="9" xfId="3" applyFont="1" applyBorder="1" applyAlignment="1">
      <alignment horizontal="center"/>
    </xf>
    <xf numFmtId="6" fontId="2" fillId="0" borderId="0" xfId="3" applyNumberFormat="1"/>
    <xf numFmtId="0" fontId="10" fillId="7" borderId="23" xfId="3" applyFont="1" applyFill="1" applyBorder="1" applyAlignment="1">
      <alignment horizontal="center"/>
    </xf>
    <xf numFmtId="0" fontId="10" fillId="7" borderId="8" xfId="3" applyFont="1" applyFill="1" applyBorder="1" applyAlignment="1">
      <alignment horizontal="center"/>
    </xf>
    <xf numFmtId="169" fontId="10" fillId="7" borderId="16" xfId="3" applyNumberFormat="1" applyFont="1" applyFill="1" applyBorder="1"/>
    <xf numFmtId="169" fontId="10" fillId="7" borderId="1" xfId="3" applyNumberFormat="1" applyFont="1" applyFill="1" applyBorder="1"/>
    <xf numFmtId="3" fontId="10" fillId="7" borderId="16" xfId="3" applyNumberFormat="1" applyFont="1" applyFill="1" applyBorder="1"/>
    <xf numFmtId="3" fontId="10" fillId="7" borderId="1" xfId="3" applyNumberFormat="1" applyFont="1" applyFill="1" applyBorder="1"/>
    <xf numFmtId="0" fontId="10" fillId="7" borderId="13" xfId="3" applyFont="1" applyFill="1" applyBorder="1"/>
    <xf numFmtId="0" fontId="10" fillId="7" borderId="2" xfId="3" applyFont="1" applyFill="1" applyBorder="1"/>
    <xf numFmtId="9" fontId="10" fillId="7" borderId="16" xfId="3" applyNumberFormat="1" applyFont="1" applyFill="1" applyBorder="1"/>
    <xf numFmtId="9" fontId="10" fillId="7" borderId="1" xfId="4" applyFont="1" applyFill="1" applyBorder="1"/>
    <xf numFmtId="171" fontId="10" fillId="7" borderId="16" xfId="1" applyNumberFormat="1" applyFont="1" applyFill="1" applyBorder="1"/>
    <xf numFmtId="171" fontId="10" fillId="7" borderId="1" xfId="1" applyNumberFormat="1" applyFont="1" applyFill="1" applyBorder="1"/>
    <xf numFmtId="44" fontId="10" fillId="7" borderId="16" xfId="1" applyFont="1" applyFill="1" applyBorder="1"/>
    <xf numFmtId="44" fontId="10" fillId="7" borderId="1" xfId="1" applyFont="1" applyFill="1" applyBorder="1"/>
    <xf numFmtId="168" fontId="10" fillId="7" borderId="16" xfId="4" applyNumberFormat="1" applyFont="1" applyFill="1" applyBorder="1"/>
    <xf numFmtId="168" fontId="10" fillId="7" borderId="1" xfId="4" applyNumberFormat="1" applyFont="1" applyFill="1" applyBorder="1"/>
    <xf numFmtId="170" fontId="10" fillId="7" borderId="16" xfId="1" applyNumberFormat="1" applyFont="1" applyFill="1" applyBorder="1"/>
    <xf numFmtId="170" fontId="10" fillId="7" borderId="1" xfId="1" applyNumberFormat="1" applyFont="1" applyFill="1" applyBorder="1"/>
    <xf numFmtId="168" fontId="10" fillId="7" borderId="16" xfId="3" applyNumberFormat="1" applyFont="1" applyFill="1" applyBorder="1"/>
    <xf numFmtId="168" fontId="10" fillId="7" borderId="13" xfId="3" applyNumberFormat="1" applyFont="1" applyFill="1" applyBorder="1"/>
    <xf numFmtId="168" fontId="10" fillId="7" borderId="13" xfId="4" applyNumberFormat="1" applyFont="1" applyFill="1" applyBorder="1"/>
    <xf numFmtId="0" fontId="3" fillId="0" borderId="22" xfId="3" applyFont="1" applyBorder="1" applyAlignment="1">
      <alignment horizontal="center"/>
    </xf>
    <xf numFmtId="0" fontId="3" fillId="0" borderId="3" xfId="3" applyFont="1" applyBorder="1" applyAlignment="1">
      <alignment horizontal="center"/>
    </xf>
    <xf numFmtId="0" fontId="3" fillId="0" borderId="4" xfId="3" applyFont="1" applyBorder="1" applyAlignment="1">
      <alignment horizontal="center"/>
    </xf>
    <xf numFmtId="0" fontId="3" fillId="0" borderId="0" xfId="3" applyFont="1" applyAlignment="1">
      <alignment horizontal="center"/>
    </xf>
    <xf numFmtId="0" fontId="2" fillId="0" borderId="0" xfId="3" applyAlignment="1">
      <alignment horizontal="center"/>
    </xf>
    <xf numFmtId="165" fontId="0" fillId="0" borderId="0" xfId="4" applyNumberFormat="1" applyFont="1" applyBorder="1"/>
    <xf numFmtId="0" fontId="2" fillId="0" borderId="0" xfId="3" applyAlignment="1"/>
  </cellXfs>
  <cellStyles count="7">
    <cellStyle name="Currency" xfId="1" builtinId="4"/>
    <cellStyle name="Currency 2" xfId="5" xr:uid="{00000000-0005-0000-0000-000001000000}"/>
    <cellStyle name="Normal" xfId="0" builtinId="0"/>
    <cellStyle name="Normal 2" xfId="3" xr:uid="{00000000-0005-0000-0000-000003000000}"/>
    <cellStyle name="Normal 3" xfId="6" xr:uid="{DCAC6A37-A0B4-3044-9A62-8B2AA110DD56}"/>
    <cellStyle name="Percent" xfId="2" builtinId="5"/>
    <cellStyle name="Percent 2" xfId="4"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'Input-Output'!$F$16</c:f>
              <c:strCache>
                <c:ptCount val="1"/>
                <c:pt idx="0">
                  <c:v>Sales/Call</c:v>
                </c:pt>
              </c:strCache>
            </c:strRef>
          </c:tx>
          <c:spPr>
            <a:ln w="28575" cap="rnd">
              <a:noFill/>
              <a:round/>
            </a:ln>
            <a:effectLst/>
          </c:spPr>
          <c:marker>
            <c:symbol val="circle"/>
            <c:size val="5"/>
            <c:spPr>
              <a:solidFill>
                <a:schemeClr val="accent1"/>
              </a:solidFill>
              <a:ln w="9525">
                <a:solidFill>
                  <a:schemeClr val="accent1"/>
                </a:solidFill>
              </a:ln>
              <a:effectLst/>
            </c:spPr>
          </c:marker>
          <c:dLbls>
            <c:dLbl>
              <c:idx val="0"/>
              <c:tx>
                <c:rich>
                  <a:bodyPr/>
                  <a:lstStyle/>
                  <a:p>
                    <a:fld id="{C325CC63-CAF9-0E47-BDE4-6406592ECC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074-4147-9E19-4EDD3B5FDB17}"/>
                </c:ext>
              </c:extLst>
            </c:dLbl>
            <c:dLbl>
              <c:idx val="1"/>
              <c:tx>
                <c:rich>
                  <a:bodyPr/>
                  <a:lstStyle/>
                  <a:p>
                    <a:fld id="{B5882539-5298-1840-95EF-9E1A038D12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074-4147-9E19-4EDD3B5FDB17}"/>
                </c:ext>
              </c:extLst>
            </c:dLbl>
            <c:dLbl>
              <c:idx val="2"/>
              <c:tx>
                <c:rich>
                  <a:bodyPr/>
                  <a:lstStyle/>
                  <a:p>
                    <a:fld id="{CFA8609E-3418-CD40-BAE2-4FD7DD86EE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074-4147-9E19-4EDD3B5FDB17}"/>
                </c:ext>
              </c:extLst>
            </c:dLbl>
            <c:dLbl>
              <c:idx val="3"/>
              <c:tx>
                <c:rich>
                  <a:bodyPr/>
                  <a:lstStyle/>
                  <a:p>
                    <a:fld id="{2954A110-83B5-C643-BE4D-52251E7BF7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074-4147-9E19-4EDD3B5FDB17}"/>
                </c:ext>
              </c:extLst>
            </c:dLbl>
            <c:dLbl>
              <c:idx val="4"/>
              <c:tx>
                <c:rich>
                  <a:bodyPr/>
                  <a:lstStyle/>
                  <a:p>
                    <a:fld id="{213DA0D6-50F2-0C41-9D88-6D3B197AFC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074-4147-9E19-4EDD3B5FDB17}"/>
                </c:ext>
              </c:extLst>
            </c:dLbl>
            <c:dLbl>
              <c:idx val="5"/>
              <c:tx>
                <c:rich>
                  <a:bodyPr/>
                  <a:lstStyle/>
                  <a:p>
                    <a:fld id="{AD7BA819-C7FE-C040-8379-583C06C74B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074-4147-9E19-4EDD3B5FDB17}"/>
                </c:ext>
              </c:extLst>
            </c:dLbl>
            <c:dLbl>
              <c:idx val="6"/>
              <c:tx>
                <c:rich>
                  <a:bodyPr/>
                  <a:lstStyle/>
                  <a:p>
                    <a:fld id="{971AA76D-DF43-E94C-883C-9C6EEED1B3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074-4147-9E19-4EDD3B5FDB17}"/>
                </c:ext>
              </c:extLst>
            </c:dLbl>
            <c:dLbl>
              <c:idx val="7"/>
              <c:tx>
                <c:rich>
                  <a:bodyPr/>
                  <a:lstStyle/>
                  <a:p>
                    <a:fld id="{58B870EA-202D-B84B-A410-0E19C96BAB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074-4147-9E19-4EDD3B5FDB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'Input-Output'!$E$17:$E$24</c:f>
              <c:numCache>
                <c:formatCode>0.00</c:formatCode>
                <c:ptCount val="8"/>
                <c:pt idx="0">
                  <c:v>8.0139372822299659</c:v>
                </c:pt>
                <c:pt idx="1">
                  <c:v>3.8231780167264038</c:v>
                </c:pt>
                <c:pt idx="2">
                  <c:v>6.3775510204081636</c:v>
                </c:pt>
                <c:pt idx="3">
                  <c:v>7.1038251366120226</c:v>
                </c:pt>
                <c:pt idx="4">
                  <c:v>5.1585623678646941</c:v>
                </c:pt>
                <c:pt idx="5">
                  <c:v>9.1653027823240585</c:v>
                </c:pt>
                <c:pt idx="6">
                  <c:v>2.3689665383476459</c:v>
                </c:pt>
                <c:pt idx="7">
                  <c:v>0.82543401853232512</c:v>
                </c:pt>
              </c:numCache>
            </c:numRef>
          </c:xVal>
          <c:yVal>
            <c:numRef>
              <c:f>'Input-Output'!$F$17:$F$24</c:f>
              <c:numCache>
                <c:formatCode>_("$"* #,##0.00_);_("$"* \(#,##0.00\);_("$"* "-"??_);_(@_)</c:formatCode>
                <c:ptCount val="8"/>
                <c:pt idx="0">
                  <c:v>1.6428571428571428</c:v>
                </c:pt>
                <c:pt idx="1">
                  <c:v>1.1851851851851851</c:v>
                </c:pt>
                <c:pt idx="2">
                  <c:v>1.0204081632653061</c:v>
                </c:pt>
                <c:pt idx="3">
                  <c:v>0.85245901639344257</c:v>
                </c:pt>
                <c:pt idx="4">
                  <c:v>1.1348837209302325</c:v>
                </c:pt>
                <c:pt idx="5">
                  <c:v>1.1914893617021276</c:v>
                </c:pt>
                <c:pt idx="6">
                  <c:v>0.72727272727272729</c:v>
                </c:pt>
                <c:pt idx="7">
                  <c:v>0.37804878048780488</c:v>
                </c:pt>
              </c:numCache>
            </c:numRef>
          </c:yVal>
          <c:smooth val="0"/>
          <c:extLst>
            <c:ext xmlns:c15="http://schemas.microsoft.com/office/drawing/2012/chart" uri="{02D57815-91ED-43cb-92C2-25804820EDAC}">
              <c15:datalabelsRange>
                <c15:f>'Input-Output'!$A$17:$A$24</c15:f>
                <c15:dlblRangeCache>
                  <c:ptCount val="8"/>
                  <c:pt idx="0">
                    <c:v>Eaton</c:v>
                  </c:pt>
                  <c:pt idx="1">
                    <c:v>Burke</c:v>
                  </c:pt>
                  <c:pt idx="2">
                    <c:v>Durfee</c:v>
                  </c:pt>
                  <c:pt idx="3">
                    <c:v>Harlow</c:v>
                  </c:pt>
                  <c:pt idx="4">
                    <c:v>Furness</c:v>
                  </c:pt>
                  <c:pt idx="5">
                    <c:v>Gibson</c:v>
                  </c:pt>
                  <c:pt idx="6">
                    <c:v>Caplan</c:v>
                  </c:pt>
                  <c:pt idx="7">
                    <c:v>Alderson</c:v>
                  </c:pt>
                </c15:dlblRangeCache>
              </c15:datalabelsRange>
            </c:ext>
            <c:ext xmlns:c16="http://schemas.microsoft.com/office/drawing/2014/chart" uri="{C3380CC4-5D6E-409C-BE32-E72D297353CC}">
              <c16:uniqueId val="{00000008-9074-4147-9E19-4EDD3B5FDB17}"/>
            </c:ext>
          </c:extLst>
        </c:ser>
        <c:dLbls>
          <c:showLegendKey val="0"/>
          <c:showVal val="0"/>
          <c:showCatName val="0"/>
          <c:showSerName val="0"/>
          <c:showPercent val="0"/>
          <c:showBubbleSize val="0"/>
        </c:dLbls>
        <c:axId val="432522303"/>
        <c:axId val="432523983"/>
      </c:scatterChart>
      <c:valAx>
        <c:axId val="4325223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523983"/>
        <c:crosses val="autoZero"/>
        <c:crossBetween val="midCat"/>
      </c:valAx>
      <c:valAx>
        <c:axId val="4325239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5223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64891</xdr:colOff>
      <xdr:row>35</xdr:row>
      <xdr:rowOff>139053</xdr:rowOff>
    </xdr:from>
    <xdr:to>
      <xdr:col>10</xdr:col>
      <xdr:colOff>780367</xdr:colOff>
      <xdr:row>47</xdr:row>
      <xdr:rowOff>0</xdr:rowOff>
    </xdr:to>
    <xdr:grpSp>
      <xdr:nvGrpSpPr>
        <xdr:cNvPr id="2" name="Group 1">
          <a:extLst>
            <a:ext uri="{FF2B5EF4-FFF2-40B4-BE49-F238E27FC236}">
              <a16:creationId xmlns:a16="http://schemas.microsoft.com/office/drawing/2014/main" id="{5404639F-C3B9-D341-A91E-862BBB86FFBC}"/>
            </a:ext>
          </a:extLst>
        </xdr:cNvPr>
        <xdr:cNvGrpSpPr/>
      </xdr:nvGrpSpPr>
      <xdr:grpSpPr>
        <a:xfrm>
          <a:off x="1066059" y="6025549"/>
          <a:ext cx="6907885" cy="1863283"/>
          <a:chOff x="1419411" y="5344619"/>
          <a:chExt cx="6907885" cy="1498956"/>
        </a:xfrm>
      </xdr:grpSpPr>
      <xdr:sp macro="" textlink="">
        <xdr:nvSpPr>
          <xdr:cNvPr id="3" name="TextBox 5">
            <a:extLst>
              <a:ext uri="{FF2B5EF4-FFF2-40B4-BE49-F238E27FC236}">
                <a16:creationId xmlns:a16="http://schemas.microsoft.com/office/drawing/2014/main" id="{83143156-416B-EF4B-BAEA-D9EA5959AF4B}"/>
              </a:ext>
            </a:extLst>
          </xdr:cNvPr>
          <xdr:cNvSpPr txBox="1"/>
        </xdr:nvSpPr>
        <xdr:spPr>
          <a:xfrm>
            <a:off x="1419411" y="5344619"/>
            <a:ext cx="6907885" cy="369332"/>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b="1"/>
              <a:t>Nutshell: 7.8% of workforce on 5.7% of potential getting 4.8% of sales.</a:t>
            </a:r>
          </a:p>
        </xdr:txBody>
      </xdr:sp>
      <xdr:sp macro="" textlink="">
        <xdr:nvSpPr>
          <xdr:cNvPr id="4" name="TextBox 6">
            <a:extLst>
              <a:ext uri="{FF2B5EF4-FFF2-40B4-BE49-F238E27FC236}">
                <a16:creationId xmlns:a16="http://schemas.microsoft.com/office/drawing/2014/main" id="{44EEB4B0-7060-CA47-BAC4-1392BD73894F}"/>
              </a:ext>
            </a:extLst>
          </xdr:cNvPr>
          <xdr:cNvSpPr txBox="1"/>
        </xdr:nvSpPr>
        <xdr:spPr>
          <a:xfrm>
            <a:off x="1419411" y="5699785"/>
            <a:ext cx="4364108" cy="369332"/>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b="1"/>
              <a:t>Nation: Avg. Sales/Salesperson = $2.04 MM</a:t>
            </a:r>
          </a:p>
        </xdr:txBody>
      </xdr:sp>
      <xdr:sp macro="" textlink="">
        <xdr:nvSpPr>
          <xdr:cNvPr id="5" name="TextBox 7">
            <a:extLst>
              <a:ext uri="{FF2B5EF4-FFF2-40B4-BE49-F238E27FC236}">
                <a16:creationId xmlns:a16="http://schemas.microsoft.com/office/drawing/2014/main" id="{CF48E0F6-84D0-B34F-8832-689769D6ADC4}"/>
              </a:ext>
            </a:extLst>
          </xdr:cNvPr>
          <xdr:cNvSpPr txBox="1"/>
        </xdr:nvSpPr>
        <xdr:spPr>
          <a:xfrm>
            <a:off x="1419411" y="6095375"/>
            <a:ext cx="4404684" cy="369332"/>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b="1"/>
              <a:t>District: Avg. Sales/Salesperson = $1.26 MM</a:t>
            </a:r>
          </a:p>
        </xdr:txBody>
      </xdr:sp>
      <xdr:sp macro="" textlink="">
        <xdr:nvSpPr>
          <xdr:cNvPr id="6" name="TextBox 8">
            <a:extLst>
              <a:ext uri="{FF2B5EF4-FFF2-40B4-BE49-F238E27FC236}">
                <a16:creationId xmlns:a16="http://schemas.microsoft.com/office/drawing/2014/main" id="{3B4876CE-18C2-4445-8E2F-10285A347053}"/>
              </a:ext>
            </a:extLst>
          </xdr:cNvPr>
          <xdr:cNvSpPr txBox="1"/>
        </xdr:nvSpPr>
        <xdr:spPr>
          <a:xfrm>
            <a:off x="1419411" y="6474243"/>
            <a:ext cx="1964713" cy="369332"/>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b="1">
                <a:solidFill>
                  <a:srgbClr val="FF0000"/>
                </a:solidFill>
              </a:rPr>
              <a:t>$1.26/$2.04 = 62%</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755650</xdr:colOff>
      <xdr:row>32</xdr:row>
      <xdr:rowOff>38100</xdr:rowOff>
    </xdr:from>
    <xdr:to>
      <xdr:col>13</xdr:col>
      <xdr:colOff>19050</xdr:colOff>
      <xdr:row>33</xdr:row>
      <xdr:rowOff>127000</xdr:rowOff>
    </xdr:to>
    <xdr:sp macro="" textlink="">
      <xdr:nvSpPr>
        <xdr:cNvPr id="2" name="OpenSolver7">
          <a:extLst>
            <a:ext uri="{FF2B5EF4-FFF2-40B4-BE49-F238E27FC236}">
              <a16:creationId xmlns:a16="http://schemas.microsoft.com/office/drawing/2014/main" id="{806B8BA8-AE22-1845-90F7-CC4F5B4C0B75}"/>
            </a:ext>
          </a:extLst>
        </xdr:cNvPr>
        <xdr:cNvSpPr/>
      </xdr:nvSpPr>
      <xdr:spPr>
        <a:xfrm>
          <a:off x="9836150" y="15392400"/>
          <a:ext cx="91440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755650</xdr:colOff>
      <xdr:row>36</xdr:row>
      <xdr:rowOff>120650</xdr:rowOff>
    </xdr:from>
    <xdr:to>
      <xdr:col>13</xdr:col>
      <xdr:colOff>19050</xdr:colOff>
      <xdr:row>38</xdr:row>
      <xdr:rowOff>44450</xdr:rowOff>
    </xdr:to>
    <xdr:sp macro="" textlink="">
      <xdr:nvSpPr>
        <xdr:cNvPr id="3" name="OpenSolver15">
          <a:extLst>
            <a:ext uri="{FF2B5EF4-FFF2-40B4-BE49-F238E27FC236}">
              <a16:creationId xmlns:a16="http://schemas.microsoft.com/office/drawing/2014/main" id="{349D4C10-3B4B-8841-8D93-0E022B62A9D9}"/>
            </a:ext>
          </a:extLst>
        </xdr:cNvPr>
        <xdr:cNvSpPr/>
      </xdr:nvSpPr>
      <xdr:spPr>
        <a:xfrm>
          <a:off x="9836150" y="16135350"/>
          <a:ext cx="91440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267606</xdr:colOff>
      <xdr:row>12</xdr:row>
      <xdr:rowOff>117929</xdr:rowOff>
    </xdr:from>
    <xdr:to>
      <xdr:col>10</xdr:col>
      <xdr:colOff>335642</xdr:colOff>
      <xdr:row>24</xdr:row>
      <xdr:rowOff>127000</xdr:rowOff>
    </xdr:to>
    <xdr:grpSp>
      <xdr:nvGrpSpPr>
        <xdr:cNvPr id="41" name="Group 40">
          <a:extLst>
            <a:ext uri="{FF2B5EF4-FFF2-40B4-BE49-F238E27FC236}">
              <a16:creationId xmlns:a16="http://schemas.microsoft.com/office/drawing/2014/main" id="{5FA7C300-2DD4-8348-AAD7-C761EBBA6BFD}"/>
            </a:ext>
          </a:extLst>
        </xdr:cNvPr>
        <xdr:cNvGrpSpPr/>
      </xdr:nvGrpSpPr>
      <xdr:grpSpPr>
        <a:xfrm>
          <a:off x="4757963" y="2077358"/>
          <a:ext cx="3106965" cy="2041071"/>
          <a:chOff x="4757963" y="2077358"/>
          <a:chExt cx="3106965" cy="2041071"/>
        </a:xfrm>
      </xdr:grpSpPr>
      <xdr:graphicFrame macro="">
        <xdr:nvGraphicFramePr>
          <xdr:cNvPr id="4" name="Chart 3">
            <a:extLst>
              <a:ext uri="{FF2B5EF4-FFF2-40B4-BE49-F238E27FC236}">
                <a16:creationId xmlns:a16="http://schemas.microsoft.com/office/drawing/2014/main" id="{863F731F-C95C-5A4C-89C7-D9BAD66BCF04}"/>
              </a:ext>
            </a:extLst>
          </xdr:cNvPr>
          <xdr:cNvGraphicFramePr>
            <a:graphicFrameLocks/>
          </xdr:cNvGraphicFramePr>
        </xdr:nvGraphicFramePr>
        <xdr:xfrm>
          <a:off x="4757963" y="2077358"/>
          <a:ext cx="3106965" cy="2041071"/>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10" name="Straight Connector 9">
            <a:extLst>
              <a:ext uri="{FF2B5EF4-FFF2-40B4-BE49-F238E27FC236}">
                <a16:creationId xmlns:a16="http://schemas.microsoft.com/office/drawing/2014/main" id="{5212A8F4-3AF0-1F43-B845-7B2F2597511C}"/>
              </a:ext>
            </a:extLst>
          </xdr:cNvPr>
          <xdr:cNvCxnSpPr/>
        </xdr:nvCxnSpPr>
        <xdr:spPr>
          <a:xfrm>
            <a:off x="5252357" y="2766787"/>
            <a:ext cx="1877786" cy="9071"/>
          </a:xfrm>
          <a:prstGeom prst="line">
            <a:avLst/>
          </a:prstGeom>
        </xdr:spPr>
        <xdr:style>
          <a:lnRef idx="1">
            <a:schemeClr val="accent2"/>
          </a:lnRef>
          <a:fillRef idx="0">
            <a:schemeClr val="accent2"/>
          </a:fillRef>
          <a:effectRef idx="0">
            <a:schemeClr val="accent2"/>
          </a:effectRef>
          <a:fontRef idx="minor">
            <a:schemeClr val="tx1"/>
          </a:fontRef>
        </xdr:style>
      </xdr:cxnSp>
      <xdr:cxnSp macro="">
        <xdr:nvCxnSpPr>
          <xdr:cNvPr id="12" name="Straight Connector 11">
            <a:extLst>
              <a:ext uri="{FF2B5EF4-FFF2-40B4-BE49-F238E27FC236}">
                <a16:creationId xmlns:a16="http://schemas.microsoft.com/office/drawing/2014/main" id="{A7196FFA-22EB-7542-8228-36C4DC28AEA3}"/>
              </a:ext>
            </a:extLst>
          </xdr:cNvPr>
          <xdr:cNvCxnSpPr/>
        </xdr:nvCxnSpPr>
        <xdr:spPr>
          <a:xfrm>
            <a:off x="7148286" y="2794000"/>
            <a:ext cx="244928" cy="263071"/>
          </a:xfrm>
          <a:prstGeom prst="line">
            <a:avLst/>
          </a:prstGeom>
        </xdr:spPr>
        <xdr:style>
          <a:lnRef idx="1">
            <a:schemeClr val="accent2"/>
          </a:lnRef>
          <a:fillRef idx="0">
            <a:schemeClr val="accent2"/>
          </a:fillRef>
          <a:effectRef idx="0">
            <a:schemeClr val="accent2"/>
          </a:effectRef>
          <a:fontRef idx="minor">
            <a:schemeClr val="tx1"/>
          </a:fontRef>
        </xdr:style>
      </xdr:cxnSp>
      <xdr:cxnSp macro="">
        <xdr:nvCxnSpPr>
          <xdr:cNvPr id="15" name="Straight Connector 14">
            <a:extLst>
              <a:ext uri="{FF2B5EF4-FFF2-40B4-BE49-F238E27FC236}">
                <a16:creationId xmlns:a16="http://schemas.microsoft.com/office/drawing/2014/main" id="{0A2E1EF3-67BE-5249-8369-05BA37828B13}"/>
              </a:ext>
            </a:extLst>
          </xdr:cNvPr>
          <xdr:cNvCxnSpPr/>
        </xdr:nvCxnSpPr>
        <xdr:spPr>
          <a:xfrm flipH="1">
            <a:off x="7393214" y="3084287"/>
            <a:ext cx="1" cy="716642"/>
          </a:xfrm>
          <a:prstGeom prst="line">
            <a:avLst/>
          </a:prstGeom>
        </xdr:spPr>
        <xdr:style>
          <a:lnRef idx="1">
            <a:schemeClr val="accent2"/>
          </a:lnRef>
          <a:fillRef idx="0">
            <a:schemeClr val="accent2"/>
          </a:fillRef>
          <a:effectRef idx="0">
            <a:schemeClr val="accent2"/>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7C4BF-5680-6B44-AC4B-4C1CB593CDCD}">
  <dimension ref="A1:A2"/>
  <sheetViews>
    <sheetView workbookViewId="0">
      <selection activeCell="A2" sqref="A2"/>
    </sheetView>
  </sheetViews>
  <sheetFormatPr baseColWidth="10" defaultRowHeight="16" x14ac:dyDescent="0.2"/>
  <cols>
    <col min="1" max="1" width="130.5" style="69" customWidth="1"/>
    <col min="2" max="16384" width="10.83203125" style="69"/>
  </cols>
  <sheetData>
    <row r="1" spans="1:1" ht="127" customHeight="1" x14ac:dyDescent="0.2">
      <c r="A1" s="70" t="s">
        <v>117</v>
      </c>
    </row>
    <row r="2" spans="1:1" ht="150" x14ac:dyDescent="0.2">
      <c r="A2" s="72" t="s">
        <v>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12D02-D987-6E43-9D09-1DC79A686C5A}">
  <dimension ref="A1:J29"/>
  <sheetViews>
    <sheetView zoomScale="140" zoomScaleNormal="200" zoomScalePageLayoutView="200" workbookViewId="0">
      <selection activeCell="A2" sqref="A2"/>
    </sheetView>
  </sheetViews>
  <sheetFormatPr baseColWidth="10" defaultColWidth="8.83203125" defaultRowHeight="13" x14ac:dyDescent="0.15"/>
  <cols>
    <col min="1" max="1" width="19.33203125" style="3" customWidth="1"/>
    <col min="2" max="16384" width="8.83203125" style="3"/>
  </cols>
  <sheetData>
    <row r="1" spans="1:10" x14ac:dyDescent="0.15">
      <c r="B1" s="73" t="s">
        <v>0</v>
      </c>
      <c r="C1" s="73" t="s">
        <v>1</v>
      </c>
      <c r="D1" s="73" t="s">
        <v>2</v>
      </c>
      <c r="E1" s="73" t="s">
        <v>3</v>
      </c>
      <c r="F1" s="73" t="s">
        <v>4</v>
      </c>
      <c r="G1" s="73" t="s">
        <v>5</v>
      </c>
      <c r="H1" s="73" t="s">
        <v>6</v>
      </c>
      <c r="I1" s="73" t="s">
        <v>25</v>
      </c>
    </row>
    <row r="2" spans="1:10" x14ac:dyDescent="0.15">
      <c r="A2" s="102" t="s">
        <v>108</v>
      </c>
    </row>
    <row r="3" spans="1:10" x14ac:dyDescent="0.15">
      <c r="A3" s="101" t="s">
        <v>10</v>
      </c>
      <c r="B3" s="3">
        <v>504</v>
      </c>
      <c r="C3" s="3">
        <v>525</v>
      </c>
      <c r="D3" s="3">
        <v>185</v>
      </c>
      <c r="E3" s="3">
        <v>139</v>
      </c>
      <c r="F3" s="3">
        <v>358</v>
      </c>
      <c r="G3" s="3">
        <v>427</v>
      </c>
      <c r="H3" s="3">
        <v>883</v>
      </c>
      <c r="I3" s="3">
        <v>933</v>
      </c>
    </row>
    <row r="4" spans="1:10" x14ac:dyDescent="0.15">
      <c r="A4" s="101" t="s">
        <v>11</v>
      </c>
      <c r="B4" s="89">
        <v>0.8891</v>
      </c>
      <c r="C4" s="89">
        <v>0.873</v>
      </c>
      <c r="D4" s="89">
        <v>0.66969999999999996</v>
      </c>
      <c r="E4" s="89">
        <v>0.29559999999999997</v>
      </c>
      <c r="F4" s="89">
        <v>0.8498</v>
      </c>
      <c r="G4" s="89">
        <v>0.499</v>
      </c>
      <c r="H4" s="89">
        <v>0.76939999999999997</v>
      </c>
      <c r="I4" s="89">
        <v>0.85129999999999995</v>
      </c>
    </row>
    <row r="5" spans="1:10" x14ac:dyDescent="0.15">
      <c r="A5" s="101" t="s">
        <v>114</v>
      </c>
      <c r="B5" s="89">
        <v>0.90239999999999998</v>
      </c>
      <c r="C5" s="89">
        <v>0.88519999999999999</v>
      </c>
      <c r="D5" s="89">
        <v>0.76780000000000004</v>
      </c>
      <c r="E5" s="89">
        <v>0.27200000000000002</v>
      </c>
      <c r="F5" s="89">
        <v>0.77880000000000005</v>
      </c>
      <c r="G5" s="89">
        <v>0.51280000000000003</v>
      </c>
      <c r="H5" s="89">
        <v>0.73719999999999997</v>
      </c>
      <c r="I5" s="89">
        <v>0.72760000000000002</v>
      </c>
    </row>
    <row r="6" spans="1:10" x14ac:dyDescent="0.15">
      <c r="A6" s="101" t="s">
        <v>12</v>
      </c>
      <c r="B6" s="16">
        <v>2041</v>
      </c>
      <c r="C6" s="16">
        <v>2121</v>
      </c>
      <c r="D6" s="16">
        <v>1138</v>
      </c>
      <c r="E6" s="16">
        <v>613</v>
      </c>
      <c r="F6" s="16">
        <v>1785</v>
      </c>
      <c r="G6" s="16">
        <v>1048</v>
      </c>
      <c r="H6" s="16">
        <v>1991</v>
      </c>
      <c r="I6" s="16">
        <v>2208</v>
      </c>
    </row>
    <row r="7" spans="1:10" x14ac:dyDescent="0.15">
      <c r="A7" s="101" t="s">
        <v>13</v>
      </c>
      <c r="B7" s="16">
        <v>1806</v>
      </c>
      <c r="C7" s="16">
        <v>9045</v>
      </c>
      <c r="D7" s="16">
        <v>1301</v>
      </c>
      <c r="E7" s="16">
        <v>61</v>
      </c>
      <c r="F7" s="16">
        <v>4239</v>
      </c>
      <c r="G7" s="16">
        <v>6524</v>
      </c>
      <c r="H7" s="16">
        <v>24070</v>
      </c>
      <c r="I7" s="16">
        <v>28738</v>
      </c>
    </row>
    <row r="8" spans="1:10" x14ac:dyDescent="0.15">
      <c r="A8" s="101"/>
      <c r="B8" s="16"/>
      <c r="C8" s="16"/>
      <c r="D8" s="16"/>
      <c r="E8" s="16"/>
      <c r="F8" s="16"/>
      <c r="G8" s="16"/>
      <c r="H8" s="16"/>
      <c r="I8" s="16"/>
    </row>
    <row r="9" spans="1:10" x14ac:dyDescent="0.15">
      <c r="A9" s="102" t="s">
        <v>113</v>
      </c>
    </row>
    <row r="10" spans="1:10" x14ac:dyDescent="0.15">
      <c r="A10" s="101" t="s">
        <v>14</v>
      </c>
      <c r="B10" s="16">
        <v>1120</v>
      </c>
      <c r="C10" s="16">
        <v>1350</v>
      </c>
      <c r="D10" s="16">
        <v>1470</v>
      </c>
      <c r="E10" s="16">
        <v>1525</v>
      </c>
      <c r="F10" s="16">
        <v>1075</v>
      </c>
      <c r="G10" s="16">
        <v>940</v>
      </c>
      <c r="H10" s="16">
        <v>1210</v>
      </c>
      <c r="I10" s="16">
        <v>1640</v>
      </c>
    </row>
    <row r="12" spans="1:10" x14ac:dyDescent="0.15">
      <c r="A12" s="102" t="s">
        <v>15</v>
      </c>
      <c r="J12" s="73" t="s">
        <v>112</v>
      </c>
    </row>
    <row r="13" spans="1:10" x14ac:dyDescent="0.15">
      <c r="A13" s="101" t="s">
        <v>16</v>
      </c>
      <c r="B13" s="8">
        <v>56</v>
      </c>
      <c r="C13" s="8">
        <v>16</v>
      </c>
      <c r="D13" s="8">
        <v>106</v>
      </c>
      <c r="E13" s="8">
        <v>104</v>
      </c>
      <c r="F13" s="8">
        <v>86</v>
      </c>
      <c r="G13" s="8">
        <v>34</v>
      </c>
      <c r="H13" s="8">
        <v>0</v>
      </c>
      <c r="I13" s="8">
        <v>18</v>
      </c>
      <c r="J13" s="7">
        <v>0.4</v>
      </c>
    </row>
    <row r="14" spans="1:10" x14ac:dyDescent="0.15">
      <c r="A14" s="101" t="s">
        <v>17</v>
      </c>
      <c r="B14" s="8">
        <v>294</v>
      </c>
      <c r="C14" s="8">
        <v>64</v>
      </c>
      <c r="D14" s="8">
        <v>300</v>
      </c>
      <c r="E14" s="8">
        <v>234</v>
      </c>
      <c r="F14" s="8">
        <v>208</v>
      </c>
      <c r="G14" s="8">
        <v>134</v>
      </c>
      <c r="H14" s="8">
        <v>88</v>
      </c>
      <c r="I14" s="8">
        <v>86</v>
      </c>
      <c r="J14" s="7">
        <v>0.36</v>
      </c>
    </row>
    <row r="15" spans="1:10" x14ac:dyDescent="0.15">
      <c r="A15" s="101" t="s">
        <v>18</v>
      </c>
      <c r="B15" s="8">
        <v>534</v>
      </c>
      <c r="C15" s="8">
        <v>720</v>
      </c>
      <c r="D15" s="8">
        <v>496</v>
      </c>
      <c r="E15" s="8">
        <v>364</v>
      </c>
      <c r="F15" s="8">
        <v>414</v>
      </c>
      <c r="G15" s="8">
        <v>380</v>
      </c>
      <c r="H15" s="8">
        <v>282</v>
      </c>
      <c r="I15" s="8">
        <v>218</v>
      </c>
      <c r="J15" s="7">
        <v>0.33</v>
      </c>
    </row>
    <row r="16" spans="1:10" x14ac:dyDescent="0.15">
      <c r="A16" s="101" t="s">
        <v>19</v>
      </c>
      <c r="B16" s="8">
        <v>716</v>
      </c>
      <c r="C16" s="8">
        <v>720</v>
      </c>
      <c r="D16" s="8">
        <v>300</v>
      </c>
      <c r="E16" s="8">
        <v>414</v>
      </c>
      <c r="F16" s="8">
        <v>378</v>
      </c>
      <c r="G16" s="8">
        <v>414</v>
      </c>
      <c r="H16" s="8">
        <v>352</v>
      </c>
      <c r="I16" s="8">
        <v>254</v>
      </c>
      <c r="J16" s="7">
        <v>0.3</v>
      </c>
    </row>
    <row r="17" spans="1:10" x14ac:dyDescent="0.15">
      <c r="A17" s="101" t="s">
        <v>20</v>
      </c>
      <c r="B17" s="8">
        <v>56</v>
      </c>
      <c r="C17" s="8">
        <v>0</v>
      </c>
      <c r="D17" s="8">
        <v>148</v>
      </c>
      <c r="E17" s="8">
        <v>66</v>
      </c>
      <c r="F17" s="8">
        <v>36</v>
      </c>
      <c r="G17" s="8">
        <v>68</v>
      </c>
      <c r="H17" s="8">
        <v>70</v>
      </c>
      <c r="I17" s="8">
        <v>12</v>
      </c>
      <c r="J17" s="7">
        <v>0.5</v>
      </c>
    </row>
    <row r="18" spans="1:10" x14ac:dyDescent="0.15">
      <c r="A18" s="101" t="s">
        <v>21</v>
      </c>
      <c r="B18" s="8">
        <v>184</v>
      </c>
      <c r="C18" s="8">
        <v>80</v>
      </c>
      <c r="D18" s="8">
        <v>150</v>
      </c>
      <c r="E18" s="8">
        <v>118</v>
      </c>
      <c r="F18" s="8">
        <v>98</v>
      </c>
      <c r="G18" s="8">
        <v>90</v>
      </c>
      <c r="H18" s="8">
        <v>88</v>
      </c>
      <c r="I18" s="8">
        <v>32</v>
      </c>
      <c r="J18" s="7">
        <v>0.4</v>
      </c>
    </row>
    <row r="19" spans="1:10" x14ac:dyDescent="0.15">
      <c r="A19" s="101" t="s">
        <v>22</v>
      </c>
      <c r="B19" s="8">
        <f t="shared" ref="B19:I19" si="0">SUM(B13:B18)</f>
        <v>1840</v>
      </c>
      <c r="C19" s="8">
        <f t="shared" si="0"/>
        <v>1600</v>
      </c>
      <c r="D19" s="8">
        <f t="shared" si="0"/>
        <v>1500</v>
      </c>
      <c r="E19" s="8">
        <f t="shared" si="0"/>
        <v>1300</v>
      </c>
      <c r="F19" s="8">
        <f t="shared" si="0"/>
        <v>1220</v>
      </c>
      <c r="G19" s="8">
        <f t="shared" si="0"/>
        <v>1120</v>
      </c>
      <c r="H19" s="8">
        <f t="shared" si="0"/>
        <v>880</v>
      </c>
      <c r="I19" s="8">
        <f t="shared" si="0"/>
        <v>620</v>
      </c>
    </row>
    <row r="20" spans="1:10" x14ac:dyDescent="0.15">
      <c r="A20" s="102" t="s">
        <v>23</v>
      </c>
      <c r="B20" s="8">
        <v>828</v>
      </c>
      <c r="C20" s="8">
        <v>752</v>
      </c>
      <c r="D20" s="8">
        <v>780</v>
      </c>
      <c r="E20" s="8">
        <v>638</v>
      </c>
      <c r="F20" s="8">
        <v>488</v>
      </c>
      <c r="G20" s="8">
        <v>504</v>
      </c>
      <c r="H20" s="8">
        <v>476</v>
      </c>
      <c r="I20" s="8">
        <v>360</v>
      </c>
    </row>
    <row r="21" spans="1:10" x14ac:dyDescent="0.15">
      <c r="A21" s="101" t="s">
        <v>24</v>
      </c>
      <c r="B21" s="3">
        <v>205</v>
      </c>
      <c r="C21" s="3">
        <v>310</v>
      </c>
      <c r="D21" s="3">
        <v>160</v>
      </c>
      <c r="E21" s="3">
        <v>120</v>
      </c>
      <c r="F21" s="3">
        <v>220</v>
      </c>
      <c r="G21" s="3">
        <v>130</v>
      </c>
      <c r="H21" s="3">
        <v>307</v>
      </c>
      <c r="I21" s="3">
        <v>458</v>
      </c>
    </row>
    <row r="23" spans="1:10" x14ac:dyDescent="0.15">
      <c r="A23" s="73" t="s">
        <v>111</v>
      </c>
    </row>
    <row r="24" spans="1:10" x14ac:dyDescent="0.15">
      <c r="A24" s="101" t="s">
        <v>7</v>
      </c>
      <c r="B24" s="44">
        <v>40</v>
      </c>
      <c r="C24" s="44">
        <v>32</v>
      </c>
      <c r="D24" s="44">
        <v>22</v>
      </c>
      <c r="E24" s="44">
        <v>28</v>
      </c>
      <c r="F24" s="44">
        <v>28</v>
      </c>
      <c r="G24" s="44">
        <v>30</v>
      </c>
      <c r="H24" s="44">
        <v>19</v>
      </c>
      <c r="I24" s="44">
        <v>14</v>
      </c>
    </row>
    <row r="25" spans="1:10" x14ac:dyDescent="0.15">
      <c r="A25" s="101" t="s">
        <v>8</v>
      </c>
      <c r="B25" s="44">
        <v>36.799999999999997</v>
      </c>
      <c r="C25" s="44">
        <v>32</v>
      </c>
      <c r="D25" s="44">
        <v>30</v>
      </c>
      <c r="E25" s="44">
        <v>26</v>
      </c>
      <c r="F25" s="44">
        <v>24.4</v>
      </c>
      <c r="G25" s="44">
        <v>22.4</v>
      </c>
      <c r="H25" s="44">
        <v>17.600000000000001</v>
      </c>
      <c r="I25" s="44">
        <v>12.4</v>
      </c>
    </row>
    <row r="26" spans="1:10" x14ac:dyDescent="0.15">
      <c r="A26" s="101" t="s">
        <v>9</v>
      </c>
      <c r="B26" s="44">
        <v>8.1999999999999993</v>
      </c>
      <c r="C26" s="44">
        <v>13.6</v>
      </c>
      <c r="D26" s="44">
        <v>8.6</v>
      </c>
      <c r="E26" s="44">
        <v>7.8</v>
      </c>
      <c r="F26" s="44">
        <v>14.8</v>
      </c>
      <c r="G26" s="44">
        <v>7</v>
      </c>
      <c r="H26" s="44">
        <v>17.8</v>
      </c>
      <c r="I26" s="44">
        <v>14.6</v>
      </c>
    </row>
    <row r="28" spans="1:10" x14ac:dyDescent="0.15">
      <c r="A28" s="100" t="s">
        <v>110</v>
      </c>
      <c r="B28" s="99">
        <f t="shared" ref="B28:I28" si="1">SUMPRODUCT($J$13:$J$18,B13:B18)</f>
        <v>620.86</v>
      </c>
      <c r="C28" s="99">
        <f t="shared" si="1"/>
        <v>515.04</v>
      </c>
      <c r="D28" s="99">
        <f t="shared" si="1"/>
        <v>538.08000000000004</v>
      </c>
      <c r="E28" s="99">
        <f t="shared" si="1"/>
        <v>450.35999999999996</v>
      </c>
      <c r="F28" s="99">
        <f t="shared" si="1"/>
        <v>416.5</v>
      </c>
      <c r="G28" s="99">
        <f t="shared" si="1"/>
        <v>381.44</v>
      </c>
      <c r="H28" s="99">
        <f t="shared" si="1"/>
        <v>300.54000000000002</v>
      </c>
      <c r="I28" s="99">
        <f t="shared" si="1"/>
        <v>205.10000000000002</v>
      </c>
    </row>
    <row r="29" spans="1:10" x14ac:dyDescent="0.15">
      <c r="A29" s="100" t="s">
        <v>109</v>
      </c>
      <c r="B29" s="99">
        <f t="shared" ref="B29:I29" si="2">B28-SUM(B24:B26)</f>
        <v>535.86</v>
      </c>
      <c r="C29" s="99">
        <f t="shared" si="2"/>
        <v>437.43999999999994</v>
      </c>
      <c r="D29" s="99">
        <f t="shared" si="2"/>
        <v>477.48</v>
      </c>
      <c r="E29" s="99">
        <f t="shared" si="2"/>
        <v>388.55999999999995</v>
      </c>
      <c r="F29" s="99">
        <f t="shared" si="2"/>
        <v>349.3</v>
      </c>
      <c r="G29" s="99">
        <f t="shared" si="2"/>
        <v>322.04000000000002</v>
      </c>
      <c r="H29" s="99">
        <f t="shared" si="2"/>
        <v>246.14000000000001</v>
      </c>
      <c r="I29" s="99">
        <f t="shared" si="2"/>
        <v>164.10000000000002</v>
      </c>
    </row>
  </sheetData>
  <pageMargins left="0.75" right="0.75" top="1" bottom="1" header="0.5" footer="0.5"/>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58D4C-714F-094D-9A8A-2B3FF0677845}">
  <dimension ref="A1:S11"/>
  <sheetViews>
    <sheetView zoomScale="125" workbookViewId="0"/>
  </sheetViews>
  <sheetFormatPr baseColWidth="10" defaultRowHeight="13" x14ac:dyDescent="0.15"/>
  <cols>
    <col min="1" max="1" width="10.83203125" style="3"/>
    <col min="2" max="2" width="7.1640625" style="3" bestFit="1" customWidth="1"/>
    <col min="3" max="3" width="6.6640625" style="3" bestFit="1" customWidth="1"/>
    <col min="4" max="4" width="9.83203125" style="3" bestFit="1" customWidth="1"/>
    <col min="5" max="5" width="8.33203125" style="3" bestFit="1" customWidth="1"/>
    <col min="6" max="6" width="10.6640625" style="3" bestFit="1" customWidth="1"/>
    <col min="7" max="7" width="10.83203125" style="3"/>
    <col min="8" max="8" width="6.1640625" style="3" bestFit="1" customWidth="1"/>
    <col min="9" max="9" width="5.6640625" style="3" bestFit="1" customWidth="1"/>
    <col min="10" max="10" width="7.6640625" style="3" bestFit="1" customWidth="1"/>
    <col min="11" max="11" width="5.33203125" style="3" bestFit="1" customWidth="1"/>
    <col min="12" max="12" width="6.33203125" style="3" bestFit="1" customWidth="1"/>
    <col min="13" max="13" width="5.83203125" style="3" bestFit="1" customWidth="1"/>
    <col min="14" max="14" width="8.6640625" style="3" bestFit="1" customWidth="1"/>
    <col min="15" max="15" width="9" style="3" bestFit="1" customWidth="1"/>
    <col min="16" max="16" width="10.5" style="3" bestFit="1" customWidth="1"/>
    <col min="17" max="17" width="6" style="3" bestFit="1" customWidth="1"/>
    <col min="18" max="18" width="10.33203125" style="3" bestFit="1" customWidth="1"/>
    <col min="19" max="19" width="8.83203125" style="3" bestFit="1" customWidth="1"/>
    <col min="20" max="16384" width="10.83203125" style="3"/>
  </cols>
  <sheetData>
    <row r="1" spans="1:19" ht="14" thickBot="1" x14ac:dyDescent="0.2">
      <c r="B1" s="127" t="s">
        <v>108</v>
      </c>
      <c r="C1" s="128"/>
      <c r="D1" s="128"/>
      <c r="E1" s="128"/>
      <c r="F1" s="129"/>
      <c r="G1" s="98" t="s">
        <v>58</v>
      </c>
      <c r="H1" s="130" t="s">
        <v>15</v>
      </c>
      <c r="I1" s="130"/>
      <c r="J1" s="130"/>
      <c r="K1" s="130"/>
      <c r="L1" s="130"/>
      <c r="M1" s="130"/>
      <c r="N1" s="130"/>
      <c r="O1" s="130"/>
      <c r="P1" s="130"/>
      <c r="Q1" s="127" t="s">
        <v>107</v>
      </c>
      <c r="R1" s="128"/>
      <c r="S1" s="129"/>
    </row>
    <row r="2" spans="1:19" x14ac:dyDescent="0.15">
      <c r="B2" s="96" t="s">
        <v>105</v>
      </c>
      <c r="C2" s="95" t="s">
        <v>44</v>
      </c>
      <c r="D2" s="95" t="s">
        <v>104</v>
      </c>
      <c r="E2" s="95" t="s">
        <v>103</v>
      </c>
      <c r="F2" s="93" t="s">
        <v>102</v>
      </c>
      <c r="G2" s="97" t="s">
        <v>14</v>
      </c>
      <c r="H2" s="96" t="s">
        <v>101</v>
      </c>
      <c r="I2" s="95" t="s">
        <v>100</v>
      </c>
      <c r="J2" s="95" t="s">
        <v>99</v>
      </c>
      <c r="K2" s="95" t="s">
        <v>98</v>
      </c>
      <c r="L2" s="95" t="s">
        <v>97</v>
      </c>
      <c r="M2" s="95" t="s">
        <v>96</v>
      </c>
      <c r="N2" s="95" t="s">
        <v>95</v>
      </c>
      <c r="O2" s="94" t="s">
        <v>94</v>
      </c>
      <c r="P2" s="93" t="s">
        <v>24</v>
      </c>
      <c r="Q2" s="96" t="s">
        <v>67</v>
      </c>
      <c r="R2" s="95" t="s">
        <v>106</v>
      </c>
      <c r="S2" s="93" t="s">
        <v>69</v>
      </c>
    </row>
    <row r="3" spans="1:19" x14ac:dyDescent="0.15">
      <c r="A3" s="73" t="s">
        <v>0</v>
      </c>
      <c r="B3" s="90">
        <v>504</v>
      </c>
      <c r="C3" s="89">
        <v>0.8891</v>
      </c>
      <c r="D3" s="89">
        <v>0.90239999999999998</v>
      </c>
      <c r="E3" s="16">
        <v>2041</v>
      </c>
      <c r="F3" s="88">
        <v>1806</v>
      </c>
      <c r="G3" s="87">
        <v>1120</v>
      </c>
      <c r="H3" s="86">
        <v>56</v>
      </c>
      <c r="I3" s="8">
        <v>294</v>
      </c>
      <c r="J3" s="8">
        <v>534</v>
      </c>
      <c r="K3" s="8">
        <v>716</v>
      </c>
      <c r="L3" s="8">
        <v>56</v>
      </c>
      <c r="M3" s="8">
        <v>184</v>
      </c>
      <c r="N3" s="8">
        <f t="shared" ref="N3:N10" si="0">SUM(H3:M3)</f>
        <v>1840</v>
      </c>
      <c r="O3" s="8">
        <v>828</v>
      </c>
      <c r="P3" s="85">
        <v>205</v>
      </c>
      <c r="Q3" s="92">
        <v>40</v>
      </c>
      <c r="R3" s="44">
        <v>36.799999999999997</v>
      </c>
      <c r="S3" s="91">
        <v>8.1999999999999993</v>
      </c>
    </row>
    <row r="4" spans="1:19" x14ac:dyDescent="0.15">
      <c r="A4" s="73" t="s">
        <v>1</v>
      </c>
      <c r="B4" s="90">
        <v>525</v>
      </c>
      <c r="C4" s="89">
        <v>0.873</v>
      </c>
      <c r="D4" s="89">
        <v>0.88519999999999999</v>
      </c>
      <c r="E4" s="16">
        <v>2121</v>
      </c>
      <c r="F4" s="88">
        <v>9045</v>
      </c>
      <c r="G4" s="87">
        <v>1350</v>
      </c>
      <c r="H4" s="86">
        <v>16</v>
      </c>
      <c r="I4" s="8">
        <v>64</v>
      </c>
      <c r="J4" s="8">
        <v>720</v>
      </c>
      <c r="K4" s="8">
        <v>720</v>
      </c>
      <c r="L4" s="8">
        <v>0</v>
      </c>
      <c r="M4" s="8">
        <v>80</v>
      </c>
      <c r="N4" s="8">
        <f t="shared" si="0"/>
        <v>1600</v>
      </c>
      <c r="O4" s="8">
        <v>752</v>
      </c>
      <c r="P4" s="85">
        <v>310</v>
      </c>
      <c r="Q4" s="92">
        <v>32</v>
      </c>
      <c r="R4" s="44">
        <v>32</v>
      </c>
      <c r="S4" s="91">
        <v>13.6</v>
      </c>
    </row>
    <row r="5" spans="1:19" x14ac:dyDescent="0.15">
      <c r="A5" s="73" t="s">
        <v>2</v>
      </c>
      <c r="B5" s="90">
        <v>185</v>
      </c>
      <c r="C5" s="89">
        <v>0.66969999999999996</v>
      </c>
      <c r="D5" s="89">
        <v>0.76780000000000004</v>
      </c>
      <c r="E5" s="16">
        <v>1138</v>
      </c>
      <c r="F5" s="88">
        <v>1301</v>
      </c>
      <c r="G5" s="87">
        <v>1470</v>
      </c>
      <c r="H5" s="86">
        <v>106</v>
      </c>
      <c r="I5" s="8">
        <v>300</v>
      </c>
      <c r="J5" s="8">
        <v>496</v>
      </c>
      <c r="K5" s="8">
        <v>300</v>
      </c>
      <c r="L5" s="8">
        <v>148</v>
      </c>
      <c r="M5" s="8">
        <v>150</v>
      </c>
      <c r="N5" s="8">
        <f t="shared" si="0"/>
        <v>1500</v>
      </c>
      <c r="O5" s="8">
        <v>780</v>
      </c>
      <c r="P5" s="85">
        <v>160</v>
      </c>
      <c r="Q5" s="92">
        <v>22</v>
      </c>
      <c r="R5" s="44">
        <v>30</v>
      </c>
      <c r="S5" s="91">
        <v>8.6</v>
      </c>
    </row>
    <row r="6" spans="1:19" x14ac:dyDescent="0.15">
      <c r="A6" s="73" t="s">
        <v>3</v>
      </c>
      <c r="B6" s="90">
        <v>139</v>
      </c>
      <c r="C6" s="89">
        <v>0.29559999999999997</v>
      </c>
      <c r="D6" s="89">
        <v>0.27200000000000002</v>
      </c>
      <c r="E6" s="16">
        <v>613</v>
      </c>
      <c r="F6" s="88">
        <v>61</v>
      </c>
      <c r="G6" s="87">
        <v>1525</v>
      </c>
      <c r="H6" s="86">
        <v>104</v>
      </c>
      <c r="I6" s="8">
        <v>234</v>
      </c>
      <c r="J6" s="8">
        <v>364</v>
      </c>
      <c r="K6" s="8">
        <v>414</v>
      </c>
      <c r="L6" s="8">
        <v>66</v>
      </c>
      <c r="M6" s="8">
        <v>118</v>
      </c>
      <c r="N6" s="8">
        <f t="shared" si="0"/>
        <v>1300</v>
      </c>
      <c r="O6" s="8">
        <v>638</v>
      </c>
      <c r="P6" s="85">
        <v>120</v>
      </c>
      <c r="Q6" s="92">
        <v>28</v>
      </c>
      <c r="R6" s="44">
        <v>26</v>
      </c>
      <c r="S6" s="91">
        <v>7.8</v>
      </c>
    </row>
    <row r="7" spans="1:19" x14ac:dyDescent="0.15">
      <c r="A7" s="73" t="s">
        <v>4</v>
      </c>
      <c r="B7" s="90">
        <v>358</v>
      </c>
      <c r="C7" s="89">
        <v>0.8498</v>
      </c>
      <c r="D7" s="89">
        <v>0.77880000000000005</v>
      </c>
      <c r="E7" s="16">
        <v>1785</v>
      </c>
      <c r="F7" s="88">
        <v>4239</v>
      </c>
      <c r="G7" s="87">
        <v>1075</v>
      </c>
      <c r="H7" s="86">
        <v>86</v>
      </c>
      <c r="I7" s="8">
        <v>208</v>
      </c>
      <c r="J7" s="8">
        <v>414</v>
      </c>
      <c r="K7" s="8">
        <v>378</v>
      </c>
      <c r="L7" s="8">
        <v>36</v>
      </c>
      <c r="M7" s="8">
        <v>98</v>
      </c>
      <c r="N7" s="8">
        <f t="shared" si="0"/>
        <v>1220</v>
      </c>
      <c r="O7" s="8">
        <v>488</v>
      </c>
      <c r="P7" s="85">
        <v>220</v>
      </c>
      <c r="Q7" s="92">
        <v>28</v>
      </c>
      <c r="R7" s="44">
        <v>24.4</v>
      </c>
      <c r="S7" s="91">
        <v>14.8</v>
      </c>
    </row>
    <row r="8" spans="1:19" x14ac:dyDescent="0.15">
      <c r="A8" s="73" t="s">
        <v>5</v>
      </c>
      <c r="B8" s="90">
        <v>427</v>
      </c>
      <c r="C8" s="89">
        <v>0.499</v>
      </c>
      <c r="D8" s="89">
        <v>0.51280000000000003</v>
      </c>
      <c r="E8" s="16">
        <v>1048</v>
      </c>
      <c r="F8" s="88">
        <v>6524</v>
      </c>
      <c r="G8" s="87">
        <v>940</v>
      </c>
      <c r="H8" s="86">
        <v>34</v>
      </c>
      <c r="I8" s="8">
        <v>134</v>
      </c>
      <c r="J8" s="8">
        <v>380</v>
      </c>
      <c r="K8" s="8">
        <v>414</v>
      </c>
      <c r="L8" s="8">
        <v>68</v>
      </c>
      <c r="M8" s="8">
        <v>90</v>
      </c>
      <c r="N8" s="8">
        <f t="shared" si="0"/>
        <v>1120</v>
      </c>
      <c r="O8" s="8">
        <v>504</v>
      </c>
      <c r="P8" s="85">
        <v>130</v>
      </c>
      <c r="Q8" s="92">
        <v>30</v>
      </c>
      <c r="R8" s="44">
        <v>22.4</v>
      </c>
      <c r="S8" s="91">
        <v>7</v>
      </c>
    </row>
    <row r="9" spans="1:19" x14ac:dyDescent="0.15">
      <c r="A9" s="73" t="s">
        <v>6</v>
      </c>
      <c r="B9" s="90">
        <v>883</v>
      </c>
      <c r="C9" s="89">
        <v>0.76939999999999997</v>
      </c>
      <c r="D9" s="89">
        <v>0.73719999999999997</v>
      </c>
      <c r="E9" s="16">
        <v>1991</v>
      </c>
      <c r="F9" s="88">
        <v>24070</v>
      </c>
      <c r="G9" s="87">
        <v>1210</v>
      </c>
      <c r="H9" s="86">
        <v>0</v>
      </c>
      <c r="I9" s="8">
        <v>88</v>
      </c>
      <c r="J9" s="8">
        <v>282</v>
      </c>
      <c r="K9" s="8">
        <v>352</v>
      </c>
      <c r="L9" s="8">
        <v>70</v>
      </c>
      <c r="M9" s="8">
        <v>88</v>
      </c>
      <c r="N9" s="8">
        <f t="shared" si="0"/>
        <v>880</v>
      </c>
      <c r="O9" s="8">
        <v>476</v>
      </c>
      <c r="P9" s="85">
        <v>307</v>
      </c>
      <c r="Q9" s="92">
        <v>19</v>
      </c>
      <c r="R9" s="44">
        <v>17.600000000000001</v>
      </c>
      <c r="S9" s="91">
        <v>17.8</v>
      </c>
    </row>
    <row r="10" spans="1:19" ht="14" thickBot="1" x14ac:dyDescent="0.2">
      <c r="A10" s="73" t="s">
        <v>25</v>
      </c>
      <c r="B10" s="81">
        <v>933</v>
      </c>
      <c r="C10" s="80">
        <v>0.85129999999999995</v>
      </c>
      <c r="D10" s="80">
        <v>0.72760000000000002</v>
      </c>
      <c r="E10" s="79">
        <v>2208</v>
      </c>
      <c r="F10" s="78">
        <v>28738</v>
      </c>
      <c r="G10" s="77">
        <v>1640</v>
      </c>
      <c r="H10" s="76">
        <v>18</v>
      </c>
      <c r="I10" s="75">
        <v>86</v>
      </c>
      <c r="J10" s="75">
        <v>218</v>
      </c>
      <c r="K10" s="75">
        <v>254</v>
      </c>
      <c r="L10" s="75">
        <v>12</v>
      </c>
      <c r="M10" s="75">
        <v>32</v>
      </c>
      <c r="N10" s="75">
        <f t="shared" si="0"/>
        <v>620</v>
      </c>
      <c r="O10" s="75">
        <v>360</v>
      </c>
      <c r="P10" s="74">
        <v>458</v>
      </c>
      <c r="Q10" s="84">
        <v>14</v>
      </c>
      <c r="R10" s="83">
        <v>12.4</v>
      </c>
      <c r="S10" s="82">
        <v>14.6</v>
      </c>
    </row>
    <row r="11" spans="1:19" x14ac:dyDescent="0.15">
      <c r="G11" s="73" t="s">
        <v>93</v>
      </c>
      <c r="H11" s="7">
        <v>0.4</v>
      </c>
      <c r="I11" s="7">
        <v>0.36</v>
      </c>
      <c r="J11" s="7">
        <v>0.33</v>
      </c>
      <c r="K11" s="7">
        <v>0.3</v>
      </c>
      <c r="L11" s="7">
        <v>0.5</v>
      </c>
      <c r="M11" s="7">
        <v>0.4</v>
      </c>
    </row>
  </sheetData>
  <mergeCells count="3">
    <mergeCell ref="B1:F1"/>
    <mergeCell ref="H1:P1"/>
    <mergeCell ref="Q1:S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N82"/>
  <sheetViews>
    <sheetView tabSelected="1" zoomScale="137" zoomScaleNormal="170" zoomScalePageLayoutView="170" workbookViewId="0">
      <selection activeCell="B1" sqref="B1"/>
    </sheetView>
  </sheetViews>
  <sheetFormatPr baseColWidth="10" defaultColWidth="8.83203125" defaultRowHeight="13" x14ac:dyDescent="0.15"/>
  <cols>
    <col min="1" max="1" width="3.5" style="3" customWidth="1"/>
    <col min="2" max="2" width="9.6640625" style="6" bestFit="1" customWidth="1"/>
    <col min="3" max="3" width="15" style="5" bestFit="1" customWidth="1"/>
    <col min="4" max="7" width="9.1640625" style="3" customWidth="1"/>
    <col min="8" max="8" width="10.33203125" style="3" customWidth="1"/>
    <col min="9" max="9" width="10.33203125" style="3" bestFit="1" customWidth="1"/>
    <col min="10" max="10" width="9.1640625" style="3" customWidth="1"/>
    <col min="11" max="11" width="10.5" style="3" bestFit="1" customWidth="1"/>
    <col min="12" max="12" width="10.5" style="4" bestFit="1" customWidth="1"/>
    <col min="13" max="13" width="10.1640625" style="4" bestFit="1" customWidth="1"/>
    <col min="14" max="14" width="4.5" style="5" customWidth="1"/>
    <col min="15" max="15" width="8.1640625" style="3" bestFit="1" customWidth="1"/>
    <col min="16" max="16384" width="8.83203125" style="3"/>
  </cols>
  <sheetData>
    <row r="1" spans="2:13" s="22" customFormat="1" ht="14" thickBot="1" x14ac:dyDescent="0.2">
      <c r="B1" s="23"/>
      <c r="C1" s="103" t="s">
        <v>66</v>
      </c>
      <c r="D1" s="104" t="s">
        <v>0</v>
      </c>
      <c r="E1" s="104" t="s">
        <v>1</v>
      </c>
      <c r="F1" s="104" t="s">
        <v>2</v>
      </c>
      <c r="G1" s="104" t="s">
        <v>3</v>
      </c>
      <c r="H1" s="104" t="s">
        <v>4</v>
      </c>
      <c r="I1" s="104" t="s">
        <v>5</v>
      </c>
      <c r="J1" s="104" t="s">
        <v>6</v>
      </c>
      <c r="K1" s="104" t="s">
        <v>25</v>
      </c>
      <c r="L1" s="106" t="s">
        <v>65</v>
      </c>
      <c r="M1" s="107" t="s">
        <v>64</v>
      </c>
    </row>
    <row r="2" spans="2:13" x14ac:dyDescent="0.15">
      <c r="B2" s="15"/>
      <c r="C2" s="26" t="s">
        <v>63</v>
      </c>
      <c r="D2" s="20">
        <f t="shared" ref="D2:K2" si="0">10*(D3/D4)</f>
        <v>2.7906976744186047</v>
      </c>
      <c r="E2" s="20">
        <f t="shared" si="0"/>
        <v>0.58043117744610284</v>
      </c>
      <c r="F2" s="20">
        <f t="shared" si="0"/>
        <v>1.4219830899308226</v>
      </c>
      <c r="G2" s="20">
        <f t="shared" si="0"/>
        <v>22.78688524590164</v>
      </c>
      <c r="H2" s="20">
        <f t="shared" si="0"/>
        <v>0.84453880632224587</v>
      </c>
      <c r="I2" s="20">
        <f t="shared" si="0"/>
        <v>0.65450643776824036</v>
      </c>
      <c r="J2" s="20">
        <f t="shared" si="0"/>
        <v>0.36684669713336104</v>
      </c>
      <c r="K2" s="20">
        <f t="shared" si="0"/>
        <v>0.32465724824274478</v>
      </c>
      <c r="L2" s="108">
        <f>AVERAGE(D2:K2)</f>
        <v>3.7213182971454701</v>
      </c>
      <c r="M2" s="109">
        <f>STDEV(D2:K2)</f>
        <v>7.7458283088459687</v>
      </c>
    </row>
    <row r="3" spans="2:13" x14ac:dyDescent="0.15">
      <c r="B3" s="15"/>
      <c r="C3" s="14" t="s">
        <v>10</v>
      </c>
      <c r="D3" s="19">
        <v>504</v>
      </c>
      <c r="E3" s="19">
        <v>525</v>
      </c>
      <c r="F3" s="19">
        <v>185</v>
      </c>
      <c r="G3" s="19">
        <v>139</v>
      </c>
      <c r="H3" s="19">
        <v>358</v>
      </c>
      <c r="I3" s="19">
        <v>427</v>
      </c>
      <c r="J3" s="19">
        <v>883</v>
      </c>
      <c r="K3" s="19">
        <v>933</v>
      </c>
      <c r="L3" s="108">
        <f>AVERAGE(D3:K3)</f>
        <v>494.25</v>
      </c>
      <c r="M3" s="109">
        <f>STDEV(D3:K3)</f>
        <v>290.21999045059397</v>
      </c>
    </row>
    <row r="4" spans="2:13" x14ac:dyDescent="0.15">
      <c r="B4" s="15" t="s">
        <v>62</v>
      </c>
      <c r="C4" s="14" t="s">
        <v>61</v>
      </c>
      <c r="D4" s="16">
        <v>1806</v>
      </c>
      <c r="E4" s="16">
        <v>9045</v>
      </c>
      <c r="F4" s="16">
        <v>1301</v>
      </c>
      <c r="G4" s="16">
        <v>61</v>
      </c>
      <c r="H4" s="16">
        <v>4239</v>
      </c>
      <c r="I4" s="16">
        <v>6524</v>
      </c>
      <c r="J4" s="16">
        <v>24070</v>
      </c>
      <c r="K4" s="16">
        <v>28738</v>
      </c>
      <c r="L4" s="110">
        <f>AVERAGE(D4:K4)</f>
        <v>9473</v>
      </c>
      <c r="M4" s="111">
        <f>STDEV(D4:K4)</f>
        <v>10919.428242488575</v>
      </c>
    </row>
    <row r="5" spans="2:13" x14ac:dyDescent="0.15">
      <c r="B5" s="15"/>
      <c r="C5" s="14" t="s">
        <v>75</v>
      </c>
      <c r="D5" s="16">
        <v>62</v>
      </c>
      <c r="E5" s="16">
        <v>42</v>
      </c>
      <c r="F5" s="16">
        <v>43</v>
      </c>
      <c r="G5" s="16">
        <v>38</v>
      </c>
      <c r="H5" s="16">
        <v>33</v>
      </c>
      <c r="I5" s="16">
        <v>53</v>
      </c>
      <c r="J5" s="16">
        <v>31</v>
      </c>
      <c r="K5" s="16">
        <v>25</v>
      </c>
      <c r="L5" s="110">
        <f>AVERAGE(D5:K5)</f>
        <v>40.875</v>
      </c>
      <c r="M5" s="111">
        <f>STDEV(D5:K5)</f>
        <v>12.064558484609845</v>
      </c>
    </row>
    <row r="6" spans="2:13" x14ac:dyDescent="0.15">
      <c r="B6" s="15"/>
      <c r="C6" s="14" t="s">
        <v>80</v>
      </c>
      <c r="D6" s="21">
        <v>31</v>
      </c>
      <c r="E6" s="16">
        <v>15</v>
      </c>
      <c r="F6" s="16">
        <v>5</v>
      </c>
      <c r="G6" s="16">
        <v>12</v>
      </c>
      <c r="H6" s="16">
        <v>8</v>
      </c>
      <c r="I6" s="21">
        <v>21</v>
      </c>
      <c r="J6" s="16">
        <v>2</v>
      </c>
      <c r="K6" s="16">
        <v>2</v>
      </c>
      <c r="L6" s="110">
        <f>AVERAGE(D6:K6)</f>
        <v>12</v>
      </c>
      <c r="M6" s="111">
        <f>STDEV(D6:K6)</f>
        <v>10.113640011673063</v>
      </c>
    </row>
    <row r="7" spans="2:13" ht="14" thickBot="1" x14ac:dyDescent="0.2">
      <c r="B7" s="13"/>
      <c r="C7" s="18"/>
      <c r="D7" s="17"/>
      <c r="E7" s="17"/>
      <c r="F7" s="17"/>
      <c r="G7" s="17"/>
      <c r="H7" s="17"/>
      <c r="I7" s="17"/>
      <c r="J7" s="17"/>
      <c r="K7" s="17"/>
      <c r="L7" s="112"/>
      <c r="M7" s="113"/>
    </row>
    <row r="8" spans="2:13" x14ac:dyDescent="0.15">
      <c r="B8" s="15"/>
      <c r="C8" s="26" t="s">
        <v>60</v>
      </c>
      <c r="D8" s="16">
        <v>1120</v>
      </c>
      <c r="E8" s="16">
        <v>1350</v>
      </c>
      <c r="F8" s="16">
        <v>1470</v>
      </c>
      <c r="G8" s="16">
        <v>1525</v>
      </c>
      <c r="H8" s="16">
        <v>1075</v>
      </c>
      <c r="I8" s="16">
        <v>940</v>
      </c>
      <c r="J8" s="16">
        <v>1210</v>
      </c>
      <c r="K8" s="16">
        <v>1640</v>
      </c>
      <c r="L8" s="110">
        <f>AVERAGE(D8:K8)</f>
        <v>1291.25</v>
      </c>
      <c r="M8" s="111">
        <f>STDEV(D8:K8)</f>
        <v>244.28832496516429</v>
      </c>
    </row>
    <row r="9" spans="2:13" x14ac:dyDescent="0.15">
      <c r="B9" s="15"/>
      <c r="C9" s="14" t="s">
        <v>59</v>
      </c>
      <c r="D9" s="20">
        <v>2.2222222222222223</v>
      </c>
      <c r="E9" s="20">
        <v>2.5714285714285716</v>
      </c>
      <c r="F9" s="20">
        <v>7.9459459459459456</v>
      </c>
      <c r="G9" s="20">
        <v>10.971223021582734</v>
      </c>
      <c r="H9" s="20">
        <v>3.0027932960893855</v>
      </c>
      <c r="I9" s="20">
        <v>2.2014051522248241</v>
      </c>
      <c r="J9" s="20">
        <v>1.3703284258210646</v>
      </c>
      <c r="K9" s="20">
        <v>1.757770632368703</v>
      </c>
      <c r="L9" s="108">
        <f>AVERAGE(D9:K9)</f>
        <v>4.0053896584604312</v>
      </c>
      <c r="M9" s="109">
        <f>STDEV(D9:K9)</f>
        <v>3.4957453191231029</v>
      </c>
    </row>
    <row r="10" spans="2:13" x14ac:dyDescent="0.15">
      <c r="B10" s="15" t="s">
        <v>58</v>
      </c>
      <c r="C10" s="14" t="s">
        <v>57</v>
      </c>
      <c r="D10" s="20">
        <v>5.4634146341463419</v>
      </c>
      <c r="E10" s="20">
        <v>4.354838709677419</v>
      </c>
      <c r="F10" s="20">
        <v>9.1875</v>
      </c>
      <c r="G10" s="20">
        <v>12.708333333333334</v>
      </c>
      <c r="H10" s="20">
        <v>4.8863636363636367</v>
      </c>
      <c r="I10" s="20">
        <v>7.2307692307692308</v>
      </c>
      <c r="J10" s="20">
        <v>3.9413680781758957</v>
      </c>
      <c r="K10" s="20">
        <v>3.5807860262008733</v>
      </c>
      <c r="L10" s="108">
        <f>AVERAGE(D10:K10)</f>
        <v>6.4191717060833433</v>
      </c>
      <c r="M10" s="109">
        <f>STDEV(D10:K10)</f>
        <v>3.1531452103775512</v>
      </c>
    </row>
    <row r="11" spans="2:13" x14ac:dyDescent="0.15">
      <c r="B11" s="15"/>
      <c r="C11" s="14" t="s">
        <v>56</v>
      </c>
      <c r="D11" s="25">
        <v>4.4800000000000004</v>
      </c>
      <c r="E11" s="25">
        <v>5.4</v>
      </c>
      <c r="F11" s="25">
        <v>5.88</v>
      </c>
      <c r="G11" s="25">
        <v>6.1</v>
      </c>
      <c r="H11" s="25">
        <v>4.3</v>
      </c>
      <c r="I11" s="25">
        <v>3.76</v>
      </c>
      <c r="J11" s="25">
        <v>4.84</v>
      </c>
      <c r="K11" s="25">
        <v>6.56</v>
      </c>
      <c r="L11" s="108">
        <f>AVERAGE(D11:K11)</f>
        <v>5.1650000000000009</v>
      </c>
      <c r="M11" s="109">
        <f>STDEV(D11:K11)</f>
        <v>0.97715329986064825</v>
      </c>
    </row>
    <row r="12" spans="2:13" ht="14" thickBot="1" x14ac:dyDescent="0.2">
      <c r="B12" s="13"/>
      <c r="C12" s="18"/>
      <c r="D12" s="17"/>
      <c r="E12" s="17"/>
      <c r="F12" s="17"/>
      <c r="G12" s="17"/>
      <c r="H12" s="17"/>
      <c r="I12" s="17"/>
      <c r="J12" s="17"/>
      <c r="K12" s="17"/>
      <c r="L12" s="112"/>
      <c r="M12" s="113"/>
    </row>
    <row r="13" spans="2:13" x14ac:dyDescent="0.15">
      <c r="B13" s="15"/>
      <c r="C13" s="14" t="s">
        <v>55</v>
      </c>
      <c r="D13" s="3">
        <v>205</v>
      </c>
      <c r="E13" s="3">
        <v>310</v>
      </c>
      <c r="F13" s="3">
        <v>160</v>
      </c>
      <c r="G13" s="3">
        <v>120</v>
      </c>
      <c r="H13" s="3">
        <v>220</v>
      </c>
      <c r="I13" s="3">
        <v>130</v>
      </c>
      <c r="J13" s="3">
        <v>307</v>
      </c>
      <c r="K13" s="3">
        <v>458</v>
      </c>
      <c r="L13" s="110">
        <f>AVERAGE(D13:K13)</f>
        <v>238.75</v>
      </c>
      <c r="M13" s="111">
        <f>STDEV(D13:K13)</f>
        <v>114.28379462673487</v>
      </c>
    </row>
    <row r="14" spans="2:13" x14ac:dyDescent="0.15">
      <c r="B14" s="15"/>
      <c r="C14" s="14" t="s">
        <v>54</v>
      </c>
      <c r="D14" s="19">
        <v>299</v>
      </c>
      <c r="E14" s="19">
        <v>215</v>
      </c>
      <c r="F14" s="19">
        <v>25</v>
      </c>
      <c r="G14" s="19">
        <v>19</v>
      </c>
      <c r="H14" s="19">
        <v>138</v>
      </c>
      <c r="I14" s="19">
        <v>297</v>
      </c>
      <c r="J14" s="19">
        <v>576</v>
      </c>
      <c r="K14" s="19">
        <v>475</v>
      </c>
      <c r="L14" s="110">
        <f t="shared" ref="L14:L19" si="1">AVERAGE(D14:K14)</f>
        <v>255.5</v>
      </c>
      <c r="M14" s="111">
        <f t="shared" ref="M14:M20" si="2">STDEV(D14:K14)</f>
        <v>199.65112428576862</v>
      </c>
    </row>
    <row r="15" spans="2:13" x14ac:dyDescent="0.15">
      <c r="B15" s="15"/>
      <c r="C15" s="14" t="s">
        <v>53</v>
      </c>
      <c r="D15" s="7">
        <v>0.40674603174603174</v>
      </c>
      <c r="E15" s="7">
        <v>0.59047619047619049</v>
      </c>
      <c r="F15" s="7">
        <v>0.86486486486486491</v>
      </c>
      <c r="G15" s="7">
        <v>0.86330935251798557</v>
      </c>
      <c r="H15" s="7">
        <v>0.61452513966480449</v>
      </c>
      <c r="I15" s="7">
        <v>0.3044496487119438</v>
      </c>
      <c r="J15" s="7">
        <v>0.34767836919592299</v>
      </c>
      <c r="K15" s="7">
        <v>0.49088960342979637</v>
      </c>
      <c r="L15" s="114">
        <f t="shared" si="1"/>
        <v>0.56036740007594255</v>
      </c>
      <c r="M15" s="115">
        <f t="shared" si="2"/>
        <v>0.21629653619287961</v>
      </c>
    </row>
    <row r="16" spans="2:13" x14ac:dyDescent="0.15">
      <c r="B16" s="15" t="s">
        <v>52</v>
      </c>
      <c r="C16" s="14" t="s">
        <v>51</v>
      </c>
      <c r="D16" s="24">
        <v>1840</v>
      </c>
      <c r="E16" s="24">
        <v>1600</v>
      </c>
      <c r="F16" s="24">
        <v>1500</v>
      </c>
      <c r="G16" s="24">
        <v>1300</v>
      </c>
      <c r="H16" s="24">
        <v>1220</v>
      </c>
      <c r="I16" s="24">
        <v>1120</v>
      </c>
      <c r="J16" s="24">
        <v>880</v>
      </c>
      <c r="K16" s="24">
        <v>620</v>
      </c>
      <c r="L16" s="116">
        <f t="shared" si="1"/>
        <v>1260</v>
      </c>
      <c r="M16" s="117">
        <f t="shared" si="2"/>
        <v>393.95431207184419</v>
      </c>
    </row>
    <row r="17" spans="2:13" x14ac:dyDescent="0.15">
      <c r="B17" s="15"/>
      <c r="C17" s="14" t="s">
        <v>50</v>
      </c>
      <c r="D17" s="27">
        <v>8.9756097560975618</v>
      </c>
      <c r="E17" s="27">
        <v>5.161290322580645</v>
      </c>
      <c r="F17" s="27">
        <v>9.375</v>
      </c>
      <c r="G17" s="27">
        <v>10.833333333333334</v>
      </c>
      <c r="H17" s="27">
        <v>5.5454545454545459</v>
      </c>
      <c r="I17" s="27">
        <v>8.615384615384615</v>
      </c>
      <c r="J17" s="27">
        <v>2.8664495114006514</v>
      </c>
      <c r="K17" s="27">
        <v>1.3537117903930131</v>
      </c>
      <c r="L17" s="118">
        <f t="shared" si="1"/>
        <v>6.5907792343305456</v>
      </c>
      <c r="M17" s="119">
        <f t="shared" si="2"/>
        <v>3.3800093759999728</v>
      </c>
    </row>
    <row r="18" spans="2:13" x14ac:dyDescent="0.15">
      <c r="B18" s="15"/>
      <c r="C18" s="14" t="s">
        <v>49</v>
      </c>
      <c r="D18" s="28">
        <v>-0.1</v>
      </c>
      <c r="E18" s="28">
        <v>-0.06</v>
      </c>
      <c r="F18" s="28">
        <v>0.04</v>
      </c>
      <c r="G18" s="28">
        <v>-1.8461538461538463E-2</v>
      </c>
      <c r="H18" s="28">
        <v>-0.2</v>
      </c>
      <c r="I18" s="28">
        <v>-0.1</v>
      </c>
      <c r="J18" s="28">
        <v>8.1818181818181818E-2</v>
      </c>
      <c r="K18" s="28">
        <v>0.16129032258064516</v>
      </c>
      <c r="L18" s="120">
        <f t="shared" si="1"/>
        <v>-2.4419129257838939E-2</v>
      </c>
      <c r="M18" s="121">
        <f t="shared" si="2"/>
        <v>0.11556028757250486</v>
      </c>
    </row>
    <row r="19" spans="2:13" x14ac:dyDescent="0.15">
      <c r="B19" s="15"/>
      <c r="C19" s="14" t="s">
        <v>48</v>
      </c>
      <c r="D19" s="3">
        <v>535.86</v>
      </c>
      <c r="E19" s="3">
        <v>437.43999999999994</v>
      </c>
      <c r="F19" s="3">
        <v>477.48</v>
      </c>
      <c r="G19" s="3">
        <v>388.55999999999995</v>
      </c>
      <c r="H19" s="3">
        <v>349.3</v>
      </c>
      <c r="I19" s="3">
        <v>322.04000000000002</v>
      </c>
      <c r="J19" s="3">
        <v>246.14000000000001</v>
      </c>
      <c r="K19" s="3">
        <v>164.10000000000002</v>
      </c>
      <c r="L19" s="116">
        <f t="shared" si="1"/>
        <v>365.11499999999995</v>
      </c>
      <c r="M19" s="117">
        <f t="shared" si="2"/>
        <v>122.02340091731845</v>
      </c>
    </row>
    <row r="20" spans="2:13" x14ac:dyDescent="0.15">
      <c r="B20" s="15"/>
      <c r="C20" s="14" t="s">
        <v>84</v>
      </c>
      <c r="D20" s="30">
        <v>0.29122826086956521</v>
      </c>
      <c r="E20" s="30">
        <v>0.27339999999999998</v>
      </c>
      <c r="F20" s="30">
        <v>0.31831999999999999</v>
      </c>
      <c r="G20" s="30">
        <v>0.29889230769230762</v>
      </c>
      <c r="H20" s="30">
        <v>0.28631147540983609</v>
      </c>
      <c r="I20" s="30">
        <v>0.28753571428571428</v>
      </c>
      <c r="J20" s="30">
        <v>0.27970454545454548</v>
      </c>
      <c r="K20" s="30">
        <v>0.26467741935483874</v>
      </c>
      <c r="L20" s="116">
        <f>AVERAGE(D20:K20)</f>
        <v>0.28750871538335088</v>
      </c>
      <c r="M20" s="117">
        <f t="shared" si="2"/>
        <v>1.6368172779998785E-2</v>
      </c>
    </row>
    <row r="21" spans="2:13" ht="14" thickBot="1" x14ac:dyDescent="0.2">
      <c r="B21" s="13"/>
      <c r="C21" s="18"/>
      <c r="D21" s="31"/>
      <c r="E21" s="31"/>
      <c r="F21" s="31"/>
      <c r="G21" s="31"/>
      <c r="H21" s="31"/>
      <c r="I21" s="31"/>
      <c r="J21" s="31"/>
      <c r="K21" s="31"/>
      <c r="L21" s="112"/>
      <c r="M21" s="113"/>
    </row>
    <row r="22" spans="2:13" x14ac:dyDescent="0.15">
      <c r="B22" s="15"/>
      <c r="C22" s="14" t="s">
        <v>67</v>
      </c>
      <c r="D22" s="1">
        <v>40</v>
      </c>
      <c r="E22" s="2">
        <v>32</v>
      </c>
      <c r="F22" s="2">
        <v>22</v>
      </c>
      <c r="G22" s="2">
        <v>28</v>
      </c>
      <c r="H22" s="2">
        <v>28</v>
      </c>
      <c r="I22" s="2">
        <v>30</v>
      </c>
      <c r="J22" s="2">
        <v>19</v>
      </c>
      <c r="K22" s="2">
        <v>14</v>
      </c>
      <c r="L22" s="122">
        <f>AVERAGE(D22:K22)</f>
        <v>26.625</v>
      </c>
      <c r="M22" s="123">
        <f>STDEV(D22:K22)</f>
        <v>8.1229392991172151</v>
      </c>
    </row>
    <row r="23" spans="2:13" x14ac:dyDescent="0.15">
      <c r="B23" s="15"/>
      <c r="C23" s="14" t="s">
        <v>68</v>
      </c>
      <c r="D23" s="2">
        <v>36.799999999999997</v>
      </c>
      <c r="E23" s="2">
        <v>32</v>
      </c>
      <c r="F23" s="2">
        <v>30</v>
      </c>
      <c r="G23" s="2">
        <v>26</v>
      </c>
      <c r="H23" s="2">
        <v>24.4</v>
      </c>
      <c r="I23" s="2">
        <v>22.4</v>
      </c>
      <c r="J23" s="2">
        <v>17.600000000000001</v>
      </c>
      <c r="K23" s="2">
        <v>12.4</v>
      </c>
      <c r="L23" s="122">
        <f t="shared" ref="L23:L24" si="3">AVERAGE(D23:K23)</f>
        <v>25.2</v>
      </c>
      <c r="M23" s="123">
        <f t="shared" ref="M23:M24" si="4">STDEV(D23:K23)</f>
        <v>7.8790862414368874</v>
      </c>
    </row>
    <row r="24" spans="2:13" x14ac:dyDescent="0.15">
      <c r="B24" s="15"/>
      <c r="C24" s="14" t="s">
        <v>69</v>
      </c>
      <c r="D24" s="2">
        <v>8.1999999999999993</v>
      </c>
      <c r="E24" s="2">
        <v>13.6</v>
      </c>
      <c r="F24" s="2">
        <v>8.6</v>
      </c>
      <c r="G24" s="2">
        <v>7.8</v>
      </c>
      <c r="H24" s="2">
        <v>14.8</v>
      </c>
      <c r="I24" s="2">
        <v>7</v>
      </c>
      <c r="J24" s="2">
        <v>17.8</v>
      </c>
      <c r="K24" s="2">
        <v>14.6</v>
      </c>
      <c r="L24" s="122">
        <f t="shared" si="3"/>
        <v>11.549999999999999</v>
      </c>
      <c r="M24" s="123">
        <f t="shared" si="4"/>
        <v>4.1026124081405246</v>
      </c>
    </row>
    <row r="25" spans="2:13" x14ac:dyDescent="0.15">
      <c r="B25" s="15" t="s">
        <v>47</v>
      </c>
      <c r="C25" s="14" t="s">
        <v>46</v>
      </c>
      <c r="D25" s="29">
        <v>1.6428571428571428</v>
      </c>
      <c r="E25" s="29">
        <v>1.1851851851851851</v>
      </c>
      <c r="F25" s="29">
        <v>1.0204081632653061</v>
      </c>
      <c r="G25" s="29">
        <v>0.85245901639344257</v>
      </c>
      <c r="H25" s="29">
        <v>1.1348837209302325</v>
      </c>
      <c r="I25" s="29">
        <v>1.1914893617021276</v>
      </c>
      <c r="J25" s="29">
        <v>0.72727272727272729</v>
      </c>
      <c r="K25" s="29">
        <v>0.37804878048780488</v>
      </c>
      <c r="L25" s="110">
        <f>AVERAGE(D25:K25)</f>
        <v>1.0165755122617461</v>
      </c>
      <c r="M25" s="111">
        <f>STDEV(D25:K25)</f>
        <v>0.37485444634476767</v>
      </c>
    </row>
    <row r="26" spans="2:13" x14ac:dyDescent="0.15">
      <c r="B26" s="15"/>
      <c r="C26" s="14" t="s">
        <v>45</v>
      </c>
      <c r="D26" s="10">
        <v>4.4565217391304346E-3</v>
      </c>
      <c r="E26" s="10">
        <v>8.5000000000000006E-3</v>
      </c>
      <c r="F26" s="10">
        <v>5.7333333333333333E-3</v>
      </c>
      <c r="G26" s="10">
        <v>6.0000000000000001E-3</v>
      </c>
      <c r="H26" s="10">
        <v>1.2131147540983607E-2</v>
      </c>
      <c r="I26" s="10">
        <v>6.2500000000000003E-3</v>
      </c>
      <c r="J26" s="10">
        <v>2.0227272727272729E-2</v>
      </c>
      <c r="K26" s="10">
        <v>2.3548387096774193E-2</v>
      </c>
      <c r="L26" s="124">
        <f>AVERAGE(D26:K26)</f>
        <v>1.0855832804686787E-2</v>
      </c>
      <c r="M26" s="121">
        <f>STDEV(D26:K26)</f>
        <v>7.2514549038702556E-3</v>
      </c>
    </row>
    <row r="27" spans="2:13" x14ac:dyDescent="0.15">
      <c r="B27" s="15"/>
      <c r="C27" s="14" t="s">
        <v>76</v>
      </c>
      <c r="D27" s="30">
        <v>0.16086956521739129</v>
      </c>
      <c r="E27" s="30">
        <v>0.06</v>
      </c>
      <c r="F27" s="30">
        <v>0.26933333333333331</v>
      </c>
      <c r="G27" s="30">
        <v>0.22153846153846155</v>
      </c>
      <c r="H27" s="30">
        <v>0.18032786885245902</v>
      </c>
      <c r="I27" s="30">
        <v>0.17142857142857143</v>
      </c>
      <c r="J27" s="30">
        <v>0.17954545454545454</v>
      </c>
      <c r="K27" s="30">
        <v>0.1</v>
      </c>
      <c r="L27" s="124">
        <f>AVERAGE(D27:K27)</f>
        <v>0.1678804068644589</v>
      </c>
      <c r="M27" s="121">
        <f>STDEV(D27:K27)</f>
        <v>6.5214556834169199E-2</v>
      </c>
    </row>
    <row r="28" spans="2:13" ht="14" thickBot="1" x14ac:dyDescent="0.2">
      <c r="B28" s="13"/>
      <c r="C28" s="12"/>
      <c r="D28" s="11"/>
      <c r="E28" s="11"/>
      <c r="F28" s="11"/>
      <c r="G28" s="11"/>
      <c r="H28" s="11"/>
      <c r="I28" s="11"/>
      <c r="J28" s="11"/>
      <c r="K28" s="11"/>
      <c r="L28" s="125"/>
      <c r="M28" s="126"/>
    </row>
    <row r="30" spans="2:13" x14ac:dyDescent="0.15">
      <c r="C30" s="5" t="s">
        <v>44</v>
      </c>
      <c r="D30" s="89">
        <v>0.8891</v>
      </c>
      <c r="E30" s="89">
        <v>0.873</v>
      </c>
      <c r="F30" s="89">
        <v>0.66969999999999996</v>
      </c>
      <c r="G30" s="89">
        <v>0.29559999999999997</v>
      </c>
      <c r="H30" s="89">
        <v>0.8498</v>
      </c>
      <c r="I30" s="89">
        <v>0.499</v>
      </c>
      <c r="J30" s="89">
        <v>0.76939999999999997</v>
      </c>
      <c r="K30" s="89">
        <v>0.85129999999999995</v>
      </c>
    </row>
    <row r="31" spans="2:13" x14ac:dyDescent="0.15">
      <c r="C31" s="5" t="s">
        <v>115</v>
      </c>
      <c r="D31" s="89">
        <v>0.90239999999999998</v>
      </c>
      <c r="E31" s="89">
        <v>0.88519999999999999</v>
      </c>
      <c r="F31" s="89">
        <v>0.76780000000000004</v>
      </c>
      <c r="G31" s="89">
        <v>0.27200000000000002</v>
      </c>
      <c r="H31" s="89">
        <v>0.77880000000000005</v>
      </c>
      <c r="I31" s="89">
        <v>0.51280000000000003</v>
      </c>
      <c r="J31" s="89">
        <v>0.73719999999999997</v>
      </c>
      <c r="K31" s="89">
        <v>0.72760000000000002</v>
      </c>
      <c r="L31" s="3"/>
      <c r="M31"/>
    </row>
    <row r="32" spans="2:13" x14ac:dyDescent="0.15">
      <c r="C32" s="5" t="s">
        <v>118</v>
      </c>
      <c r="D32" s="8">
        <f>(D31/100)*$D$35</f>
        <v>1895.0399999999997</v>
      </c>
      <c r="E32" s="8">
        <f t="shared" ref="E32:K32" si="5">(E31/100)*$D$35</f>
        <v>1858.92</v>
      </c>
      <c r="F32" s="8">
        <f t="shared" si="5"/>
        <v>1612.38</v>
      </c>
      <c r="G32" s="8">
        <f t="shared" si="5"/>
        <v>571.20000000000005</v>
      </c>
      <c r="H32" s="8">
        <f t="shared" si="5"/>
        <v>1635.4800000000002</v>
      </c>
      <c r="I32" s="8">
        <f t="shared" si="5"/>
        <v>1076.8800000000001</v>
      </c>
      <c r="J32" s="8">
        <f t="shared" si="5"/>
        <v>1548.1200000000001</v>
      </c>
      <c r="K32" s="8">
        <f t="shared" si="5"/>
        <v>1527.96</v>
      </c>
      <c r="L32" s="9" t="s">
        <v>77</v>
      </c>
      <c r="M32" s="8">
        <f>SUM(D32:K32)</f>
        <v>11725.980000000003</v>
      </c>
    </row>
    <row r="33" spans="2:14" x14ac:dyDescent="0.15">
      <c r="B33" s="3"/>
      <c r="C33" s="5" t="s">
        <v>43</v>
      </c>
      <c r="D33" s="8">
        <f>D16</f>
        <v>1840</v>
      </c>
      <c r="E33" s="8">
        <f t="shared" ref="E33:K33" si="6">E16</f>
        <v>1600</v>
      </c>
      <c r="F33" s="8">
        <f t="shared" si="6"/>
        <v>1500</v>
      </c>
      <c r="G33" s="8">
        <f t="shared" si="6"/>
        <v>1300</v>
      </c>
      <c r="H33" s="8">
        <f t="shared" si="6"/>
        <v>1220</v>
      </c>
      <c r="I33" s="8">
        <f t="shared" si="6"/>
        <v>1120</v>
      </c>
      <c r="J33" s="8">
        <f t="shared" si="6"/>
        <v>880</v>
      </c>
      <c r="K33" s="8">
        <f t="shared" si="6"/>
        <v>620</v>
      </c>
      <c r="L33" s="9" t="s">
        <v>78</v>
      </c>
      <c r="M33" s="8">
        <f>SUM(D33:K33)</f>
        <v>10080</v>
      </c>
    </row>
    <row r="34" spans="2:14" x14ac:dyDescent="0.15">
      <c r="B34" s="3"/>
      <c r="C34" s="5" t="s">
        <v>119</v>
      </c>
      <c r="D34" s="7">
        <f>(D33-D32)/D32</f>
        <v>-2.9044241810199121E-2</v>
      </c>
      <c r="E34" s="7">
        <f t="shared" ref="E34:K34" si="7">(E33-E32)/E32</f>
        <v>-0.13928517633894952</v>
      </c>
      <c r="F34" s="7">
        <f t="shared" si="7"/>
        <v>-6.9698210099356298E-2</v>
      </c>
      <c r="G34" s="7">
        <f>(G33-G32)/G32</f>
        <v>1.2759103641456582</v>
      </c>
      <c r="H34" s="7">
        <f>(H33-H32)/H32</f>
        <v>-0.25404162692298299</v>
      </c>
      <c r="I34" s="7">
        <f t="shared" si="7"/>
        <v>4.0041601664066458E-2</v>
      </c>
      <c r="J34" s="7">
        <f t="shared" si="7"/>
        <v>-0.43156861225228021</v>
      </c>
      <c r="K34" s="7">
        <f t="shared" si="7"/>
        <v>-0.59423021545066623</v>
      </c>
      <c r="L34" s="3" t="s">
        <v>42</v>
      </c>
      <c r="M34" s="7">
        <f>(M33-M32)/M32</f>
        <v>-0.14037035710448106</v>
      </c>
    </row>
    <row r="35" spans="2:14" x14ac:dyDescent="0.15">
      <c r="C35" s="5" t="s">
        <v>120</v>
      </c>
      <c r="D35" s="105">
        <v>210000</v>
      </c>
    </row>
    <row r="48" spans="2:14" x14ac:dyDescent="0.15">
      <c r="C48" s="4"/>
      <c r="D48" s="4"/>
      <c r="E48" s="5"/>
      <c r="L48" s="3"/>
      <c r="M48" s="3"/>
      <c r="N48" s="3"/>
    </row>
    <row r="49" spans="3:14" x14ac:dyDescent="0.15">
      <c r="C49" s="4"/>
      <c r="D49" s="4"/>
      <c r="E49" s="5"/>
      <c r="F49" s="3" t="s">
        <v>79</v>
      </c>
      <c r="G49" s="5" t="s">
        <v>85</v>
      </c>
      <c r="H49" s="5" t="s">
        <v>26</v>
      </c>
      <c r="I49" s="5" t="s">
        <v>121</v>
      </c>
      <c r="J49" s="5" t="s">
        <v>122</v>
      </c>
      <c r="K49" s="5" t="s">
        <v>105</v>
      </c>
      <c r="L49" s="5" t="s">
        <v>69</v>
      </c>
      <c r="M49" s="3" t="s">
        <v>86</v>
      </c>
      <c r="N49" s="3"/>
    </row>
    <row r="50" spans="3:14" x14ac:dyDescent="0.15">
      <c r="C50" s="4"/>
      <c r="D50" s="4"/>
      <c r="E50" s="5" t="s">
        <v>0</v>
      </c>
      <c r="F50" s="3">
        <v>1840</v>
      </c>
      <c r="G50" s="21">
        <v>31</v>
      </c>
      <c r="H50" s="16">
        <v>1120</v>
      </c>
      <c r="I50" s="16">
        <v>1806</v>
      </c>
      <c r="J50" s="20">
        <v>2.7906976744186047</v>
      </c>
      <c r="K50" s="19">
        <v>504</v>
      </c>
      <c r="L50" s="44">
        <v>8.1999999999999993</v>
      </c>
      <c r="M50" s="44">
        <v>76.8</v>
      </c>
      <c r="N50" s="3"/>
    </row>
    <row r="51" spans="3:14" x14ac:dyDescent="0.15">
      <c r="C51" s="4"/>
      <c r="D51" s="4"/>
      <c r="E51" s="5" t="s">
        <v>1</v>
      </c>
      <c r="F51" s="3">
        <v>1600</v>
      </c>
      <c r="G51" s="16">
        <v>15</v>
      </c>
      <c r="H51" s="16">
        <v>1350</v>
      </c>
      <c r="I51" s="16">
        <v>9045</v>
      </c>
      <c r="J51" s="20">
        <v>0.58043117744610284</v>
      </c>
      <c r="K51" s="19">
        <v>525</v>
      </c>
      <c r="L51" s="44">
        <v>13.6</v>
      </c>
      <c r="M51" s="132">
        <v>64</v>
      </c>
      <c r="N51" s="3"/>
    </row>
    <row r="52" spans="3:14" x14ac:dyDescent="0.15">
      <c r="C52" s="4"/>
      <c r="D52" s="4"/>
      <c r="E52" s="5" t="s">
        <v>2</v>
      </c>
      <c r="F52" s="3">
        <v>1500</v>
      </c>
      <c r="G52" s="16">
        <v>5</v>
      </c>
      <c r="H52" s="16">
        <v>1470</v>
      </c>
      <c r="I52" s="16">
        <v>1301</v>
      </c>
      <c r="J52" s="20">
        <v>1.4219830899308226</v>
      </c>
      <c r="K52" s="19">
        <v>185</v>
      </c>
      <c r="L52" s="44">
        <v>8.6</v>
      </c>
      <c r="M52" s="44">
        <v>52</v>
      </c>
      <c r="N52" s="3"/>
    </row>
    <row r="53" spans="3:14" x14ac:dyDescent="0.15">
      <c r="C53" s="4"/>
      <c r="D53" s="4"/>
      <c r="E53" s="5" t="s">
        <v>3</v>
      </c>
      <c r="F53" s="3">
        <v>1300</v>
      </c>
      <c r="G53" s="16">
        <v>12</v>
      </c>
      <c r="H53" s="16">
        <v>1525</v>
      </c>
      <c r="I53" s="16">
        <v>61</v>
      </c>
      <c r="J53" s="20">
        <v>22.78688524590164</v>
      </c>
      <c r="K53" s="19">
        <v>139</v>
      </c>
      <c r="L53" s="44">
        <v>7.8</v>
      </c>
      <c r="M53" s="44">
        <v>54</v>
      </c>
      <c r="N53" s="3"/>
    </row>
    <row r="54" spans="3:14" x14ac:dyDescent="0.15">
      <c r="C54" s="4"/>
      <c r="D54" s="4"/>
      <c r="E54" s="5" t="s">
        <v>4</v>
      </c>
      <c r="F54" s="3">
        <v>1220</v>
      </c>
      <c r="G54" s="16">
        <v>8</v>
      </c>
      <c r="H54" s="16">
        <v>1075</v>
      </c>
      <c r="I54" s="16">
        <v>4239</v>
      </c>
      <c r="J54" s="20">
        <v>0.84453880632224587</v>
      </c>
      <c r="K54" s="19">
        <v>358</v>
      </c>
      <c r="L54" s="44">
        <v>14.8</v>
      </c>
      <c r="M54" s="44">
        <v>52.4</v>
      </c>
      <c r="N54" s="3"/>
    </row>
    <row r="55" spans="3:14" x14ac:dyDescent="0.15">
      <c r="C55" s="4"/>
      <c r="D55" s="4"/>
      <c r="E55" s="5" t="s">
        <v>5</v>
      </c>
      <c r="F55" s="3">
        <v>1120</v>
      </c>
      <c r="G55" s="21">
        <v>21</v>
      </c>
      <c r="H55" s="16">
        <v>940</v>
      </c>
      <c r="I55" s="16">
        <v>6524</v>
      </c>
      <c r="J55" s="20">
        <v>0.65450643776824036</v>
      </c>
      <c r="K55" s="19">
        <v>427</v>
      </c>
      <c r="L55" s="44">
        <v>7</v>
      </c>
      <c r="M55" s="44">
        <v>52.4</v>
      </c>
      <c r="N55" s="3"/>
    </row>
    <row r="56" spans="3:14" x14ac:dyDescent="0.15">
      <c r="C56" s="4"/>
      <c r="D56" s="4"/>
      <c r="E56" s="5" t="s">
        <v>6</v>
      </c>
      <c r="F56" s="3">
        <v>880</v>
      </c>
      <c r="G56" s="16">
        <v>2</v>
      </c>
      <c r="H56" s="16">
        <v>1210</v>
      </c>
      <c r="I56" s="16">
        <v>24070</v>
      </c>
      <c r="J56" s="20">
        <v>0.36684669713336104</v>
      </c>
      <c r="K56" s="19">
        <v>883</v>
      </c>
      <c r="L56" s="44">
        <v>17.8</v>
      </c>
      <c r="M56" s="44">
        <v>36.6</v>
      </c>
      <c r="N56" s="3"/>
    </row>
    <row r="57" spans="3:14" x14ac:dyDescent="0.15">
      <c r="C57" s="4"/>
      <c r="D57" s="4"/>
      <c r="E57" s="5" t="s">
        <v>25</v>
      </c>
      <c r="F57" s="3">
        <v>620</v>
      </c>
      <c r="G57" s="16">
        <v>2</v>
      </c>
      <c r="H57" s="16">
        <v>1640</v>
      </c>
      <c r="I57" s="16">
        <v>28738</v>
      </c>
      <c r="J57" s="20">
        <v>0.32465724824274478</v>
      </c>
      <c r="K57" s="19">
        <v>933</v>
      </c>
      <c r="L57" s="44">
        <v>14.6</v>
      </c>
      <c r="M57" s="44">
        <v>26.4</v>
      </c>
      <c r="N57" s="3"/>
    </row>
    <row r="58" spans="3:14" x14ac:dyDescent="0.15">
      <c r="C58" s="4"/>
      <c r="D58" s="4"/>
      <c r="E58" s="5"/>
      <c r="L58" s="3"/>
      <c r="M58" s="3"/>
      <c r="N58" s="3"/>
    </row>
    <row r="59" spans="3:14" x14ac:dyDescent="0.15">
      <c r="C59" s="4"/>
      <c r="E59" s="3" t="s">
        <v>89</v>
      </c>
      <c r="F59" s="30"/>
      <c r="G59" s="30">
        <f>CORREL($F$50:$F$57,G50:G57)</f>
        <v>0.69773650629584694</v>
      </c>
      <c r="H59" s="30">
        <f t="shared" ref="H59:M59" si="8">CORREL($F$50:$F$57,H50:H57)</f>
        <v>-0.23988039003412223</v>
      </c>
      <c r="I59" s="30">
        <f t="shared" si="8"/>
        <v>-0.80313982380199322</v>
      </c>
      <c r="J59" s="30">
        <f t="shared" si="8"/>
        <v>0.12153768265228171</v>
      </c>
      <c r="K59" s="30">
        <f t="shared" si="8"/>
        <v>-0.60722154814540996</v>
      </c>
      <c r="L59" s="30">
        <f t="shared" si="8"/>
        <v>-0.52361329143740909</v>
      </c>
      <c r="M59" s="30">
        <f t="shared" si="8"/>
        <v>0.95984827336146172</v>
      </c>
      <c r="N59" s="3"/>
    </row>
    <row r="60" spans="3:14" x14ac:dyDescent="0.15">
      <c r="C60" s="4"/>
      <c r="E60" s="3" t="s">
        <v>92</v>
      </c>
      <c r="F60" s="30"/>
      <c r="G60" s="30"/>
      <c r="H60" s="30">
        <f>CORREL($G$50:$G$57,H50:H57)</f>
        <v>-0.53774292572560001</v>
      </c>
      <c r="I60" s="30">
        <f>CORREL($G$50:$G$57,I50:I57)</f>
        <v>-0.56138691303050114</v>
      </c>
      <c r="J60" s="30">
        <f>CORREL($G$50:$G$57,J50:J57)</f>
        <v>7.368757949072427E-2</v>
      </c>
      <c r="K60" s="30">
        <f>CORREL($G$50:$G$57,K50:K57)</f>
        <v>-0.28681613981658088</v>
      </c>
      <c r="L60" s="30">
        <f>CORREL($G$50:$G$57,L50:L57)</f>
        <v>-0.63281896588440323</v>
      </c>
      <c r="M60" s="30">
        <f>CORREL($G$50:$G$57,M50:M57)</f>
        <v>0.84425026404689996</v>
      </c>
      <c r="N60" s="3"/>
    </row>
    <row r="61" spans="3:14" x14ac:dyDescent="0.15">
      <c r="C61" s="4"/>
      <c r="E61" s="3" t="s">
        <v>91</v>
      </c>
      <c r="F61" s="30"/>
      <c r="G61" s="30"/>
      <c r="H61" s="30"/>
      <c r="I61" s="30">
        <f>CORREL($H$50:$H$57,I50:I57)</f>
        <v>0.28530739313586512</v>
      </c>
      <c r="J61" s="30">
        <f>CORREL($H$50:$H$57,J50:J57)</f>
        <v>0.36296820707817917</v>
      </c>
      <c r="K61" s="30">
        <f>CORREL($H$50:$H$57,K50:K57)</f>
        <v>7.3209460607800786E-2</v>
      </c>
      <c r="L61" s="30">
        <f>CORREL($H$50:$H$57,L50:L57)</f>
        <v>0.10569389787555801</v>
      </c>
      <c r="M61" s="30">
        <f>CORREL($H$50:$H$57,M50:M57)</f>
        <v>-0.41744482870133426</v>
      </c>
      <c r="N61" s="3"/>
    </row>
    <row r="62" spans="3:14" x14ac:dyDescent="0.15">
      <c r="C62" s="4"/>
      <c r="E62" s="3" t="s">
        <v>123</v>
      </c>
      <c r="F62" s="30"/>
      <c r="G62" s="30"/>
      <c r="H62" s="30"/>
      <c r="I62" s="71"/>
      <c r="J62" s="30">
        <f>CORREL($I$50:$I$57,J50:J57)</f>
        <v>-0.40954690204245953</v>
      </c>
      <c r="K62" s="30">
        <f>CORREL($I$50:$I$57,K50:K57)</f>
        <v>0.93861092291543913</v>
      </c>
      <c r="L62" s="30">
        <f>CORREL($I$50:$I$57,L50:L57)</f>
        <v>0.73538188620098544</v>
      </c>
      <c r="M62" s="30">
        <f>CORREL($I$50:$I$57,M50:M57)</f>
        <v>-0.79569043921193627</v>
      </c>
      <c r="N62" s="3"/>
    </row>
    <row r="63" spans="3:14" x14ac:dyDescent="0.15">
      <c r="C63" s="4"/>
      <c r="E63" s="3" t="s">
        <v>124</v>
      </c>
      <c r="F63" s="30"/>
      <c r="G63" s="30"/>
      <c r="H63" s="30"/>
      <c r="I63" s="71"/>
      <c r="J63" s="71"/>
      <c r="K63" s="30">
        <f>CORREL($J$50:$J$57,K50:K57)</f>
        <v>-0.53150623761397975</v>
      </c>
      <c r="L63" s="30">
        <f>CORREL($J$50:$J$57,L50:L57)</f>
        <v>-0.42596624884887163</v>
      </c>
      <c r="M63" s="30">
        <f>CORREL($J$50:$J$57,M50:M57)</f>
        <v>0.13622846157893434</v>
      </c>
      <c r="N63" s="3"/>
    </row>
    <row r="64" spans="3:14" x14ac:dyDescent="0.15">
      <c r="C64" s="4"/>
      <c r="E64" s="133" t="s">
        <v>125</v>
      </c>
      <c r="L64" s="30">
        <f>CORREL($K$50:$K$57,L50:L57)</f>
        <v>0.70859851268155938</v>
      </c>
      <c r="M64" s="30">
        <f>CORREL($K$50:$K$57,M50:M57)</f>
        <v>-0.55691236619320894</v>
      </c>
      <c r="N64" s="3"/>
    </row>
    <row r="65" spans="3:14" x14ac:dyDescent="0.15">
      <c r="C65" s="4"/>
      <c r="E65" s="133" t="s">
        <v>90</v>
      </c>
      <c r="L65" s="3"/>
      <c r="M65" s="30">
        <f>CORREL(L50:L57,M50:M57)</f>
        <v>-0.54527900601823631</v>
      </c>
      <c r="N65" s="3"/>
    </row>
    <row r="66" spans="3:14" x14ac:dyDescent="0.15">
      <c r="C66" s="4"/>
      <c r="D66" s="4"/>
      <c r="E66" s="133"/>
      <c r="L66" s="3"/>
      <c r="M66" s="3"/>
      <c r="N66" s="3"/>
    </row>
    <row r="67" spans="3:14" x14ac:dyDescent="0.15">
      <c r="C67" s="4"/>
      <c r="D67" s="4"/>
      <c r="E67" s="5"/>
      <c r="L67" s="3"/>
      <c r="M67" s="3"/>
      <c r="N67" s="3"/>
    </row>
    <row r="68" spans="3:14" x14ac:dyDescent="0.15">
      <c r="C68" s="4"/>
      <c r="D68" s="4"/>
      <c r="E68" s="5"/>
      <c r="L68" s="3"/>
      <c r="M68" s="3"/>
      <c r="N68" s="3"/>
    </row>
    <row r="69" spans="3:14" x14ac:dyDescent="0.15">
      <c r="C69" s="4"/>
      <c r="D69" s="4"/>
      <c r="E69" s="5"/>
      <c r="L69" s="3"/>
      <c r="M69" s="3"/>
      <c r="N69" s="3"/>
    </row>
    <row r="70" spans="3:14" x14ac:dyDescent="0.15">
      <c r="C70" s="4"/>
      <c r="D70" s="4"/>
      <c r="E70" s="5"/>
      <c r="L70" s="3"/>
      <c r="M70" s="3"/>
      <c r="N70" s="3"/>
    </row>
    <row r="71" spans="3:14" x14ac:dyDescent="0.15">
      <c r="C71" s="4"/>
      <c r="D71" s="4"/>
      <c r="E71" s="5"/>
      <c r="L71" s="3"/>
      <c r="M71" s="3"/>
      <c r="N71" s="3"/>
    </row>
    <row r="72" spans="3:14" x14ac:dyDescent="0.15">
      <c r="C72" s="4"/>
      <c r="D72" s="4"/>
      <c r="E72" s="5"/>
      <c r="L72" s="3"/>
      <c r="M72" s="3"/>
      <c r="N72" s="3"/>
    </row>
    <row r="73" spans="3:14" x14ac:dyDescent="0.15">
      <c r="C73" s="4"/>
      <c r="D73" s="4"/>
      <c r="E73" s="5"/>
      <c r="L73" s="3"/>
      <c r="M73" s="3"/>
      <c r="N73" s="3"/>
    </row>
    <row r="74" spans="3:14" x14ac:dyDescent="0.15">
      <c r="C74" s="4"/>
      <c r="D74" s="4"/>
      <c r="E74" s="5"/>
      <c r="L74" s="3"/>
      <c r="M74" s="3"/>
      <c r="N74" s="3"/>
    </row>
    <row r="75" spans="3:14" x14ac:dyDescent="0.15">
      <c r="C75" s="4"/>
      <c r="D75" s="4"/>
      <c r="E75" s="5"/>
      <c r="L75" s="3"/>
      <c r="M75" s="3"/>
      <c r="N75" s="3"/>
    </row>
    <row r="76" spans="3:14" x14ac:dyDescent="0.15">
      <c r="C76" s="4"/>
      <c r="D76" s="4"/>
      <c r="E76" s="5"/>
      <c r="L76" s="3"/>
      <c r="M76" s="3"/>
      <c r="N76" s="3"/>
    </row>
    <row r="77" spans="3:14" x14ac:dyDescent="0.15">
      <c r="C77" s="4"/>
      <c r="D77" s="4"/>
      <c r="E77" s="5"/>
      <c r="L77" s="3"/>
      <c r="M77" s="3"/>
      <c r="N77" s="3"/>
    </row>
    <row r="78" spans="3:14" x14ac:dyDescent="0.15">
      <c r="C78" s="4"/>
      <c r="D78" s="4"/>
      <c r="E78" s="5"/>
      <c r="L78" s="3"/>
      <c r="M78" s="3"/>
      <c r="N78" s="3"/>
    </row>
    <row r="79" spans="3:14" x14ac:dyDescent="0.15">
      <c r="C79" s="4"/>
      <c r="D79" s="4"/>
      <c r="E79" s="5"/>
      <c r="L79" s="3"/>
      <c r="M79" s="3"/>
      <c r="N79" s="3"/>
    </row>
    <row r="80" spans="3:14" x14ac:dyDescent="0.15">
      <c r="C80" s="4"/>
      <c r="D80" s="4"/>
      <c r="E80" s="5"/>
      <c r="L80" s="3"/>
      <c r="M80" s="3"/>
      <c r="N80" s="3"/>
    </row>
    <row r="81" spans="3:11" x14ac:dyDescent="0.15">
      <c r="C81"/>
      <c r="D81"/>
      <c r="E81"/>
      <c r="F81"/>
      <c r="G81"/>
      <c r="H81"/>
      <c r="I81"/>
      <c r="J81"/>
      <c r="K81"/>
    </row>
    <row r="82" spans="3:11" x14ac:dyDescent="0.15">
      <c r="C82"/>
      <c r="D82"/>
      <c r="E82"/>
      <c r="F82"/>
      <c r="G82"/>
      <c r="H82"/>
      <c r="I82"/>
      <c r="J82"/>
      <c r="K82"/>
    </row>
  </sheetData>
  <scenarios current="0">
    <scenario name="one" count="6" user="Chun, Samuel" comment="Created by Chun, Samuel on 3/13/2018">
      <inputCells r="N20" undone="1" val="0"/>
      <inputCells r="D20" undone="1" val="0"/>
      <inputCells r="F20" undone="1" val="0"/>
      <inputCells r="J20" undone="1" val="0"/>
      <inputCells r="E20" undone="1" val="0"/>
      <inputCells r="K20" undone="1" val="0"/>
    </scenario>
  </scenarios>
  <conditionalFormatting sqref="E59:M63 L64:M64 M65">
    <cfRule type="colorScale" priority="7">
      <colorScale>
        <cfvo type="percent" val="0"/>
        <cfvo type="percent" val="100"/>
        <color rgb="FFFF7128"/>
        <color rgb="FF00B050"/>
      </colorScale>
    </cfRule>
  </conditionalFormatting>
  <conditionalFormatting sqref="G59:M65">
    <cfRule type="colorScale" priority="1">
      <colorScale>
        <cfvo type="min"/>
        <cfvo type="percentile" val="50"/>
        <cfvo type="max"/>
        <color rgb="FFF8696B"/>
        <color rgb="FFFFEB84"/>
        <color rgb="FF63BE7B"/>
      </colorScale>
    </cfRule>
    <cfRule type="colorScale" priority="3">
      <colorScale>
        <cfvo type="min"/>
        <cfvo type="percentile" val="50"/>
        <cfvo type="max"/>
        <color theme="9" tint="-0.249977111117893"/>
        <color theme="6" tint="-0.249977111117893"/>
        <color theme="9" tint="-0.249977111117893"/>
      </colorScale>
    </cfRule>
  </conditionalFormatting>
  <pageMargins left="0.75" right="0.75" top="1" bottom="1" header="0.5" footer="0.5"/>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402EF-88C0-7B47-94E5-93A07BE0FA69}">
  <dimension ref="A1:N39"/>
  <sheetViews>
    <sheetView zoomScale="140" workbookViewId="0">
      <selection activeCell="B3" sqref="B3"/>
    </sheetView>
  </sheetViews>
  <sheetFormatPr baseColWidth="10" defaultColWidth="10.83203125" defaultRowHeight="13" x14ac:dyDescent="0.15"/>
  <cols>
    <col min="1" max="1" width="10.83203125" style="3"/>
    <col min="2" max="2" width="10.5" style="3" bestFit="1" customWidth="1"/>
    <col min="3" max="3" width="9.1640625" style="3" bestFit="1" customWidth="1"/>
    <col min="4" max="4" width="9" style="3" bestFit="1" customWidth="1"/>
    <col min="5" max="5" width="9.83203125" style="3" bestFit="1" customWidth="1"/>
    <col min="6" max="6" width="9.5" style="3" bestFit="1" customWidth="1"/>
    <col min="7" max="9" width="10.83203125" style="3"/>
    <col min="10" max="10" width="7.33203125" style="3" customWidth="1"/>
    <col min="11" max="12" width="4.6640625" style="3" bestFit="1" customWidth="1"/>
    <col min="13" max="13" width="2.1640625" style="3" bestFit="1" customWidth="1"/>
    <col min="14" max="14" width="7.6640625" style="3" bestFit="1" customWidth="1"/>
    <col min="15" max="16384" width="10.83203125" style="3"/>
  </cols>
  <sheetData>
    <row r="1" spans="1:13" x14ac:dyDescent="0.15">
      <c r="A1" s="36"/>
      <c r="B1" s="59" t="s">
        <v>40</v>
      </c>
      <c r="E1" s="36"/>
      <c r="F1" s="59" t="s">
        <v>41</v>
      </c>
      <c r="I1" s="36"/>
    </row>
    <row r="2" spans="1:13" x14ac:dyDescent="0.15">
      <c r="A2" s="43"/>
      <c r="B2" s="41" t="s">
        <v>74</v>
      </c>
      <c r="C2" s="41" t="s">
        <v>70</v>
      </c>
      <c r="D2" s="41" t="s">
        <v>26</v>
      </c>
      <c r="E2" s="43" t="s">
        <v>80</v>
      </c>
      <c r="F2" s="41" t="s">
        <v>73</v>
      </c>
      <c r="G2" s="41" t="s">
        <v>79</v>
      </c>
      <c r="H2" s="41" t="s">
        <v>24</v>
      </c>
      <c r="I2" s="32" t="s">
        <v>53</v>
      </c>
    </row>
    <row r="3" spans="1:13" x14ac:dyDescent="0.15">
      <c r="A3" s="33" t="s">
        <v>0</v>
      </c>
      <c r="B3" s="34">
        <v>504</v>
      </c>
      <c r="C3" s="35">
        <v>85</v>
      </c>
      <c r="D3" s="34">
        <v>1120</v>
      </c>
      <c r="E3" s="36">
        <v>31</v>
      </c>
      <c r="F3" s="37">
        <v>535.86</v>
      </c>
      <c r="G3" s="35">
        <v>1840</v>
      </c>
      <c r="H3" s="34">
        <v>205</v>
      </c>
      <c r="I3" s="38">
        <v>0.40674603174603174</v>
      </c>
    </row>
    <row r="4" spans="1:13" x14ac:dyDescent="0.15">
      <c r="A4" s="33" t="s">
        <v>1</v>
      </c>
      <c r="B4" s="3">
        <v>525</v>
      </c>
      <c r="C4" s="37">
        <v>77.599999999999994</v>
      </c>
      <c r="D4" s="3">
        <v>1350</v>
      </c>
      <c r="E4" s="36">
        <v>15</v>
      </c>
      <c r="F4" s="37">
        <v>437.43999999999994</v>
      </c>
      <c r="G4" s="37">
        <v>1600</v>
      </c>
      <c r="H4" s="3">
        <v>310</v>
      </c>
      <c r="I4" s="38">
        <v>0.59047619047619049</v>
      </c>
    </row>
    <row r="5" spans="1:13" x14ac:dyDescent="0.15">
      <c r="A5" s="33" t="s">
        <v>2</v>
      </c>
      <c r="B5" s="3">
        <v>185</v>
      </c>
      <c r="C5" s="37">
        <v>60.6</v>
      </c>
      <c r="D5" s="3">
        <v>1470</v>
      </c>
      <c r="E5" s="36">
        <v>5</v>
      </c>
      <c r="F5" s="37">
        <v>477.48</v>
      </c>
      <c r="G5" s="37">
        <v>1500</v>
      </c>
      <c r="H5" s="3">
        <v>160</v>
      </c>
      <c r="I5" s="38">
        <v>0.86486486486486491</v>
      </c>
    </row>
    <row r="6" spans="1:13" x14ac:dyDescent="0.15">
      <c r="A6" s="33" t="s">
        <v>3</v>
      </c>
      <c r="B6" s="3">
        <v>139</v>
      </c>
      <c r="C6" s="37">
        <v>61.8</v>
      </c>
      <c r="D6" s="3">
        <v>1525</v>
      </c>
      <c r="E6" s="36">
        <v>12</v>
      </c>
      <c r="F6" s="37">
        <v>388.55999999999995</v>
      </c>
      <c r="G6" s="37">
        <v>1300</v>
      </c>
      <c r="H6" s="3">
        <v>120</v>
      </c>
      <c r="I6" s="38">
        <v>0.86330935251798557</v>
      </c>
    </row>
    <row r="7" spans="1:13" x14ac:dyDescent="0.15">
      <c r="A7" s="33" t="s">
        <v>4</v>
      </c>
      <c r="B7" s="39">
        <v>358</v>
      </c>
      <c r="C7" s="37">
        <v>67.2</v>
      </c>
      <c r="D7" s="39">
        <v>1075</v>
      </c>
      <c r="E7" s="36">
        <v>8</v>
      </c>
      <c r="F7" s="37">
        <v>349.3</v>
      </c>
      <c r="G7" s="37">
        <v>1220</v>
      </c>
      <c r="H7" s="39">
        <v>220</v>
      </c>
      <c r="I7" s="38">
        <v>0.61452513966480449</v>
      </c>
    </row>
    <row r="8" spans="1:13" x14ac:dyDescent="0.15">
      <c r="A8" s="33" t="s">
        <v>5</v>
      </c>
      <c r="B8" s="3">
        <v>427</v>
      </c>
      <c r="C8" s="37">
        <v>59.4</v>
      </c>
      <c r="D8" s="3">
        <v>940</v>
      </c>
      <c r="E8" s="36">
        <v>21</v>
      </c>
      <c r="F8" s="37">
        <v>322.04000000000002</v>
      </c>
      <c r="G8" s="37">
        <v>1120</v>
      </c>
      <c r="H8" s="3">
        <v>130</v>
      </c>
      <c r="I8" s="38">
        <v>0.3044496487119438</v>
      </c>
    </row>
    <row r="9" spans="1:13" x14ac:dyDescent="0.15">
      <c r="A9" s="33" t="s">
        <v>6</v>
      </c>
      <c r="B9" s="3">
        <v>883</v>
      </c>
      <c r="C9" s="37">
        <v>54.400000000000006</v>
      </c>
      <c r="D9" s="3">
        <v>1210</v>
      </c>
      <c r="E9" s="36">
        <v>2</v>
      </c>
      <c r="F9" s="37">
        <v>246.14000000000001</v>
      </c>
      <c r="G9" s="37">
        <v>880</v>
      </c>
      <c r="H9" s="3">
        <v>307</v>
      </c>
      <c r="I9" s="38">
        <v>0.34767836919592299</v>
      </c>
    </row>
    <row r="10" spans="1:13" x14ac:dyDescent="0.15">
      <c r="A10" s="40" t="s">
        <v>25</v>
      </c>
      <c r="B10" s="41">
        <v>933</v>
      </c>
      <c r="C10" s="42">
        <v>41</v>
      </c>
      <c r="D10" s="41">
        <v>1640</v>
      </c>
      <c r="E10" s="43">
        <v>2</v>
      </c>
      <c r="F10" s="42">
        <v>164.10000000000002</v>
      </c>
      <c r="G10" s="42">
        <v>620</v>
      </c>
      <c r="H10" s="41">
        <v>458</v>
      </c>
      <c r="I10" s="32">
        <v>0.49088960342979637</v>
      </c>
    </row>
    <row r="14" spans="1:13" x14ac:dyDescent="0.15">
      <c r="A14" s="6"/>
      <c r="B14" s="5"/>
      <c r="K14" s="4"/>
      <c r="L14" s="4"/>
      <c r="M14" s="5"/>
    </row>
    <row r="15" spans="1:13" x14ac:dyDescent="0.15">
      <c r="B15" s="3" t="s">
        <v>88</v>
      </c>
      <c r="C15" s="3" t="s">
        <v>41</v>
      </c>
      <c r="E15" s="131" t="s">
        <v>87</v>
      </c>
      <c r="F15" s="131"/>
      <c r="I15" s="4"/>
      <c r="J15" s="4"/>
      <c r="K15" s="5"/>
    </row>
    <row r="16" spans="1:13" ht="14" thickBot="1" x14ac:dyDescent="0.2">
      <c r="B16" s="3" t="s">
        <v>26</v>
      </c>
      <c r="C16" s="3" t="s">
        <v>81</v>
      </c>
      <c r="D16" s="3" t="s">
        <v>79</v>
      </c>
      <c r="E16" s="56" t="s">
        <v>83</v>
      </c>
      <c r="F16" s="56" t="s">
        <v>82</v>
      </c>
      <c r="I16" s="4"/>
      <c r="J16" s="4"/>
      <c r="K16" s="5"/>
    </row>
    <row r="17" spans="1:14" ht="14" thickBot="1" x14ac:dyDescent="0.2">
      <c r="A17" s="62" t="s">
        <v>0</v>
      </c>
      <c r="B17" s="68">
        <v>1120</v>
      </c>
      <c r="C17" s="66">
        <v>8.9756097560975618</v>
      </c>
      <c r="D17" s="64">
        <v>1840</v>
      </c>
      <c r="E17" s="67">
        <f t="shared" ref="E17:E24" si="0">1000*C17/B17</f>
        <v>8.0139372822299659</v>
      </c>
      <c r="F17" s="63">
        <f t="shared" ref="F17:F24" si="1">D17/B17</f>
        <v>1.6428571428571428</v>
      </c>
      <c r="I17" s="4"/>
      <c r="J17" s="4"/>
      <c r="K17" s="5"/>
    </row>
    <row r="18" spans="1:14" x14ac:dyDescent="0.15">
      <c r="A18" s="3" t="s">
        <v>1</v>
      </c>
      <c r="B18" s="53">
        <v>1350</v>
      </c>
      <c r="C18" s="58">
        <v>5.161290322580645</v>
      </c>
      <c r="D18" s="54">
        <v>1600</v>
      </c>
      <c r="E18" s="57">
        <f t="shared" si="0"/>
        <v>3.8231780167264038</v>
      </c>
      <c r="F18" s="51">
        <f t="shared" si="1"/>
        <v>1.1851851851851851</v>
      </c>
      <c r="I18" s="4"/>
      <c r="J18" s="4"/>
      <c r="K18" s="5"/>
    </row>
    <row r="19" spans="1:14" x14ac:dyDescent="0.15">
      <c r="A19" s="3" t="s">
        <v>2</v>
      </c>
      <c r="B19" s="53">
        <v>1470</v>
      </c>
      <c r="C19" s="58">
        <v>9.375</v>
      </c>
      <c r="D19" s="54">
        <v>1500</v>
      </c>
      <c r="E19" s="57">
        <f t="shared" si="0"/>
        <v>6.3775510204081636</v>
      </c>
      <c r="F19" s="51">
        <f t="shared" si="1"/>
        <v>1.0204081632653061</v>
      </c>
      <c r="I19" s="4"/>
      <c r="J19" s="4"/>
      <c r="K19" s="5"/>
    </row>
    <row r="20" spans="1:14" x14ac:dyDescent="0.15">
      <c r="A20" s="3" t="s">
        <v>3</v>
      </c>
      <c r="B20" s="53">
        <v>1525</v>
      </c>
      <c r="C20" s="58">
        <v>10.833333333333334</v>
      </c>
      <c r="D20" s="54">
        <v>1300</v>
      </c>
      <c r="E20" s="57">
        <f t="shared" si="0"/>
        <v>7.1038251366120226</v>
      </c>
      <c r="F20" s="51">
        <f t="shared" si="1"/>
        <v>0.85245901639344257</v>
      </c>
      <c r="I20" s="4"/>
      <c r="J20" s="4"/>
      <c r="K20" s="5"/>
    </row>
    <row r="21" spans="1:14" ht="14" thickBot="1" x14ac:dyDescent="0.2">
      <c r="A21" s="3" t="s">
        <v>4</v>
      </c>
      <c r="B21" s="55">
        <v>1075</v>
      </c>
      <c r="C21" s="58">
        <v>5.5454545454545459</v>
      </c>
      <c r="D21" s="54">
        <v>1220</v>
      </c>
      <c r="E21" s="57">
        <f t="shared" si="0"/>
        <v>5.1585623678646941</v>
      </c>
      <c r="F21" s="51">
        <f t="shared" si="1"/>
        <v>1.1348837209302325</v>
      </c>
      <c r="I21" s="4"/>
      <c r="J21" s="4"/>
      <c r="K21" s="5"/>
    </row>
    <row r="22" spans="1:14" ht="14" thickBot="1" x14ac:dyDescent="0.2">
      <c r="A22" s="62" t="s">
        <v>5</v>
      </c>
      <c r="B22" s="61">
        <v>940</v>
      </c>
      <c r="C22" s="66">
        <v>8.615384615384615</v>
      </c>
      <c r="D22" s="64">
        <v>1120</v>
      </c>
      <c r="E22" s="65">
        <f t="shared" si="0"/>
        <v>9.1653027823240585</v>
      </c>
      <c r="F22" s="60">
        <f t="shared" si="1"/>
        <v>1.1914893617021276</v>
      </c>
      <c r="I22" s="4"/>
      <c r="J22" s="4"/>
      <c r="K22" s="5"/>
    </row>
    <row r="23" spans="1:14" x14ac:dyDescent="0.15">
      <c r="A23" s="3" t="s">
        <v>6</v>
      </c>
      <c r="B23" s="53">
        <v>1210</v>
      </c>
      <c r="C23" s="58">
        <v>2.8664495114006514</v>
      </c>
      <c r="D23" s="54">
        <v>880</v>
      </c>
      <c r="E23" s="57">
        <f t="shared" si="0"/>
        <v>2.3689665383476459</v>
      </c>
      <c r="F23" s="51">
        <f t="shared" si="1"/>
        <v>0.72727272727272729</v>
      </c>
      <c r="I23" s="4"/>
      <c r="J23" s="4"/>
      <c r="K23" s="5"/>
    </row>
    <row r="24" spans="1:14" x14ac:dyDescent="0.15">
      <c r="A24" s="3" t="s">
        <v>25</v>
      </c>
      <c r="B24" s="53">
        <v>1640</v>
      </c>
      <c r="C24" s="58">
        <v>1.3537117903930131</v>
      </c>
      <c r="D24" s="52">
        <v>620</v>
      </c>
      <c r="E24" s="57">
        <f t="shared" si="0"/>
        <v>0.82543401853232512</v>
      </c>
      <c r="F24" s="51">
        <f t="shared" si="1"/>
        <v>0.37804878048780488</v>
      </c>
      <c r="I24" s="4"/>
      <c r="J24" s="4"/>
      <c r="K24" s="5"/>
    </row>
    <row r="25" spans="1:14" x14ac:dyDescent="0.15">
      <c r="I25" s="4"/>
      <c r="J25" s="4"/>
      <c r="K25" s="5"/>
    </row>
    <row r="26" spans="1:14" x14ac:dyDescent="0.15">
      <c r="A26" s="6"/>
      <c r="B26" s="5"/>
      <c r="K26" s="4"/>
      <c r="L26" s="4"/>
      <c r="M26" s="5"/>
    </row>
    <row r="27" spans="1:14" x14ac:dyDescent="0.15">
      <c r="A27" s="6"/>
      <c r="B27" s="5"/>
      <c r="K27" s="4"/>
      <c r="L27" s="4"/>
      <c r="M27" s="5"/>
    </row>
    <row r="28" spans="1:14" x14ac:dyDescent="0.15">
      <c r="B28" s="3" t="s">
        <v>29</v>
      </c>
      <c r="C28" s="50">
        <f>K30</f>
        <v>0</v>
      </c>
      <c r="M28" s="5"/>
    </row>
    <row r="29" spans="1:14" x14ac:dyDescent="0.15">
      <c r="C29" s="3" t="s">
        <v>32</v>
      </c>
      <c r="D29" s="3" t="s">
        <v>72</v>
      </c>
      <c r="E29" s="3" t="s">
        <v>31</v>
      </c>
      <c r="F29" s="3" t="s">
        <v>35</v>
      </c>
      <c r="G29" s="3" t="s">
        <v>33</v>
      </c>
      <c r="H29" s="3" t="s">
        <v>34</v>
      </c>
      <c r="I29" s="3" t="s">
        <v>30</v>
      </c>
      <c r="J29" s="3" t="s">
        <v>71</v>
      </c>
      <c r="K29" s="3" t="s">
        <v>36</v>
      </c>
      <c r="M29" s="5"/>
    </row>
    <row r="30" spans="1:14" x14ac:dyDescent="0.15">
      <c r="B30" s="3" t="s">
        <v>27</v>
      </c>
      <c r="C30" s="49">
        <v>0</v>
      </c>
      <c r="D30" s="49">
        <v>0</v>
      </c>
      <c r="E30" s="49">
        <v>0</v>
      </c>
      <c r="F30" s="49">
        <v>0</v>
      </c>
      <c r="G30" s="49">
        <v>0</v>
      </c>
      <c r="H30" s="49">
        <v>0</v>
      </c>
      <c r="I30" s="49">
        <v>0</v>
      </c>
      <c r="J30" s="49">
        <v>0</v>
      </c>
      <c r="K30" s="49">
        <v>0</v>
      </c>
      <c r="M30" s="5"/>
    </row>
    <row r="31" spans="1:14" x14ac:dyDescent="0.15">
      <c r="C31" s="3">
        <v>1</v>
      </c>
      <c r="D31" s="3">
        <v>0</v>
      </c>
      <c r="M31" s="5"/>
    </row>
    <row r="32" spans="1:14" x14ac:dyDescent="0.15">
      <c r="A32" s="6"/>
      <c r="B32" s="5"/>
      <c r="L32" s="20"/>
      <c r="M32" s="5"/>
      <c r="N32" s="20"/>
    </row>
    <row r="33" spans="1:14" x14ac:dyDescent="0.15">
      <c r="A33" s="3" t="s">
        <v>40</v>
      </c>
      <c r="B33" s="3" t="s">
        <v>70</v>
      </c>
      <c r="C33" s="48">
        <v>85</v>
      </c>
      <c r="D33" s="48">
        <v>77.599999999999994</v>
      </c>
      <c r="E33" s="48">
        <v>60.6</v>
      </c>
      <c r="F33" s="48">
        <v>61.8</v>
      </c>
      <c r="G33" s="48">
        <v>67.2</v>
      </c>
      <c r="H33" s="48">
        <v>59.4</v>
      </c>
      <c r="I33" s="48">
        <v>54.400000000000006</v>
      </c>
      <c r="J33" s="48">
        <v>41</v>
      </c>
      <c r="K33" s="4"/>
      <c r="L33" s="20">
        <f>SUMPRODUCT(C33:J33,$D$52:$K$52)</f>
        <v>0</v>
      </c>
      <c r="M33" s="5" t="s">
        <v>38</v>
      </c>
      <c r="N33" s="20">
        <f>E33*$L$52</f>
        <v>0</v>
      </c>
    </row>
    <row r="34" spans="1:14" x14ac:dyDescent="0.15">
      <c r="B34" s="3" t="s">
        <v>26</v>
      </c>
      <c r="C34" s="19">
        <v>1120</v>
      </c>
      <c r="D34" s="19">
        <v>1350</v>
      </c>
      <c r="E34" s="19">
        <v>1470</v>
      </c>
      <c r="F34" s="19">
        <v>1525</v>
      </c>
      <c r="G34" s="19">
        <v>1075</v>
      </c>
      <c r="H34" s="19">
        <v>940</v>
      </c>
      <c r="I34" s="19">
        <v>1210</v>
      </c>
      <c r="J34" s="19">
        <v>1640</v>
      </c>
      <c r="K34" s="4"/>
      <c r="L34" s="20">
        <f>SUMPRODUCT(C34:J34,$D$52:$K$52)</f>
        <v>0</v>
      </c>
      <c r="M34" s="47" t="s">
        <v>38</v>
      </c>
      <c r="N34" s="20">
        <f>E34*$L$52</f>
        <v>0</v>
      </c>
    </row>
    <row r="35" spans="1:14" x14ac:dyDescent="0.15">
      <c r="A35" s="3" t="s">
        <v>41</v>
      </c>
      <c r="B35" s="3" t="s">
        <v>79</v>
      </c>
      <c r="C35" s="46">
        <v>1840</v>
      </c>
      <c r="D35" s="46">
        <v>1600</v>
      </c>
      <c r="E35" s="46">
        <v>1500</v>
      </c>
      <c r="F35" s="46">
        <v>1300</v>
      </c>
      <c r="G35" s="46">
        <v>1220</v>
      </c>
      <c r="H35" s="46">
        <v>1120</v>
      </c>
      <c r="I35" s="46">
        <v>880</v>
      </c>
      <c r="J35" s="46">
        <v>620</v>
      </c>
      <c r="K35" s="4"/>
      <c r="L35" s="20">
        <f>SUMPRODUCT(C35:J35,$D$52:$K$52)</f>
        <v>0</v>
      </c>
      <c r="M35" s="5" t="s">
        <v>39</v>
      </c>
      <c r="N35" s="20">
        <f>E35</f>
        <v>1500</v>
      </c>
    </row>
    <row r="36" spans="1:14" x14ac:dyDescent="0.15">
      <c r="A36" s="6"/>
      <c r="B36" s="3" t="s">
        <v>24</v>
      </c>
      <c r="C36" s="3">
        <v>205</v>
      </c>
      <c r="D36" s="3">
        <v>310</v>
      </c>
      <c r="E36" s="3">
        <v>160</v>
      </c>
      <c r="F36" s="3">
        <v>120</v>
      </c>
      <c r="G36" s="3">
        <v>220</v>
      </c>
      <c r="H36" s="3">
        <v>130</v>
      </c>
      <c r="I36" s="3">
        <v>307</v>
      </c>
      <c r="J36" s="3">
        <v>458</v>
      </c>
      <c r="K36" s="4"/>
      <c r="L36" s="20">
        <f>SUMPRODUCT(C36:J36,$D$52:$K$52)</f>
        <v>0</v>
      </c>
      <c r="M36" s="45" t="s">
        <v>39</v>
      </c>
      <c r="N36" s="20">
        <f>E36</f>
        <v>160</v>
      </c>
    </row>
    <row r="37" spans="1:14" x14ac:dyDescent="0.15">
      <c r="B37" s="5"/>
      <c r="K37" s="4"/>
      <c r="L37" s="4"/>
      <c r="M37" s="5"/>
    </row>
    <row r="38" spans="1:14" x14ac:dyDescent="0.15">
      <c r="A38" s="6"/>
      <c r="B38" s="3" t="s">
        <v>28</v>
      </c>
      <c r="C38" s="3">
        <v>1</v>
      </c>
      <c r="D38" s="3">
        <v>1</v>
      </c>
      <c r="E38" s="3">
        <v>1</v>
      </c>
      <c r="F38" s="3">
        <v>1</v>
      </c>
      <c r="G38" s="3">
        <v>1</v>
      </c>
      <c r="H38" s="3">
        <v>1</v>
      </c>
      <c r="I38" s="3">
        <v>1</v>
      </c>
      <c r="J38" s="3">
        <v>1</v>
      </c>
      <c r="K38" s="4"/>
      <c r="L38" s="3">
        <f>SUMPRODUCT(C38:J38,C30:J30)</f>
        <v>0</v>
      </c>
      <c r="M38" s="5" t="s">
        <v>37</v>
      </c>
      <c r="N38" s="3">
        <v>1</v>
      </c>
    </row>
    <row r="39" spans="1:14" x14ac:dyDescent="0.15">
      <c r="A39" s="6"/>
      <c r="B39" s="5"/>
      <c r="K39" s="4"/>
      <c r="L39" s="4"/>
      <c r="M39" s="5"/>
    </row>
  </sheetData>
  <mergeCells count="1">
    <mergeCell ref="E15:F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Final QN</vt:lpstr>
      <vt:lpstr>82-83 Summ</vt:lpstr>
      <vt:lpstr>82-83 Transposed</vt:lpstr>
      <vt:lpstr>Performance</vt:lpstr>
      <vt:lpstr>Input-Output</vt:lpstr>
    </vt:vector>
  </TitlesOfParts>
  <Company>Washington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Chun</dc:creator>
  <cp:lastModifiedBy>Chun, Samuel</cp:lastModifiedBy>
  <dcterms:created xsi:type="dcterms:W3CDTF">2003-02-06T16:16:10Z</dcterms:created>
  <dcterms:modified xsi:type="dcterms:W3CDTF">2024-12-07T20:22:02Z</dcterms:modified>
</cp:coreProperties>
</file>