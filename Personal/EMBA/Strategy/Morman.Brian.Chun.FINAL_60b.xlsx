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showInkAnnotation="0" autoCompressPictures="0"/>
  <mc:AlternateContent xmlns:mc="http://schemas.openxmlformats.org/markup-compatibility/2006">
    <mc:Choice Requires="x15">
      <x15ac:absPath xmlns:x15ac="http://schemas.microsoft.com/office/spreadsheetml/2010/11/ac" url="C:\Users\gz173f\Documents\Personal\EMBA\Strategy\"/>
    </mc:Choice>
  </mc:AlternateContent>
  <xr:revisionPtr revIDLastSave="0" documentId="13_ncr:1_{257CF9A8-7981-4A99-8F6E-CF1EE14D2CF0}" xr6:coauthVersionLast="47" xr6:coauthVersionMax="47" xr10:uidLastSave="{00000000-0000-0000-0000-000000000000}"/>
  <bookViews>
    <workbookView xWindow="-120" yWindow="-120" windowWidth="29040" windowHeight="15840" tabRatio="595" activeTab="3" xr2:uid="{00000000-000D-0000-FFFF-FFFF00000000}"/>
  </bookViews>
  <sheets>
    <sheet name="Exam Instructions" sheetId="5" r:id="rId1"/>
    <sheet name="Qn3 PG" sheetId="28" r:id="rId2"/>
    <sheet name="Qn4 Debit Card Use (optional)" sheetId="22" r:id="rId3"/>
    <sheet name="Qn4 Debit Card Use (optiona (2)" sheetId="29" r:id="rId4"/>
  </sheets>
  <definedNames>
    <definedName name="_xlnm.Print_Area" localSheetId="0">'Exam Instructions'!$B$1:$B$18</definedName>
    <definedName name="solver_adj" localSheetId="3" hidden="1">'Qn4 Debit Card Use (optiona (2)'!$O$4:$O$6</definedName>
    <definedName name="solver_adj" localSheetId="2" hidden="1">'Qn4 Debit Card Use (optional)'!$O$4:$O$6</definedName>
    <definedName name="solver_cvg" localSheetId="3" hidden="1">0.0001</definedName>
    <definedName name="solver_cvg" localSheetId="2" hidden="1">0.0001</definedName>
    <definedName name="solver_drv" localSheetId="3" hidden="1">2</definedName>
    <definedName name="solver_drv" localSheetId="2" hidden="1">2</definedName>
    <definedName name="solver_eng" localSheetId="3" hidden="1">3</definedName>
    <definedName name="solver_eng" localSheetId="2" hidden="1">3</definedName>
    <definedName name="solver_est" localSheetId="3" hidden="1">1</definedName>
    <definedName name="solver_est" localSheetId="2" hidden="1">1</definedName>
    <definedName name="solver_itr" localSheetId="3" hidden="1">2147483647</definedName>
    <definedName name="solver_itr" localSheetId="2" hidden="1">2147483647</definedName>
    <definedName name="solver_lhs1" localSheetId="3" hidden="1">'Qn4 Debit Card Use (optiona (2)'!$O$4</definedName>
    <definedName name="solver_lhs1" localSheetId="2" hidden="1">'Qn4 Debit Card Use (optional)'!$O$4</definedName>
    <definedName name="solver_lhs2" localSheetId="3" hidden="1">'Qn4 Debit Card Use (optiona (2)'!$O$4</definedName>
    <definedName name="solver_lhs2" localSheetId="2" hidden="1">'Qn4 Debit Card Use (optional)'!$O$4</definedName>
    <definedName name="solver_lhs3" localSheetId="3" hidden="1">'Qn4 Debit Card Use (optiona (2)'!$O$5</definedName>
    <definedName name="solver_lhs3" localSheetId="2" hidden="1">'Qn4 Debit Card Use (optional)'!$O$5</definedName>
    <definedName name="solver_lhs4" localSheetId="3" hidden="1">'Qn4 Debit Card Use (optiona (2)'!$O$5</definedName>
    <definedName name="solver_lhs4" localSheetId="2" hidden="1">'Qn4 Debit Card Use (optional)'!$O$5</definedName>
    <definedName name="solver_lhs5" localSheetId="3" hidden="1">'Qn4 Debit Card Use (optiona (2)'!$O$6</definedName>
    <definedName name="solver_lhs5" localSheetId="2" hidden="1">'Qn4 Debit Card Use (optional)'!$O$6</definedName>
    <definedName name="solver_lhs6" localSheetId="3" hidden="1">'Qn4 Debit Card Use (optiona (2)'!$O$6</definedName>
    <definedName name="solver_lhs6" localSheetId="2" hidden="1">'Qn4 Debit Card Use (optional)'!$O$6</definedName>
    <definedName name="solver_mip" localSheetId="3" hidden="1">2147483647</definedName>
    <definedName name="solver_mip" localSheetId="2" hidden="1">2147483647</definedName>
    <definedName name="solver_mni" localSheetId="3" hidden="1">30</definedName>
    <definedName name="solver_mni" localSheetId="2" hidden="1">30</definedName>
    <definedName name="solver_mrt" localSheetId="3" hidden="1">0.075</definedName>
    <definedName name="solver_mrt" localSheetId="2" hidden="1">0.075</definedName>
    <definedName name="solver_msl" localSheetId="3" hidden="1">2</definedName>
    <definedName name="solver_msl" localSheetId="2" hidden="1">2</definedName>
    <definedName name="solver_neg" localSheetId="3" hidden="1">1</definedName>
    <definedName name="solver_neg" localSheetId="2" hidden="1">1</definedName>
    <definedName name="solver_nod" localSheetId="3" hidden="1">2147483647</definedName>
    <definedName name="solver_nod" localSheetId="2" hidden="1">2147483647</definedName>
    <definedName name="solver_num" localSheetId="3" hidden="1">6</definedName>
    <definedName name="solver_num" localSheetId="2" hidden="1">6</definedName>
    <definedName name="solver_nwt" localSheetId="3" hidden="1">1</definedName>
    <definedName name="solver_nwt" localSheetId="2" hidden="1">1</definedName>
    <definedName name="solver_opt" localSheetId="3" hidden="1">'Qn4 Debit Card Use (optiona (2)'!$O$12</definedName>
    <definedName name="solver_opt" localSheetId="2" hidden="1">'Qn4 Debit Card Use (optional)'!$O$12</definedName>
    <definedName name="solver_pre" localSheetId="3" hidden="1">0.000001</definedName>
    <definedName name="solver_pre" localSheetId="2" hidden="1">0.000001</definedName>
    <definedName name="solver_rbv" localSheetId="3" hidden="1">2</definedName>
    <definedName name="solver_rbv" localSheetId="2" hidden="1">2</definedName>
    <definedName name="solver_rel1" localSheetId="3" hidden="1">1</definedName>
    <definedName name="solver_rel1" localSheetId="2" hidden="1">1</definedName>
    <definedName name="solver_rel2" localSheetId="3" hidden="1">3</definedName>
    <definedName name="solver_rel2" localSheetId="2" hidden="1">3</definedName>
    <definedName name="solver_rel3" localSheetId="3" hidden="1">1</definedName>
    <definedName name="solver_rel3" localSheetId="2" hidden="1">1</definedName>
    <definedName name="solver_rel4" localSheetId="3" hidden="1">3</definedName>
    <definedName name="solver_rel4" localSheetId="2" hidden="1">3</definedName>
    <definedName name="solver_rel5" localSheetId="3" hidden="1">1</definedName>
    <definedName name="solver_rel5" localSheetId="2" hidden="1">1</definedName>
    <definedName name="solver_rel6" localSheetId="3" hidden="1">3</definedName>
    <definedName name="solver_rel6" localSheetId="2" hidden="1">3</definedName>
    <definedName name="solver_rhs1" localSheetId="3" hidden="1">1</definedName>
    <definedName name="solver_rhs1" localSheetId="2" hidden="1">1</definedName>
    <definedName name="solver_rhs2" localSheetId="3" hidden="1">0</definedName>
    <definedName name="solver_rhs2" localSheetId="2" hidden="1">0</definedName>
    <definedName name="solver_rhs3" localSheetId="3" hidden="1">1</definedName>
    <definedName name="solver_rhs3" localSheetId="2" hidden="1">1</definedName>
    <definedName name="solver_rhs4" localSheetId="3" hidden="1">0</definedName>
    <definedName name="solver_rhs4" localSheetId="2" hidden="1">0</definedName>
    <definedName name="solver_rhs5" localSheetId="3" hidden="1">1</definedName>
    <definedName name="solver_rhs5" localSheetId="2" hidden="1">1</definedName>
    <definedName name="solver_rhs6" localSheetId="3" hidden="1">0</definedName>
    <definedName name="solver_rhs6" localSheetId="2" hidden="1">0</definedName>
    <definedName name="solver_rlx" localSheetId="3" hidden="1">2</definedName>
    <definedName name="solver_rlx" localSheetId="2" hidden="1">2</definedName>
    <definedName name="solver_rsd" localSheetId="3" hidden="1">0</definedName>
    <definedName name="solver_rsd" localSheetId="2" hidden="1">0</definedName>
    <definedName name="solver_scl" localSheetId="3" hidden="1">2</definedName>
    <definedName name="solver_scl" localSheetId="2" hidden="1">2</definedName>
    <definedName name="solver_sho" localSheetId="3" hidden="1">2</definedName>
    <definedName name="solver_sho" localSheetId="2" hidden="1">2</definedName>
    <definedName name="solver_ssz" localSheetId="3" hidden="1">100</definedName>
    <definedName name="solver_ssz" localSheetId="2" hidden="1">100</definedName>
    <definedName name="solver_tim" localSheetId="3" hidden="1">2147483647</definedName>
    <definedName name="solver_tim" localSheetId="2" hidden="1">2147483647</definedName>
    <definedName name="solver_tol" localSheetId="3" hidden="1">0.01</definedName>
    <definedName name="solver_tol" localSheetId="2" hidden="1">0.01</definedName>
    <definedName name="solver_typ" localSheetId="3" hidden="1">2</definedName>
    <definedName name="solver_typ" localSheetId="2" hidden="1">2</definedName>
    <definedName name="solver_val" localSheetId="3" hidden="1">0</definedName>
    <definedName name="solver_val" localSheetId="2" hidden="1">0</definedName>
    <definedName name="solver_ver" localSheetId="3" hidden="1">3</definedName>
    <definedName name="solver_ver" localSheetId="2" hidden="1">3</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30" i="29" l="1" a="1"/>
  <c r="E30" i="29" s="1"/>
  <c r="H27" i="29"/>
  <c r="E27" i="29"/>
  <c r="G14" i="29"/>
  <c r="G3" i="29"/>
  <c r="G4" i="29"/>
  <c r="G5" i="29"/>
  <c r="G6" i="29"/>
  <c r="G7" i="29"/>
  <c r="G8" i="29"/>
  <c r="G9" i="29"/>
  <c r="G10" i="29"/>
  <c r="G11" i="29"/>
  <c r="G12" i="29"/>
  <c r="G13" i="29"/>
  <c r="G15" i="29"/>
  <c r="G16" i="29"/>
  <c r="G17" i="29"/>
  <c r="G18" i="29"/>
  <c r="G19" i="29"/>
  <c r="G20" i="29"/>
  <c r="G21" i="29"/>
  <c r="G22" i="29"/>
  <c r="G23" i="29"/>
  <c r="G24" i="29"/>
  <c r="G25" i="29"/>
  <c r="G26" i="29"/>
  <c r="O3" i="29"/>
  <c r="E26" i="29" s="1"/>
  <c r="G5" i="22"/>
  <c r="E6" i="22"/>
  <c r="M74" i="29"/>
  <c r="M73" i="29"/>
  <c r="M72" i="29"/>
  <c r="M71" i="29"/>
  <c r="M70" i="29"/>
  <c r="M69" i="29"/>
  <c r="M68" i="29"/>
  <c r="M67" i="29"/>
  <c r="M66" i="29"/>
  <c r="M65" i="29"/>
  <c r="M64" i="29"/>
  <c r="M63" i="29"/>
  <c r="M62" i="29"/>
  <c r="M61" i="29"/>
  <c r="M60" i="29"/>
  <c r="M59" i="29"/>
  <c r="M58" i="29"/>
  <c r="M57" i="29"/>
  <c r="M56" i="29"/>
  <c r="M55" i="29"/>
  <c r="M54" i="29"/>
  <c r="M53" i="29"/>
  <c r="M52" i="29"/>
  <c r="M51" i="29"/>
  <c r="M50" i="29"/>
  <c r="M49" i="29"/>
  <c r="M48" i="29"/>
  <c r="M47" i="29"/>
  <c r="M46" i="29"/>
  <c r="M45" i="29"/>
  <c r="M44" i="29"/>
  <c r="M43" i="29"/>
  <c r="M42" i="29"/>
  <c r="M41" i="29"/>
  <c r="M40" i="29"/>
  <c r="M39" i="29"/>
  <c r="M38" i="29"/>
  <c r="M37" i="29"/>
  <c r="M36" i="29"/>
  <c r="M35" i="29"/>
  <c r="M34" i="29"/>
  <c r="M33" i="29"/>
  <c r="M32" i="29"/>
  <c r="M31" i="29"/>
  <c r="M30" i="29"/>
  <c r="M29" i="29"/>
  <c r="M28" i="29"/>
  <c r="M27" i="29"/>
  <c r="M74" i="22"/>
  <c r="M73" i="22"/>
  <c r="M72" i="22"/>
  <c r="M71" i="22"/>
  <c r="M70" i="22"/>
  <c r="M69" i="22"/>
  <c r="M68" i="22"/>
  <c r="M67" i="22"/>
  <c r="M66" i="22"/>
  <c r="M65" i="22"/>
  <c r="M64" i="22"/>
  <c r="M63" i="22"/>
  <c r="M62" i="22"/>
  <c r="M61" i="22"/>
  <c r="M60" i="22"/>
  <c r="M59" i="22"/>
  <c r="M58" i="22"/>
  <c r="M57" i="22"/>
  <c r="M56" i="22"/>
  <c r="M55" i="22"/>
  <c r="M54" i="22"/>
  <c r="M53" i="22"/>
  <c r="M52" i="22"/>
  <c r="M51" i="22"/>
  <c r="M50" i="22"/>
  <c r="M49" i="22"/>
  <c r="M48" i="22"/>
  <c r="M47" i="22"/>
  <c r="M46" i="22"/>
  <c r="M45" i="22"/>
  <c r="M44" i="22"/>
  <c r="M43" i="22"/>
  <c r="M42" i="22"/>
  <c r="M41" i="22"/>
  <c r="M40" i="22"/>
  <c r="M39" i="22"/>
  <c r="M38" i="22"/>
  <c r="M37" i="22"/>
  <c r="M36" i="22"/>
  <c r="M35" i="22"/>
  <c r="M34" i="22"/>
  <c r="M33" i="22"/>
  <c r="M32" i="22"/>
  <c r="M31" i="22"/>
  <c r="M30" i="22"/>
  <c r="M29" i="22"/>
  <c r="M28" i="22"/>
  <c r="M27" i="22"/>
  <c r="M26" i="22"/>
  <c r="M25" i="22"/>
  <c r="M24" i="22"/>
  <c r="M23" i="22"/>
  <c r="M22" i="22"/>
  <c r="M21" i="22"/>
  <c r="M20" i="22"/>
  <c r="M19" i="22"/>
  <c r="M18" i="22"/>
  <c r="M17" i="22"/>
  <c r="M16" i="22"/>
  <c r="M15" i="22"/>
  <c r="M14" i="22"/>
  <c r="M13" i="22"/>
  <c r="M12" i="22"/>
  <c r="M11" i="22"/>
  <c r="M10" i="22"/>
  <c r="M9" i="22"/>
  <c r="M8" i="22"/>
  <c r="M7" i="22"/>
  <c r="M6" i="22"/>
  <c r="G27" i="29" l="1"/>
  <c r="O3" i="22" l="1"/>
  <c r="D256" i="28"/>
  <c r="D4" i="28"/>
  <c r="G4" i="28" s="1"/>
  <c r="D5" i="28"/>
  <c r="D6" i="28"/>
  <c r="D7" i="28"/>
  <c r="D8" i="28"/>
  <c r="D9" i="28"/>
  <c r="D10" i="28"/>
  <c r="D11" i="28"/>
  <c r="D12" i="28"/>
  <c r="D13" i="28"/>
  <c r="D14" i="28"/>
  <c r="D15" i="28"/>
  <c r="D16" i="28"/>
  <c r="D17" i="28"/>
  <c r="D18" i="28"/>
  <c r="D19" i="28"/>
  <c r="D20" i="28"/>
  <c r="D21" i="28"/>
  <c r="D22" i="28"/>
  <c r="D23" i="28"/>
  <c r="D24" i="28"/>
  <c r="D25" i="28"/>
  <c r="D26" i="28"/>
  <c r="D27" i="28"/>
  <c r="D28" i="28"/>
  <c r="D29" i="28"/>
  <c r="D30" i="28"/>
  <c r="D31" i="28"/>
  <c r="D32" i="28"/>
  <c r="D33" i="28"/>
  <c r="D34" i="28"/>
  <c r="D35" i="28"/>
  <c r="D36" i="28"/>
  <c r="D37" i="28"/>
  <c r="D38" i="28"/>
  <c r="D39" i="28"/>
  <c r="D40" i="28"/>
  <c r="D41" i="28"/>
  <c r="D42" i="28"/>
  <c r="D43" i="28"/>
  <c r="D44" i="28"/>
  <c r="D45" i="28"/>
  <c r="D46" i="28"/>
  <c r="D47" i="28"/>
  <c r="D48" i="28"/>
  <c r="D49" i="28"/>
  <c r="D50" i="28"/>
  <c r="D51" i="28"/>
  <c r="D52" i="28"/>
  <c r="D53" i="28"/>
  <c r="D54" i="28"/>
  <c r="D55" i="28"/>
  <c r="D56" i="28"/>
  <c r="D57" i="28"/>
  <c r="D58" i="28"/>
  <c r="D59" i="28"/>
  <c r="D60" i="28"/>
  <c r="D61" i="28"/>
  <c r="D62" i="28"/>
  <c r="D63" i="28"/>
  <c r="D64" i="28"/>
  <c r="D65" i="28"/>
  <c r="D66" i="28"/>
  <c r="D67" i="28"/>
  <c r="D68" i="28"/>
  <c r="D69" i="28"/>
  <c r="D70" i="28"/>
  <c r="D71" i="28"/>
  <c r="D72" i="28"/>
  <c r="D73" i="28"/>
  <c r="D74" i="28"/>
  <c r="D75" i="28"/>
  <c r="D76" i="28"/>
  <c r="D77" i="28"/>
  <c r="D78" i="28"/>
  <c r="D79" i="28"/>
  <c r="D80" i="28"/>
  <c r="D81" i="28"/>
  <c r="D82" i="28"/>
  <c r="D83" i="28"/>
  <c r="D84" i="28"/>
  <c r="D85" i="28"/>
  <c r="D86" i="28"/>
  <c r="D87" i="28"/>
  <c r="D88" i="28"/>
  <c r="D89" i="28"/>
  <c r="D90" i="28"/>
  <c r="D91" i="28"/>
  <c r="D92" i="28"/>
  <c r="D93" i="28"/>
  <c r="D94" i="28"/>
  <c r="D95" i="28"/>
  <c r="D96" i="28"/>
  <c r="D97" i="28"/>
  <c r="D98" i="28"/>
  <c r="D99" i="28"/>
  <c r="D100" i="28"/>
  <c r="D101" i="28"/>
  <c r="D102" i="28"/>
  <c r="D103" i="28"/>
  <c r="D104" i="28"/>
  <c r="D105" i="28"/>
  <c r="D106" i="28"/>
  <c r="D107" i="28"/>
  <c r="D108" i="28"/>
  <c r="D109" i="28"/>
  <c r="D110" i="28"/>
  <c r="D111" i="28"/>
  <c r="D112" i="28"/>
  <c r="D113" i="28"/>
  <c r="D114" i="28"/>
  <c r="D115" i="28"/>
  <c r="D116" i="28"/>
  <c r="D117" i="28"/>
  <c r="D118" i="28"/>
  <c r="D119" i="28"/>
  <c r="D120" i="28"/>
  <c r="D121" i="28"/>
  <c r="D122" i="28"/>
  <c r="D123" i="28"/>
  <c r="D124" i="28"/>
  <c r="D125" i="28"/>
  <c r="D126" i="28"/>
  <c r="D127" i="28"/>
  <c r="D128" i="28"/>
  <c r="D129" i="28"/>
  <c r="D130" i="28"/>
  <c r="D131" i="28"/>
  <c r="D132" i="28"/>
  <c r="D133" i="28"/>
  <c r="D134" i="28"/>
  <c r="D135" i="28"/>
  <c r="D136" i="28"/>
  <c r="D137" i="28"/>
  <c r="D138" i="28"/>
  <c r="D139" i="28"/>
  <c r="D140" i="28"/>
  <c r="D141" i="28"/>
  <c r="D142" i="28"/>
  <c r="D143" i="28"/>
  <c r="D144" i="28"/>
  <c r="D145" i="28"/>
  <c r="D146" i="28"/>
  <c r="D147" i="28"/>
  <c r="D148" i="28"/>
  <c r="D149" i="28"/>
  <c r="D150" i="28"/>
  <c r="D151" i="28"/>
  <c r="D152" i="28"/>
  <c r="D153" i="28"/>
  <c r="D154" i="28"/>
  <c r="D155" i="28"/>
  <c r="D156" i="28"/>
  <c r="D157" i="28"/>
  <c r="D158" i="28"/>
  <c r="D159" i="28"/>
  <c r="D160" i="28"/>
  <c r="D161" i="28"/>
  <c r="D162" i="28"/>
  <c r="D163" i="28"/>
  <c r="D164" i="28"/>
  <c r="D165" i="28"/>
  <c r="D166" i="28"/>
  <c r="D167" i="28"/>
  <c r="D168" i="28"/>
  <c r="D169" i="28"/>
  <c r="D170" i="28"/>
  <c r="D171" i="28"/>
  <c r="D172" i="28"/>
  <c r="D173" i="28"/>
  <c r="D174" i="28"/>
  <c r="D175" i="28"/>
  <c r="D176" i="28"/>
  <c r="D177" i="28"/>
  <c r="D178" i="28"/>
  <c r="D179" i="28"/>
  <c r="D180" i="28"/>
  <c r="D181" i="28"/>
  <c r="D182" i="28"/>
  <c r="D183" i="28"/>
  <c r="D184" i="28"/>
  <c r="D185" i="28"/>
  <c r="D186" i="28"/>
  <c r="D187" i="28"/>
  <c r="D188" i="28"/>
  <c r="D189" i="28"/>
  <c r="D190" i="28"/>
  <c r="D191" i="28"/>
  <c r="D192" i="28"/>
  <c r="D193" i="28"/>
  <c r="D194" i="28"/>
  <c r="D195" i="28"/>
  <c r="D196" i="28"/>
  <c r="D197" i="28"/>
  <c r="D198" i="28"/>
  <c r="D199" i="28"/>
  <c r="D200" i="28"/>
  <c r="D201" i="28"/>
  <c r="D202" i="28"/>
  <c r="D203" i="28"/>
  <c r="D204" i="28"/>
  <c r="D205" i="28"/>
  <c r="D206" i="28"/>
  <c r="D207" i="28"/>
  <c r="D208" i="28"/>
  <c r="D209" i="28"/>
  <c r="D210" i="28"/>
  <c r="D211" i="28"/>
  <c r="D212" i="28"/>
  <c r="D213" i="28"/>
  <c r="D214" i="28"/>
  <c r="D215" i="28"/>
  <c r="D216" i="28"/>
  <c r="D217" i="28"/>
  <c r="D218" i="28"/>
  <c r="D219" i="28"/>
  <c r="D220" i="28"/>
  <c r="D221" i="28"/>
  <c r="D222" i="28"/>
  <c r="D223" i="28"/>
  <c r="D224" i="28"/>
  <c r="D225" i="28"/>
  <c r="D226" i="28"/>
  <c r="D227" i="28"/>
  <c r="D228" i="28"/>
  <c r="D229" i="28"/>
  <c r="D230" i="28"/>
  <c r="D231" i="28"/>
  <c r="D232" i="28"/>
  <c r="D233" i="28"/>
  <c r="D234" i="28"/>
  <c r="D235" i="28"/>
  <c r="D236" i="28"/>
  <c r="D237" i="28"/>
  <c r="D238" i="28"/>
  <c r="D239" i="28"/>
  <c r="D240" i="28"/>
  <c r="D241" i="28"/>
  <c r="D242" i="28"/>
  <c r="D243" i="28"/>
  <c r="D244" i="28"/>
  <c r="D245" i="28"/>
  <c r="D246" i="28"/>
  <c r="D247" i="28"/>
  <c r="D248" i="28"/>
  <c r="D249" i="28"/>
  <c r="D250" i="28"/>
  <c r="D251" i="28"/>
  <c r="D252" i="28"/>
  <c r="D253" i="28"/>
  <c r="D254" i="28"/>
  <c r="D255" i="28"/>
  <c r="D257" i="28"/>
  <c r="D258" i="28"/>
  <c r="D259" i="28"/>
  <c r="D260" i="28"/>
  <c r="D261" i="28"/>
  <c r="D262" i="28"/>
  <c r="D263" i="28"/>
  <c r="G3" i="22" l="1"/>
  <c r="G4" i="22"/>
  <c r="E4" i="28"/>
  <c r="E6" i="28" s="1"/>
  <c r="C264" i="28" s="1"/>
  <c r="C265" i="28" s="1"/>
  <c r="C266" i="28" s="1"/>
  <c r="C267" i="28" s="1"/>
  <c r="C268" i="28" s="1"/>
  <c r="F4" i="28"/>
  <c r="H6" i="22" l="1"/>
  <c r="L6" i="22" s="1"/>
  <c r="C269" i="28"/>
  <c r="C270" i="28" s="1"/>
  <c r="C271" i="28" s="1"/>
  <c r="C272" i="28" s="1"/>
  <c r="C273" i="28" s="1"/>
  <c r="C274" i="28" s="1"/>
  <c r="C275" i="28" s="1"/>
  <c r="C276" i="28" s="1"/>
  <c r="G6" i="22" l="1"/>
  <c r="F6" i="22"/>
  <c r="H7" i="22" s="1"/>
  <c r="I6" i="22"/>
  <c r="C277" i="28"/>
  <c r="C278" i="28" s="1"/>
  <c r="C279" i="28" s="1"/>
  <c r="C280" i="28" s="1"/>
  <c r="C281" i="28" s="1"/>
  <c r="C282" i="28" s="1"/>
  <c r="C283" i="28" s="1"/>
  <c r="C284" i="28" s="1"/>
  <c r="C285" i="28" s="1"/>
  <c r="C286" i="28" s="1"/>
  <c r="C287" i="28" s="1"/>
  <c r="C288" i="28" s="1"/>
  <c r="C291" i="28" s="1"/>
  <c r="L7" i="22" l="1"/>
  <c r="I7" i="22"/>
  <c r="E7" i="22"/>
  <c r="K6" i="22"/>
  <c r="J6" i="22"/>
  <c r="F291" i="28"/>
  <c r="F294" i="28"/>
  <c r="F296" i="28"/>
  <c r="F7" i="22" l="1"/>
  <c r="H8" i="22" s="1"/>
  <c r="G7" i="22"/>
  <c r="K7" i="22"/>
  <c r="J7" i="22"/>
  <c r="F295" i="28"/>
  <c r="F292" i="28"/>
  <c r="F297" i="28"/>
  <c r="F293" i="28"/>
  <c r="F298" i="28"/>
  <c r="I8" i="22" l="1"/>
  <c r="L8" i="22"/>
  <c r="E8" i="22"/>
  <c r="F27" i="29" l="1"/>
  <c r="F8" i="22"/>
  <c r="H9" i="22" s="1"/>
  <c r="G8" i="22"/>
  <c r="K8" i="22"/>
  <c r="J8" i="22"/>
  <c r="E28" i="29" l="1"/>
  <c r="F28" i="29" s="1"/>
  <c r="E29" i="29" s="1"/>
  <c r="H28" i="29"/>
  <c r="E9" i="22"/>
  <c r="G9" i="22" s="1"/>
  <c r="L9" i="22"/>
  <c r="I9" i="22"/>
  <c r="G29" i="29" l="1"/>
  <c r="G28" i="29"/>
  <c r="H29" i="29"/>
  <c r="F29" i="29"/>
  <c r="F9" i="22"/>
  <c r="H10" i="22" s="1"/>
  <c r="L10" i="22" s="1"/>
  <c r="K9" i="22"/>
  <c r="J9" i="22"/>
  <c r="H30" i="29" l="1"/>
  <c r="G30" i="29"/>
  <c r="F30" i="29"/>
  <c r="E31" i="29" s="1"/>
  <c r="I10" i="22"/>
  <c r="K10" i="22" s="1"/>
  <c r="E10" i="22"/>
  <c r="H31" i="29" l="1"/>
  <c r="G31" i="29"/>
  <c r="F31" i="29"/>
  <c r="E32" i="29" s="1"/>
  <c r="J10" i="22"/>
  <c r="G10" i="22"/>
  <c r="F10" i="22"/>
  <c r="H32" i="29" l="1"/>
  <c r="G32" i="29"/>
  <c r="F32" i="29"/>
  <c r="E33" i="29" s="1"/>
  <c r="H11" i="22"/>
  <c r="E11" i="22"/>
  <c r="G33" i="29" l="1"/>
  <c r="H33" i="29"/>
  <c r="F33" i="29"/>
  <c r="E34" i="29" s="1"/>
  <c r="F11" i="22"/>
  <c r="G11" i="22"/>
  <c r="L11" i="22"/>
  <c r="I11" i="22"/>
  <c r="H34" i="29" l="1"/>
  <c r="G34" i="29"/>
  <c r="F34" i="29"/>
  <c r="E35" i="29" s="1"/>
  <c r="J11" i="22"/>
  <c r="K11" i="22"/>
  <c r="H12" i="22"/>
  <c r="E12" i="22"/>
  <c r="G35" i="29" l="1"/>
  <c r="H35" i="29"/>
  <c r="F35" i="29"/>
  <c r="E36" i="29" s="1"/>
  <c r="G12" i="22"/>
  <c r="F12" i="22"/>
  <c r="L12" i="22"/>
  <c r="I12" i="22"/>
  <c r="H36" i="29" l="1"/>
  <c r="G36" i="29"/>
  <c r="F36" i="29"/>
  <c r="E37" i="29" s="1"/>
  <c r="K12" i="22"/>
  <c r="J12" i="22"/>
  <c r="E13" i="22"/>
  <c r="H13" i="22"/>
  <c r="H37" i="29" l="1"/>
  <c r="G37" i="29"/>
  <c r="F37" i="29"/>
  <c r="E38" i="29" s="1"/>
  <c r="I13" i="22"/>
  <c r="L13" i="22"/>
  <c r="G13" i="22"/>
  <c r="F13" i="22"/>
  <c r="H14" i="22" s="1"/>
  <c r="H38" i="29" l="1"/>
  <c r="G38" i="29"/>
  <c r="F38" i="29"/>
  <c r="E39" i="29" s="1"/>
  <c r="E14" i="22"/>
  <c r="G14" i="22" s="1"/>
  <c r="I14" i="22"/>
  <c r="L14" i="22"/>
  <c r="J13" i="22"/>
  <c r="K13" i="22"/>
  <c r="H39" i="29" l="1"/>
  <c r="G39" i="29"/>
  <c r="F39" i="29"/>
  <c r="E40" i="29" s="1"/>
  <c r="F14" i="22"/>
  <c r="H15" i="22" s="1"/>
  <c r="I15" i="22" s="1"/>
  <c r="J14" i="22"/>
  <c r="K14" i="22"/>
  <c r="H40" i="29" l="1"/>
  <c r="G40" i="29"/>
  <c r="F40" i="29"/>
  <c r="E41" i="29" s="1"/>
  <c r="L15" i="22"/>
  <c r="E15" i="22"/>
  <c r="J15" i="22"/>
  <c r="K15" i="22"/>
  <c r="H41" i="29" l="1"/>
  <c r="G41" i="29"/>
  <c r="F41" i="29"/>
  <c r="E42" i="29" s="1"/>
  <c r="F15" i="22"/>
  <c r="G15" i="22"/>
  <c r="H42" i="29" l="1"/>
  <c r="G42" i="29"/>
  <c r="F42" i="29"/>
  <c r="E43" i="29" s="1"/>
  <c r="H16" i="22"/>
  <c r="E16" i="22"/>
  <c r="G43" i="29" l="1"/>
  <c r="H43" i="29"/>
  <c r="F43" i="29"/>
  <c r="E44" i="29" s="1"/>
  <c r="G16" i="22"/>
  <c r="F16" i="22"/>
  <c r="L16" i="22"/>
  <c r="I16" i="22"/>
  <c r="H44" i="29" l="1"/>
  <c r="G44" i="29"/>
  <c r="F44" i="29"/>
  <c r="E45" i="29" s="1"/>
  <c r="J16" i="22"/>
  <c r="K16" i="22"/>
  <c r="E17" i="22"/>
  <c r="H17" i="22"/>
  <c r="H45" i="29" l="1"/>
  <c r="G45" i="29"/>
  <c r="F45" i="29"/>
  <c r="E46" i="29" s="1"/>
  <c r="I17" i="22"/>
  <c r="L17" i="22"/>
  <c r="G17" i="22"/>
  <c r="F17" i="22"/>
  <c r="H18" i="22" s="1"/>
  <c r="G46" i="29" l="1"/>
  <c r="H46" i="29"/>
  <c r="F46" i="29"/>
  <c r="E47" i="29" s="1"/>
  <c r="E18" i="22"/>
  <c r="F18" i="22" s="1"/>
  <c r="L18" i="22"/>
  <c r="I18" i="22"/>
  <c r="J17" i="22"/>
  <c r="K17" i="22"/>
  <c r="G47" i="29" l="1"/>
  <c r="H47" i="29"/>
  <c r="F47" i="29"/>
  <c r="E48" i="29" s="1"/>
  <c r="G18" i="22"/>
  <c r="H19" i="22"/>
  <c r="L19" i="22" s="1"/>
  <c r="E19" i="22"/>
  <c r="F19" i="22" s="1"/>
  <c r="E20" i="22" s="1"/>
  <c r="K18" i="22"/>
  <c r="J18" i="22"/>
  <c r="H48" i="29" l="1"/>
  <c r="G48" i="29"/>
  <c r="F48" i="29"/>
  <c r="E49" i="29" s="1"/>
  <c r="I19" i="22"/>
  <c r="G19" i="22"/>
  <c r="H20" i="22"/>
  <c r="J19" i="22"/>
  <c r="K19" i="22"/>
  <c r="L20" i="22"/>
  <c r="I20" i="22"/>
  <c r="G20" i="22"/>
  <c r="F20" i="22"/>
  <c r="G49" i="29" l="1"/>
  <c r="H49" i="29"/>
  <c r="F49" i="29"/>
  <c r="E50" i="29" s="1"/>
  <c r="L28" i="29"/>
  <c r="I28" i="29"/>
  <c r="L27" i="29"/>
  <c r="I27" i="29"/>
  <c r="H21" i="22"/>
  <c r="E21" i="22"/>
  <c r="K20" i="22"/>
  <c r="J20" i="22"/>
  <c r="H50" i="29" l="1"/>
  <c r="G50" i="29"/>
  <c r="F50" i="29"/>
  <c r="E51" i="29" s="1"/>
  <c r="K28" i="29"/>
  <c r="J28" i="29"/>
  <c r="J27" i="29"/>
  <c r="K27" i="29"/>
  <c r="L29" i="29"/>
  <c r="I29" i="29"/>
  <c r="G21" i="22"/>
  <c r="F21" i="22"/>
  <c r="L21" i="22"/>
  <c r="I21" i="22"/>
  <c r="H51" i="29" l="1"/>
  <c r="G51" i="29"/>
  <c r="F51" i="29"/>
  <c r="E52" i="29" s="1"/>
  <c r="K29" i="29"/>
  <c r="J29" i="29"/>
  <c r="K21" i="22"/>
  <c r="J21" i="22"/>
  <c r="H22" i="22"/>
  <c r="E22" i="22"/>
  <c r="H52" i="29" l="1"/>
  <c r="G52" i="29"/>
  <c r="F52" i="29"/>
  <c r="E53" i="29" s="1"/>
  <c r="I30" i="29"/>
  <c r="L30" i="29"/>
  <c r="I31" i="29"/>
  <c r="L31" i="29"/>
  <c r="L22" i="22"/>
  <c r="I22" i="22"/>
  <c r="G22" i="22"/>
  <c r="F22" i="22"/>
  <c r="H23" i="22" s="1"/>
  <c r="G53" i="29" l="1"/>
  <c r="H53" i="29"/>
  <c r="F53" i="29"/>
  <c r="E54" i="29" s="1"/>
  <c r="I32" i="29"/>
  <c r="L32" i="29"/>
  <c r="K31" i="29"/>
  <c r="J31" i="29"/>
  <c r="K30" i="29"/>
  <c r="J30" i="29"/>
  <c r="E23" i="22"/>
  <c r="F23" i="22" s="1"/>
  <c r="L23" i="22"/>
  <c r="I23" i="22"/>
  <c r="K22" i="22"/>
  <c r="J22" i="22"/>
  <c r="G54" i="29" l="1"/>
  <c r="H54" i="29"/>
  <c r="F54" i="29"/>
  <c r="E55" i="29" s="1"/>
  <c r="K32" i="29"/>
  <c r="J32" i="29"/>
  <c r="G23" i="22"/>
  <c r="J23" i="22"/>
  <c r="K23" i="22"/>
  <c r="H24" i="22"/>
  <c r="E24" i="22"/>
  <c r="H55" i="29" l="1"/>
  <c r="G55" i="29"/>
  <c r="F55" i="29"/>
  <c r="E56" i="29" s="1"/>
  <c r="L33" i="29"/>
  <c r="I33" i="29"/>
  <c r="I24" i="22"/>
  <c r="L24" i="22"/>
  <c r="F24" i="22"/>
  <c r="H25" i="22" s="1"/>
  <c r="G24" i="22"/>
  <c r="H56" i="29" l="1"/>
  <c r="G56" i="29"/>
  <c r="F56" i="29"/>
  <c r="E57" i="29" s="1"/>
  <c r="L34" i="29"/>
  <c r="I34" i="29"/>
  <c r="K33" i="29"/>
  <c r="J33" i="29"/>
  <c r="L25" i="22"/>
  <c r="I25" i="22"/>
  <c r="E25" i="22"/>
  <c r="K24" i="22"/>
  <c r="J24" i="22"/>
  <c r="H57" i="29" l="1"/>
  <c r="G57" i="29"/>
  <c r="F57" i="29"/>
  <c r="E58" i="29" s="1"/>
  <c r="K34" i="29"/>
  <c r="J34" i="29"/>
  <c r="G25" i="22"/>
  <c r="F25" i="22"/>
  <c r="H26" i="22" s="1"/>
  <c r="K25" i="22"/>
  <c r="J25" i="22"/>
  <c r="G58" i="29" l="1"/>
  <c r="H58" i="29"/>
  <c r="F58" i="29"/>
  <c r="E59" i="29" s="1"/>
  <c r="I35" i="29"/>
  <c r="L35" i="29"/>
  <c r="E26" i="22"/>
  <c r="F26" i="22" s="1"/>
  <c r="I26" i="22"/>
  <c r="L26" i="22"/>
  <c r="H59" i="29" l="1"/>
  <c r="G59" i="29"/>
  <c r="F59" i="29"/>
  <c r="E60" i="29" s="1"/>
  <c r="L36" i="29"/>
  <c r="I36" i="29"/>
  <c r="K35" i="29"/>
  <c r="J35" i="29"/>
  <c r="G26" i="22"/>
  <c r="H27" i="22"/>
  <c r="I27" i="22" s="1"/>
  <c r="E27" i="22"/>
  <c r="F27" i="22" s="1"/>
  <c r="H28" i="22" s="1"/>
  <c r="K26" i="22"/>
  <c r="J26" i="22"/>
  <c r="L27" i="22"/>
  <c r="H60" i="29" l="1"/>
  <c r="G60" i="29"/>
  <c r="F60" i="29"/>
  <c r="E61" i="29" s="1"/>
  <c r="J36" i="29"/>
  <c r="K36" i="29"/>
  <c r="G27" i="22"/>
  <c r="E28" i="22"/>
  <c r="J27" i="22"/>
  <c r="K27" i="22"/>
  <c r="G28" i="22"/>
  <c r="F28" i="22"/>
  <c r="H29" i="22" s="1"/>
  <c r="L28" i="22"/>
  <c r="I28" i="22"/>
  <c r="G61" i="29" l="1"/>
  <c r="H61" i="29"/>
  <c r="F61" i="29"/>
  <c r="E62" i="29" s="1"/>
  <c r="L38" i="29"/>
  <c r="I38" i="29"/>
  <c r="L37" i="29"/>
  <c r="I37" i="29"/>
  <c r="E29" i="22"/>
  <c r="F29" i="22" s="1"/>
  <c r="I29" i="22"/>
  <c r="L29" i="22"/>
  <c r="K28" i="22"/>
  <c r="J28" i="22"/>
  <c r="G62" i="29" l="1"/>
  <c r="H62" i="29"/>
  <c r="F62" i="29"/>
  <c r="E63" i="29" s="1"/>
  <c r="K37" i="29"/>
  <c r="J37" i="29"/>
  <c r="K38" i="29"/>
  <c r="J38" i="29"/>
  <c r="G29" i="22"/>
  <c r="H30" i="22"/>
  <c r="E30" i="22"/>
  <c r="J29" i="22"/>
  <c r="K29" i="22"/>
  <c r="G63" i="29" l="1"/>
  <c r="H63" i="29"/>
  <c r="F63" i="29"/>
  <c r="E64" i="29" s="1"/>
  <c r="L39" i="29"/>
  <c r="I39" i="29"/>
  <c r="F30" i="22"/>
  <c r="H31" i="22" s="1"/>
  <c r="G30" i="22"/>
  <c r="L30" i="22"/>
  <c r="I30" i="22"/>
  <c r="G64" i="29" l="1"/>
  <c r="H64" i="29"/>
  <c r="F64" i="29"/>
  <c r="E65" i="29" s="1"/>
  <c r="I40" i="29"/>
  <c r="L40" i="29"/>
  <c r="K39" i="29"/>
  <c r="J39" i="29"/>
  <c r="E31" i="22"/>
  <c r="F31" i="22" s="1"/>
  <c r="K30" i="22"/>
  <c r="J30" i="22"/>
  <c r="L31" i="22"/>
  <c r="I31" i="22"/>
  <c r="G65" i="29" l="1"/>
  <c r="H65" i="29"/>
  <c r="F65" i="29"/>
  <c r="E66" i="29" s="1"/>
  <c r="I41" i="29"/>
  <c r="L41" i="29"/>
  <c r="J40" i="29"/>
  <c r="K40" i="29"/>
  <c r="G31" i="22"/>
  <c r="J31" i="22"/>
  <c r="K31" i="22"/>
  <c r="H32" i="22"/>
  <c r="E32" i="22"/>
  <c r="G66" i="29" l="1"/>
  <c r="H66" i="29"/>
  <c r="F66" i="29"/>
  <c r="E67" i="29" s="1"/>
  <c r="L42" i="29"/>
  <c r="I42" i="29"/>
  <c r="J41" i="29"/>
  <c r="K41" i="29"/>
  <c r="F32" i="22"/>
  <c r="H33" i="22" s="1"/>
  <c r="G32" i="22"/>
  <c r="L32" i="22"/>
  <c r="I32" i="22"/>
  <c r="H67" i="29" l="1"/>
  <c r="G67" i="29"/>
  <c r="F67" i="29"/>
  <c r="E68" i="29" s="1"/>
  <c r="K42" i="29"/>
  <c r="J42" i="29"/>
  <c r="E33" i="22"/>
  <c r="J32" i="22"/>
  <c r="K32" i="22"/>
  <c r="G33" i="22"/>
  <c r="F33" i="22"/>
  <c r="H34" i="22" s="1"/>
  <c r="L33" i="22"/>
  <c r="I33" i="22"/>
  <c r="G68" i="29" l="1"/>
  <c r="H68" i="29"/>
  <c r="F68" i="29"/>
  <c r="E69" i="29" s="1"/>
  <c r="L43" i="29"/>
  <c r="I43" i="29"/>
  <c r="L44" i="29"/>
  <c r="I44" i="29"/>
  <c r="E34" i="22"/>
  <c r="G34" i="22" s="1"/>
  <c r="J33" i="22"/>
  <c r="K33" i="22"/>
  <c r="L34" i="22"/>
  <c r="I34" i="22"/>
  <c r="G69" i="29" l="1"/>
  <c r="H69" i="29"/>
  <c r="F69" i="29"/>
  <c r="E70" i="29" s="1"/>
  <c r="J44" i="29"/>
  <c r="K44" i="29"/>
  <c r="K43" i="29"/>
  <c r="J43" i="29"/>
  <c r="F34" i="22"/>
  <c r="H35" i="22" s="1"/>
  <c r="L35" i="22" s="1"/>
  <c r="K34" i="22"/>
  <c r="J34" i="22"/>
  <c r="H70" i="29" l="1"/>
  <c r="G70" i="29"/>
  <c r="F70" i="29"/>
  <c r="E71" i="29" s="1"/>
  <c r="L46" i="29"/>
  <c r="I46" i="29"/>
  <c r="L45" i="29"/>
  <c r="I45" i="29"/>
  <c r="I35" i="22"/>
  <c r="K35" i="22" s="1"/>
  <c r="E35" i="22"/>
  <c r="F35" i="22" s="1"/>
  <c r="H36" i="22" s="1"/>
  <c r="L36" i="22" s="1"/>
  <c r="H71" i="29" l="1"/>
  <c r="G71" i="29"/>
  <c r="F71" i="29"/>
  <c r="E72" i="29" s="1"/>
  <c r="K45" i="29"/>
  <c r="J45" i="29"/>
  <c r="K46" i="29"/>
  <c r="J46" i="29"/>
  <c r="J35" i="22"/>
  <c r="G35" i="22"/>
  <c r="E36" i="22"/>
  <c r="F36" i="22" s="1"/>
  <c r="H37" i="22" s="1"/>
  <c r="I36" i="22"/>
  <c r="K36" i="22" s="1"/>
  <c r="G72" i="29" l="1"/>
  <c r="H72" i="29"/>
  <c r="F72" i="29"/>
  <c r="E73" i="29" s="1"/>
  <c r="L47" i="29"/>
  <c r="I47" i="29"/>
  <c r="L48" i="29"/>
  <c r="I48" i="29"/>
  <c r="E37" i="22"/>
  <c r="G37" i="22" s="1"/>
  <c r="G36" i="22"/>
  <c r="J36" i="22"/>
  <c r="L37" i="22"/>
  <c r="I37" i="22"/>
  <c r="G73" i="29" l="1"/>
  <c r="H73" i="29"/>
  <c r="F73" i="29"/>
  <c r="E74" i="29" s="1"/>
  <c r="G74" i="29" s="1"/>
  <c r="K48" i="29"/>
  <c r="J48" i="29"/>
  <c r="L49" i="29"/>
  <c r="I49" i="29"/>
  <c r="J47" i="29"/>
  <c r="K47" i="29"/>
  <c r="F37" i="22"/>
  <c r="H38" i="22" s="1"/>
  <c r="I38" i="22" s="1"/>
  <c r="K37" i="22"/>
  <c r="J37" i="22"/>
  <c r="H74" i="29" l="1"/>
  <c r="F74" i="29"/>
  <c r="K49" i="29"/>
  <c r="J49" i="29"/>
  <c r="L38" i="22"/>
  <c r="E38" i="22"/>
  <c r="G38" i="22" s="1"/>
  <c r="J38" i="22"/>
  <c r="K38" i="22"/>
  <c r="F38" i="22" l="1"/>
  <c r="H39" i="22" s="1"/>
  <c r="I39" i="22" s="1"/>
  <c r="I50" i="29"/>
  <c r="L50" i="29"/>
  <c r="I51" i="29"/>
  <c r="L51" i="29"/>
  <c r="L39" i="22"/>
  <c r="E39" i="22"/>
  <c r="J39" i="22"/>
  <c r="K39" i="22"/>
  <c r="K51" i="29" l="1"/>
  <c r="J51" i="29"/>
  <c r="J50" i="29"/>
  <c r="K50" i="29"/>
  <c r="G39" i="22"/>
  <c r="F39" i="22"/>
  <c r="L53" i="29" l="1"/>
  <c r="I53" i="29"/>
  <c r="I52" i="29"/>
  <c r="L52" i="29"/>
  <c r="E40" i="22"/>
  <c r="H40" i="22"/>
  <c r="K52" i="29" l="1"/>
  <c r="J52" i="29"/>
  <c r="K53" i="29"/>
  <c r="J53" i="29"/>
  <c r="L40" i="22"/>
  <c r="I40" i="22"/>
  <c r="G40" i="22"/>
  <c r="F40" i="22"/>
  <c r="L54" i="29" l="1"/>
  <c r="I54" i="29"/>
  <c r="I55" i="29"/>
  <c r="L55" i="29"/>
  <c r="H41" i="22"/>
  <c r="E41" i="22"/>
  <c r="K40" i="22"/>
  <c r="J40" i="22"/>
  <c r="I56" i="29" l="1"/>
  <c r="L56" i="29"/>
  <c r="K55" i="29"/>
  <c r="J55" i="29"/>
  <c r="K54" i="29"/>
  <c r="J54" i="29"/>
  <c r="G41" i="22"/>
  <c r="F41" i="22"/>
  <c r="L41" i="22"/>
  <c r="I41" i="22"/>
  <c r="I57" i="29" l="1"/>
  <c r="L57" i="29"/>
  <c r="K56" i="29"/>
  <c r="J56" i="29"/>
  <c r="K41" i="22"/>
  <c r="J41" i="22"/>
  <c r="H42" i="22"/>
  <c r="E42" i="22"/>
  <c r="K57" i="29" l="1"/>
  <c r="J57" i="29"/>
  <c r="G42" i="22"/>
  <c r="F42" i="22"/>
  <c r="I42" i="22"/>
  <c r="L42" i="22"/>
  <c r="L59" i="29" l="1"/>
  <c r="I59" i="29"/>
  <c r="L58" i="29"/>
  <c r="I58" i="29"/>
  <c r="K42" i="22"/>
  <c r="J42" i="22"/>
  <c r="H43" i="22"/>
  <c r="E43" i="22"/>
  <c r="K58" i="29" l="1"/>
  <c r="J58" i="29"/>
  <c r="L60" i="29"/>
  <c r="I60" i="29"/>
  <c r="K59" i="29"/>
  <c r="J59" i="29"/>
  <c r="F43" i="22"/>
  <c r="H44" i="22" s="1"/>
  <c r="G43" i="22"/>
  <c r="I43" i="22"/>
  <c r="L43" i="22"/>
  <c r="J60" i="29" l="1"/>
  <c r="K60" i="29"/>
  <c r="E44" i="22"/>
  <c r="G44" i="22" s="1"/>
  <c r="K43" i="22"/>
  <c r="J43" i="22"/>
  <c r="I44" i="22"/>
  <c r="L44" i="22"/>
  <c r="I61" i="29" l="1"/>
  <c r="L61" i="29"/>
  <c r="L62" i="29"/>
  <c r="I62" i="29"/>
  <c r="F44" i="22"/>
  <c r="E45" i="22" s="1"/>
  <c r="F45" i="22" s="1"/>
  <c r="H46" i="22" s="1"/>
  <c r="J44" i="22"/>
  <c r="K44" i="22"/>
  <c r="L63" i="29" l="1"/>
  <c r="I63" i="29"/>
  <c r="K62" i="29"/>
  <c r="J62" i="29"/>
  <c r="J61" i="29"/>
  <c r="K61" i="29"/>
  <c r="G45" i="22"/>
  <c r="H45" i="22"/>
  <c r="E46" i="22"/>
  <c r="F46" i="22" s="1"/>
  <c r="L46" i="22"/>
  <c r="I46" i="22"/>
  <c r="L64" i="29" l="1"/>
  <c r="I64" i="29"/>
  <c r="K63" i="29"/>
  <c r="J63" i="29"/>
  <c r="G46" i="22"/>
  <c r="L45" i="22"/>
  <c r="I45" i="22"/>
  <c r="K46" i="22"/>
  <c r="J46" i="22"/>
  <c r="H47" i="22"/>
  <c r="E47" i="22"/>
  <c r="L65" i="29" l="1"/>
  <c r="I65" i="29"/>
  <c r="J64" i="29"/>
  <c r="K64" i="29"/>
  <c r="J45" i="22"/>
  <c r="K45" i="22"/>
  <c r="F47" i="22"/>
  <c r="E48" i="22" s="1"/>
  <c r="G47" i="22"/>
  <c r="L47" i="22"/>
  <c r="I47" i="22"/>
  <c r="L66" i="29" l="1"/>
  <c r="I66" i="29"/>
  <c r="K65" i="29"/>
  <c r="J65" i="29"/>
  <c r="H48" i="22"/>
  <c r="J47" i="22"/>
  <c r="K47" i="22"/>
  <c r="F48" i="22"/>
  <c r="G48" i="22"/>
  <c r="I48" i="22"/>
  <c r="L48" i="22"/>
  <c r="L67" i="29" l="1"/>
  <c r="I67" i="29"/>
  <c r="J66" i="29"/>
  <c r="K66" i="29"/>
  <c r="J48" i="22"/>
  <c r="K48" i="22"/>
  <c r="H49" i="22"/>
  <c r="E49" i="22"/>
  <c r="L68" i="29" l="1"/>
  <c r="I68" i="29"/>
  <c r="J67" i="29"/>
  <c r="K67" i="29"/>
  <c r="F49" i="22"/>
  <c r="H50" i="22" s="1"/>
  <c r="G49" i="22"/>
  <c r="I49" i="22"/>
  <c r="L49" i="22"/>
  <c r="L69" i="29" l="1"/>
  <c r="I69" i="29"/>
  <c r="J68" i="29"/>
  <c r="K68" i="29"/>
  <c r="E50" i="22"/>
  <c r="J49" i="22"/>
  <c r="K49" i="22"/>
  <c r="G50" i="22"/>
  <c r="F50" i="22"/>
  <c r="E51" i="22" s="1"/>
  <c r="I50" i="22"/>
  <c r="L50" i="22"/>
  <c r="K69" i="29" l="1"/>
  <c r="J69" i="29"/>
  <c r="H51" i="22"/>
  <c r="K50" i="22"/>
  <c r="J50" i="22"/>
  <c r="L51" i="22"/>
  <c r="I51" i="22"/>
  <c r="G51" i="22"/>
  <c r="F51" i="22"/>
  <c r="I70" i="29" l="1"/>
  <c r="L70" i="29"/>
  <c r="I71" i="29"/>
  <c r="L71" i="29"/>
  <c r="K51" i="22"/>
  <c r="J51" i="22"/>
  <c r="H52" i="22"/>
  <c r="E52" i="22"/>
  <c r="K71" i="29" l="1"/>
  <c r="J71" i="29"/>
  <c r="J70" i="29"/>
  <c r="K70" i="29"/>
  <c r="F52" i="22"/>
  <c r="E53" i="22" s="1"/>
  <c r="G52" i="22"/>
  <c r="I52" i="22"/>
  <c r="L52" i="22"/>
  <c r="I72" i="29" l="1"/>
  <c r="L72" i="29"/>
  <c r="L73" i="29"/>
  <c r="I73" i="29"/>
  <c r="H53" i="22"/>
  <c r="I53" i="22" s="1"/>
  <c r="J52" i="22"/>
  <c r="K52" i="22"/>
  <c r="F53" i="22"/>
  <c r="H54" i="22" s="1"/>
  <c r="G53" i="22"/>
  <c r="K73" i="29" l="1"/>
  <c r="J73" i="29"/>
  <c r="K72" i="29"/>
  <c r="J72" i="29"/>
  <c r="L53" i="22"/>
  <c r="E54" i="22"/>
  <c r="G54" i="22" s="1"/>
  <c r="I54" i="22"/>
  <c r="L54" i="22"/>
  <c r="J53" i="22"/>
  <c r="K53" i="22"/>
  <c r="L74" i="29" l="1"/>
  <c r="O10" i="29" s="1"/>
  <c r="I74" i="29"/>
  <c r="O8" i="29" s="1"/>
  <c r="F54" i="22"/>
  <c r="H55" i="22" s="1"/>
  <c r="I55" i="22" s="1"/>
  <c r="K54" i="22"/>
  <c r="J54" i="22"/>
  <c r="K74" i="29" l="1"/>
  <c r="J74" i="29"/>
  <c r="O9" i="29" s="1"/>
  <c r="E55" i="22"/>
  <c r="L55" i="22"/>
  <c r="J55" i="22"/>
  <c r="K55" i="22"/>
  <c r="F55" i="22"/>
  <c r="H56" i="22" s="1"/>
  <c r="G55" i="22"/>
  <c r="O12" i="29" l="1"/>
  <c r="O11" i="29"/>
  <c r="E56" i="22"/>
  <c r="F56" i="22" s="1"/>
  <c r="I56" i="22"/>
  <c r="L56" i="22"/>
  <c r="G56" i="22" l="1"/>
  <c r="K56" i="22"/>
  <c r="J56" i="22"/>
  <c r="H57" i="22"/>
  <c r="E57" i="22"/>
  <c r="F57" i="22" l="1"/>
  <c r="E58" i="22" s="1"/>
  <c r="G57" i="22"/>
  <c r="H58" i="22"/>
  <c r="L57" i="22"/>
  <c r="I57" i="22"/>
  <c r="L58" i="22" l="1"/>
  <c r="I58" i="22"/>
  <c r="J57" i="22"/>
  <c r="K57" i="22"/>
  <c r="F58" i="22"/>
  <c r="E59" i="22" s="1"/>
  <c r="G58" i="22"/>
  <c r="H59" i="22" l="1"/>
  <c r="I59" i="22" s="1"/>
  <c r="G59" i="22"/>
  <c r="F59" i="22"/>
  <c r="K58" i="22"/>
  <c r="J58" i="22"/>
  <c r="L59" i="22" l="1"/>
  <c r="H60" i="22"/>
  <c r="E60" i="22"/>
  <c r="J59" i="22"/>
  <c r="K59" i="22"/>
  <c r="G60" i="22" l="1"/>
  <c r="F60" i="22"/>
  <c r="L60" i="22"/>
  <c r="I60" i="22"/>
  <c r="K60" i="22" l="1"/>
  <c r="J60" i="22"/>
  <c r="H61" i="22"/>
  <c r="E61" i="22"/>
  <c r="L61" i="22" l="1"/>
  <c r="I61" i="22"/>
  <c r="G61" i="22"/>
  <c r="F61" i="22"/>
  <c r="K61" i="22" l="1"/>
  <c r="J61" i="22"/>
  <c r="H62" i="22"/>
  <c r="E62" i="22"/>
  <c r="G62" i="22" l="1"/>
  <c r="F62" i="22"/>
  <c r="L62" i="22"/>
  <c r="I62" i="22"/>
  <c r="J62" i="22" l="1"/>
  <c r="K62" i="22"/>
  <c r="H63" i="22"/>
  <c r="E63" i="22"/>
  <c r="L63" i="22" l="1"/>
  <c r="I63" i="22"/>
  <c r="F63" i="22"/>
  <c r="E64" i="22" s="1"/>
  <c r="G63" i="22"/>
  <c r="H64" i="22" l="1"/>
  <c r="I64" i="22" s="1"/>
  <c r="G64" i="22"/>
  <c r="F64" i="22"/>
  <c r="H65" i="22" s="1"/>
  <c r="K63" i="22"/>
  <c r="J63" i="22"/>
  <c r="L64" i="22" l="1"/>
  <c r="E65" i="22"/>
  <c r="G65" i="22" s="1"/>
  <c r="L65" i="22"/>
  <c r="I65" i="22"/>
  <c r="K64" i="22"/>
  <c r="J64" i="22"/>
  <c r="F65" i="22" l="1"/>
  <c r="H66" i="22" s="1"/>
  <c r="I66" i="22" s="1"/>
  <c r="K65" i="22"/>
  <c r="J65" i="22"/>
  <c r="E66" i="22" l="1"/>
  <c r="G66" i="22" s="1"/>
  <c r="L66" i="22"/>
  <c r="J66" i="22"/>
  <c r="K66" i="22"/>
  <c r="F66" i="22" l="1"/>
  <c r="H67" i="22" s="1"/>
  <c r="L67" i="22" s="1"/>
  <c r="I67" i="22" l="1"/>
  <c r="E67" i="22"/>
  <c r="F67" i="22" s="1"/>
  <c r="J67" i="22"/>
  <c r="K67" i="22"/>
  <c r="H68" i="22"/>
  <c r="E68" i="22"/>
  <c r="G67" i="22" l="1"/>
  <c r="F68" i="22"/>
  <c r="E69" i="22" s="1"/>
  <c r="G68" i="22"/>
  <c r="L68" i="22"/>
  <c r="I68" i="22"/>
  <c r="H69" i="22" l="1"/>
  <c r="K68" i="22"/>
  <c r="J68" i="22"/>
  <c r="I69" i="22"/>
  <c r="L69" i="22"/>
  <c r="G69" i="22"/>
  <c r="F69" i="22"/>
  <c r="H70" i="22" l="1"/>
  <c r="E70" i="22"/>
  <c r="K69" i="22"/>
  <c r="J69" i="22"/>
  <c r="F70" i="22" l="1"/>
  <c r="H71" i="22" s="1"/>
  <c r="G70" i="22"/>
  <c r="E71" i="22"/>
  <c r="I70" i="22"/>
  <c r="L70" i="22"/>
  <c r="K70" i="22" l="1"/>
  <c r="J70" i="22"/>
  <c r="F71" i="22"/>
  <c r="H72" i="22" s="1"/>
  <c r="G71" i="22"/>
  <c r="I71" i="22"/>
  <c r="L71" i="22"/>
  <c r="E72" i="22" l="1"/>
  <c r="G72" i="22" s="1"/>
  <c r="K71" i="22"/>
  <c r="J71" i="22"/>
  <c r="L72" i="22"/>
  <c r="I72" i="22"/>
  <c r="F72" i="22" l="1"/>
  <c r="E73" i="22" s="1"/>
  <c r="F73" i="22" s="1"/>
  <c r="E74" i="22" s="1"/>
  <c r="K72" i="22"/>
  <c r="J72" i="22"/>
  <c r="G73" i="22" l="1"/>
  <c r="H73" i="22"/>
  <c r="I73" i="22" s="1"/>
  <c r="F74" i="22"/>
  <c r="G74" i="22"/>
  <c r="H74" i="22"/>
  <c r="K73" i="22"/>
  <c r="J73" i="22"/>
  <c r="L73" i="22" l="1"/>
  <c r="L74" i="22"/>
  <c r="I74" i="22"/>
  <c r="O10" i="22" l="1"/>
  <c r="O8" i="22"/>
  <c r="K74" i="22"/>
  <c r="J74" i="22"/>
  <c r="O9" i="22" s="1"/>
  <c r="O12" i="22" l="1"/>
  <c r="O11" i="2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<sst xmlns="http://schemas.openxmlformats.org/spreadsheetml/2006/main" count="98" uniqueCount="66">
  <si>
    <t xml:space="preserve"> </t>
  </si>
  <si>
    <t>Place your answer to question 3 on this page only</t>
  </si>
  <si>
    <t>Place your answer to question 4 on this page only</t>
  </si>
  <si>
    <t>debit(000)</t>
  </si>
  <si>
    <t>month</t>
  </si>
  <si>
    <t>year</t>
  </si>
  <si>
    <t>obs. no.</t>
  </si>
  <si>
    <t xml:space="preserve">(3 pts): HOLT WINTERS Triple Exponential Smoothing: Watch the following twelve minute video. (This is best watched in HD 1080 pixel resolution achievable through the settings button on youtube -- again, feel free to use other video/internet resources). </t>
  </si>
  <si>
    <t>https://www.youtube.com/watch?v=VLlGO_fCdX0</t>
  </si>
  <si>
    <t>Below is a text description of the method, as well.</t>
  </si>
  <si>
    <t>Date</t>
  </si>
  <si>
    <r>
      <rPr>
        <b/>
        <sz val="22"/>
        <color theme="1"/>
        <rFont val="Calibri"/>
        <family val="2"/>
      </rPr>
      <t>LP</t>
    </r>
    <r>
      <rPr>
        <sz val="22"/>
        <color theme="1"/>
        <rFont val="Calibri"/>
        <family val="2"/>
      </rPr>
      <t>: At least 1 well-addressed out of questions 1, 2, 3</t>
    </r>
  </si>
  <si>
    <r>
      <rPr>
        <b/>
        <sz val="22"/>
        <color theme="1"/>
        <rFont val="Calibri (Body)"/>
      </rPr>
      <t>P</t>
    </r>
    <r>
      <rPr>
        <sz val="22"/>
        <color theme="1"/>
        <rFont val="Calibri (Body)"/>
      </rPr>
      <t>: At least 2 well-addressed out of questions 1, 2, 3</t>
    </r>
  </si>
  <si>
    <t>https://otexts.com/fpp2/holt-winters.html</t>
  </si>
  <si>
    <t>(3 pts): Watch the following fourteen minute video. (This is best watched in HD 1080 pixel resolution achievable through the settings button on youtube -- and feel free to use other video/internet resources as well.)</t>
  </si>
  <si>
    <t>https://www.youtube.com/watch?v=3gcLRU24-w0</t>
  </si>
  <si>
    <r>
      <rPr>
        <b/>
        <sz val="22"/>
        <color theme="1"/>
        <rFont val="Calibri (Body)"/>
      </rPr>
      <t>HP</t>
    </r>
    <r>
      <rPr>
        <sz val="22"/>
        <color theme="1"/>
        <rFont val="Calibri (Body)"/>
      </rPr>
      <t>: All 4 questions well-addressed -- Must do question 4</t>
    </r>
  </si>
  <si>
    <t>Sim Week</t>
  </si>
  <si>
    <t>PG Wkly Adj Close</t>
  </si>
  <si>
    <r>
      <rPr>
        <b/>
        <sz val="22"/>
        <color theme="1"/>
        <rFont val="Calibri"/>
        <family val="2"/>
      </rPr>
      <t>NP</t>
    </r>
    <r>
      <rPr>
        <sz val="22"/>
        <color theme="1"/>
        <rFont val="Calibri"/>
        <family val="2"/>
      </rPr>
      <t>: No questions adequately addressed</t>
    </r>
  </si>
  <si>
    <r>
      <rPr>
        <b/>
        <i/>
        <u/>
        <sz val="22"/>
        <color theme="1"/>
        <rFont val="Calibri"/>
        <family val="2"/>
      </rPr>
      <t>NOTE:</t>
    </r>
    <r>
      <rPr>
        <i/>
        <u/>
        <sz val="22"/>
        <color theme="1"/>
        <rFont val="Calibri"/>
        <family val="2"/>
      </rPr>
      <t xml:space="preserve"> </t>
    </r>
    <r>
      <rPr>
        <b/>
        <u/>
        <sz val="22"/>
        <color theme="1"/>
        <rFont val="Calibri"/>
        <family val="2"/>
      </rPr>
      <t>Rescale</t>
    </r>
    <r>
      <rPr>
        <i/>
        <u/>
        <sz val="22"/>
        <color theme="1"/>
        <rFont val="Calibri"/>
        <family val="2"/>
      </rPr>
      <t xml:space="preserve"> this page if you intend to print it!</t>
    </r>
  </si>
  <si>
    <r>
      <t>Question 3 – Data Set: P&amp;G (</t>
    </r>
    <r>
      <rPr>
        <i/>
        <sz val="22"/>
        <color theme="1"/>
        <rFont val="Calibri"/>
        <family val="2"/>
      </rPr>
      <t>Monte Carlo Return Rate Simulation</t>
    </r>
    <r>
      <rPr>
        <b/>
        <sz val="22"/>
        <color theme="1"/>
        <rFont val="Calibri"/>
        <family val="2"/>
      </rPr>
      <t>)</t>
    </r>
  </si>
  <si>
    <t>PDR</t>
  </si>
  <si>
    <r>
      <t xml:space="preserve">Question 4 </t>
    </r>
    <r>
      <rPr>
        <b/>
        <sz val="22"/>
        <color rgb="FFC00000"/>
        <rFont val="Calibri"/>
        <family val="2"/>
      </rPr>
      <t>[OPTIONAL]</t>
    </r>
    <r>
      <rPr>
        <b/>
        <sz val="22"/>
        <color theme="1"/>
        <rFont val="Calibri"/>
        <family val="2"/>
      </rPr>
      <t xml:space="preserve"> – Data Set: Debit Card (</t>
    </r>
    <r>
      <rPr>
        <i/>
        <sz val="22"/>
        <color theme="1"/>
        <rFont val="Calibri"/>
        <family val="2"/>
      </rPr>
      <t>time series forecasting -</t>
    </r>
    <r>
      <rPr>
        <b/>
        <sz val="22"/>
        <color rgb="FFC00000"/>
        <rFont val="Calibri"/>
        <family val="2"/>
      </rPr>
      <t xml:space="preserve"> HIGH PASS QUALIFIER</t>
    </r>
    <r>
      <rPr>
        <b/>
        <sz val="22"/>
        <color theme="1"/>
        <rFont val="Calibri"/>
        <family val="2"/>
      </rPr>
      <t>)</t>
    </r>
  </si>
  <si>
    <t>NOTE: Only attempt question 4 after first having addressed the first three questions well.</t>
  </si>
  <si>
    <t>Sim Run</t>
  </si>
  <si>
    <t>Using the spreadsheet tab containing five years of P&amp;G (PG) weekly closing prices. Create a monte carlo simulation mirroring the video’s technique to model PG weekly closing prices for 6 months out (24 weeks). Note that the video technique is NOT complete - you need to complete it as we've done in class. How is the simulation of the periodic weekly (daily) rate approach different from the ones we did in class? Is it an improvement? Based on what you've modeled, would you have bought this stock for a 1-month holding period at the last price of the series? How about for 1 quarter (3 months)? How about for 2 quarters? Should you use all five years of data? If not, what time period makes most sense? (Limit the monte carlo to 1000 runs.)</t>
  </si>
  <si>
    <t>A) Apply the Holt-Winters approach described in the video to the “Debit Card Use” data for a small European nation. Provide a 12 month forecast  (go to 12/2021). B) How does this forecasting technique compare to regression and monte carlo approaches?</t>
  </si>
  <si>
    <t>NOTE: You can save RAM issues by going to Excel preferences -&gt; Calculation -&gt; Calculation Options -&gt; Manual.</t>
  </si>
  <si>
    <r>
      <t xml:space="preserve">This examination is open book, notes, internet, whatever information source you’d like to use. </t>
    </r>
    <r>
      <rPr>
        <b/>
        <sz val="22"/>
        <color rgb="FFFF0000"/>
        <rFont val="Calibri"/>
        <family val="2"/>
      </rPr>
      <t>Just don’t talk about or discuss the exam with each other (or former students):</t>
    </r>
    <r>
      <rPr>
        <sz val="22"/>
        <color theme="1"/>
        <rFont val="Calibri"/>
        <family val="2"/>
      </rPr>
      <t xml:space="preserve"> all exams are to be </t>
    </r>
    <r>
      <rPr>
        <b/>
        <u/>
        <sz val="22"/>
        <color rgb="FFFF0000"/>
        <rFont val="Calibri"/>
        <family val="2"/>
      </rPr>
      <t>completed individually</t>
    </r>
    <r>
      <rPr>
        <sz val="22"/>
        <color theme="1"/>
        <rFont val="Calibri"/>
        <family val="2"/>
      </rPr>
      <t xml:space="preserve">. Please keep your answers to the tabs below. DO NOT ADD NEW TABS - they will be ignored. Please email to </t>
    </r>
    <r>
      <rPr>
        <b/>
        <sz val="22"/>
        <color rgb="FF0070C0"/>
        <rFont val="Calibri"/>
        <family val="2"/>
      </rPr>
      <t>schun@wustl.edu</t>
    </r>
    <r>
      <rPr>
        <sz val="22"/>
        <color theme="1"/>
        <rFont val="Calibri"/>
        <family val="2"/>
      </rPr>
      <t xml:space="preserve"> </t>
    </r>
    <r>
      <rPr>
        <b/>
        <u/>
        <sz val="22"/>
        <color rgb="FFFF0000"/>
        <rFont val="Calibri"/>
        <family val="2"/>
      </rPr>
      <t>ONE Microsoft EXCEL FILE</t>
    </r>
    <r>
      <rPr>
        <sz val="22"/>
        <color theme="1"/>
        <rFont val="Calibri"/>
        <family val="2"/>
      </rPr>
      <t xml:space="preserve">. </t>
    </r>
    <r>
      <rPr>
        <b/>
        <sz val="22"/>
        <color theme="1"/>
        <rFont val="Calibri"/>
        <family val="2"/>
      </rPr>
      <t>NAME THE FILE WITH YOUR NAME, LAST NAME FIRST</t>
    </r>
    <r>
      <rPr>
        <sz val="22"/>
        <color theme="1"/>
        <rFont val="Calibri"/>
        <family val="2"/>
      </rPr>
      <t xml:space="preserve">. </t>
    </r>
  </si>
  <si>
    <r>
      <t>Due:</t>
    </r>
    <r>
      <rPr>
        <sz val="24"/>
        <color rgb="FF000000"/>
        <rFont val="Calibri"/>
        <family val="2"/>
      </rPr>
      <t xml:space="preserve"> Sunday, December 15, 2024</t>
    </r>
  </si>
  <si>
    <r>
      <t xml:space="preserve">Business Analytics and Decisions: </t>
    </r>
    <r>
      <rPr>
        <sz val="36"/>
        <color theme="1"/>
        <rFont val="Calibri"/>
        <family val="2"/>
      </rPr>
      <t>Final Examination</t>
    </r>
    <r>
      <rPr>
        <b/>
        <sz val="36"/>
        <color theme="1"/>
        <rFont val="Calibri"/>
        <family val="2"/>
      </rPr>
      <t xml:space="preserve"> </t>
    </r>
    <r>
      <rPr>
        <sz val="36"/>
        <color theme="1"/>
        <rFont val="Calibri"/>
        <family val="2"/>
      </rPr>
      <t>(B-Individual)</t>
    </r>
  </si>
  <si>
    <t>Rough Grading Criteria for FULL EXAM (A + B)</t>
  </si>
  <si>
    <t xml:space="preserve"> Periodic Daily Return</t>
  </si>
  <si>
    <t>Average</t>
  </si>
  <si>
    <t>Variance</t>
  </si>
  <si>
    <t>Std Dev</t>
  </si>
  <si>
    <t>Drift</t>
  </si>
  <si>
    <t>StDev</t>
  </si>
  <si>
    <t>Probs</t>
  </si>
  <si>
    <t>&lt;-C288 = 24 wks</t>
  </si>
  <si>
    <t>C291 sets number of weeks simulated</t>
  </si>
  <si>
    <t>Results from one 24 wk run</t>
  </si>
  <si>
    <t>Results from one 4 wk run</t>
  </si>
  <si>
    <t>Results from one 12 wk run</t>
  </si>
  <si>
    <t xml:space="preserve">Discussion Questions: The simulation done here uses Geometric Brownian Motion as used in the youtube video shared.  GBM is an improvement upon what we used in class because it prevents the stock price from ever going negitive using the logritmic equation in its simulation.  This would prove particularly helpful in a more volitile, lower priced stock.  It does not however, solve a bigger problem in both simulations that assume a normal distribution in stock behavior.  Since stock price is heavily influenced by news in some cases the distribution would very quickly get away from a normal distribution for a great deal of single stocks.  For a fairly stable stock GBM is a reasonable method of simulating stock price over time but using it for many single stocks would prove problematic.  It also takes into account the stocks general drift and relies less on complete randomness.  This principle lends itself well to simulating future stock performance.  
- Would you buy a 24 wk holding period - yes, in general PnG's stock yields a positive return over a 24 week period.  It is a fairly stable low risk stock with good return.
- Would you buy a 12 wk holding period - Yes, for the same reasons as above.
- Would you buy a 4 wk holding period - No, PnG's stock does have some short term volatility.  Over a 4 wk period there is opportunity to lose money and no great opportunity to make money back.  I would choose a different option for this short a hold.
Should you use all 5 years of data - In the case of P and G i think its ok to use all five years of data.  To make this assessment I considered world events and news and how it impacted PnG.  I see no drastic changes that would unfairly skew their stock price for the better or worse.  PnG's stock was greatly uneffected by the Covid pandemic.  Since world events didn't create a skew in the data, I think more data is good data in this case.  All five years can be used in the simulation.  </t>
  </si>
  <si>
    <t>Level</t>
  </si>
  <si>
    <t>Trend</t>
  </si>
  <si>
    <t>Seasonal</t>
  </si>
  <si>
    <t>Forecast</t>
  </si>
  <si>
    <t>S-ind_Avg</t>
  </si>
  <si>
    <t>alpha</t>
  </si>
  <si>
    <t>beta</t>
  </si>
  <si>
    <t>gamma</t>
  </si>
  <si>
    <t>U-stat</t>
  </si>
  <si>
    <t>Error</t>
  </si>
  <si>
    <t>Error squared</t>
  </si>
  <si>
    <t>Mean Error</t>
  </si>
  <si>
    <t>Mean Absolute Error</t>
  </si>
  <si>
    <t>Mean Squared Error</t>
  </si>
  <si>
    <t>Mean Average Percentage Error</t>
  </si>
  <si>
    <t>Absolute percent error</t>
  </si>
  <si>
    <t>U-Stat</t>
  </si>
  <si>
    <t>Exponential Smoothing</t>
  </si>
  <si>
    <t>Absolute Error</t>
  </si>
  <si>
    <t xml:space="preserve">Using only three data points to estimate level is causing the chart to inacturately capture seasonality this drives the low usage of alpha.  Need to use more data points.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</si>
</sst>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30">
    <font>
      <sz val="12"/>
      <color theme="1"/>
      <name val="Calibri"/>
      <family val="2"/>
      <scheme val="minor"/>
    </font>
    <font>
      <u/>
      <sz val="12"/>
      <color theme="10"/>
      <name val="Calibri"/>
      <family val="2"/>
      <scheme val="minor"/>
    </font>
    <font>
      <u/>
      <sz val="12"/>
      <color theme="11"/>
      <name val="Calibri"/>
      <family val="2"/>
      <scheme val="minor"/>
    </font>
    <font>
      <sz val="10"/>
      <color indexed="8"/>
      <name val="Arial"/>
      <family val="2"/>
    </font>
    <font>
      <sz val="10"/>
      <color theme="1"/>
      <name val="Calibri"/>
      <family val="2"/>
    </font>
    <font>
      <b/>
      <sz val="22"/>
      <color theme="1"/>
      <name val="Calibri"/>
      <family val="2"/>
    </font>
    <font>
      <sz val="22"/>
      <color theme="1"/>
      <name val="Calibri"/>
      <family val="2"/>
    </font>
    <font>
      <b/>
      <u/>
      <sz val="22"/>
      <color theme="1"/>
      <name val="Calibri"/>
      <family val="2"/>
    </font>
    <font>
      <b/>
      <u/>
      <sz val="22"/>
      <color rgb="FFFF0000"/>
      <name val="Calibri"/>
      <family val="2"/>
    </font>
    <font>
      <i/>
      <sz val="22"/>
      <color theme="1"/>
      <name val="Calibri"/>
      <family val="2"/>
    </font>
    <font>
      <sz val="8"/>
      <name val="Calibri"/>
      <family val="2"/>
      <scheme val="minor"/>
    </font>
    <font>
      <b/>
      <sz val="36"/>
      <color theme="1"/>
      <name val="Calibri"/>
      <family val="2"/>
    </font>
    <font>
      <sz val="36"/>
      <color theme="1"/>
      <name val="Calibri"/>
      <family val="2"/>
    </font>
    <font>
      <sz val="24"/>
      <color theme="1"/>
      <name val="Calibri"/>
      <family val="2"/>
    </font>
    <font>
      <sz val="24"/>
      <color rgb="FF000000"/>
      <name val="Calibri"/>
      <family val="2"/>
    </font>
    <font>
      <b/>
      <sz val="12"/>
      <color theme="1"/>
      <name val="Calibri"/>
      <family val="2"/>
      <scheme val="minor"/>
    </font>
    <font>
      <u/>
      <sz val="22"/>
      <color theme="10"/>
      <name val="Calibri"/>
      <family val="2"/>
      <scheme val="minor"/>
    </font>
    <font>
      <sz val="22"/>
      <color theme="1"/>
      <name val="Calibri (Body)"/>
    </font>
    <font>
      <b/>
      <sz val="22"/>
      <color theme="1"/>
      <name val="Calibri (Body)"/>
    </font>
    <font>
      <b/>
      <sz val="16"/>
      <color rgb="FFFF0000"/>
      <name val="Calibri"/>
      <family val="2"/>
      <scheme val="minor"/>
    </font>
    <font>
      <u/>
      <sz val="24"/>
      <color theme="10"/>
      <name val="Calibri"/>
      <family val="2"/>
      <scheme val="minor"/>
    </font>
    <font>
      <sz val="11"/>
      <color theme="1"/>
      <name val="Calibri"/>
      <family val="2"/>
      <scheme val="minor"/>
    </font>
    <font>
      <sz val="10"/>
      <name val="Arial"/>
      <family val="2"/>
    </font>
    <font>
      <sz val="22"/>
      <color theme="1"/>
      <name val="Calibri"/>
      <family val="2"/>
      <scheme val="minor"/>
    </font>
    <font>
      <b/>
      <sz val="22"/>
      <color rgb="FFC00000"/>
      <name val="Calibri"/>
      <family val="2"/>
    </font>
    <font>
      <b/>
      <sz val="22"/>
      <color rgb="FF0070C0"/>
      <name val="Calibri"/>
      <family val="2"/>
    </font>
    <font>
      <b/>
      <sz val="22"/>
      <color rgb="FFFF0000"/>
      <name val="Calibri"/>
      <family val="2"/>
    </font>
    <font>
      <i/>
      <u/>
      <sz val="22"/>
      <color theme="1"/>
      <name val="Calibri"/>
      <family val="2"/>
    </font>
    <font>
      <b/>
      <i/>
      <u/>
      <sz val="22"/>
      <color theme="1"/>
      <name val="Calibri"/>
      <family val="2"/>
    </font>
    <font>
      <b/>
      <sz val="16"/>
      <color rgb="FFC00000"/>
      <name val="Calibri"/>
      <family val="2"/>
      <scheme val="minor"/>
    </font>
  </fonts>
  <fills count="2">
    <fill>
      <patternFill patternType="none"/>
    </fill>
    <fill>
      <patternFill patternType="gray125"/>
    </fill>
  </fills>
  <borders count="1">
    <border>
      <left/>
      <right/>
      <top/>
      <bottom/>
      <diagonal/>
    </border>
  </borders>
  <cellStyleXfs count="3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3"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1" fillId="0" borderId="0"/>
    <xf numFmtId="0" fontId="22" fillId="0" borderId="0"/>
    <xf numFmtId="44" fontId="22" fillId="0" borderId="0" applyFont="0" applyFill="0" applyBorder="0" applyAlignment="0" applyProtection="0"/>
    <xf numFmtId="9" fontId="22" fillId="0" borderId="0" applyFont="0" applyFill="0" applyBorder="0" applyAlignment="0" applyProtection="0"/>
  </cellStyleXfs>
  <cellXfs count="32">
    <xf numFmtId="0" fontId="0" fillId="0" borderId="0" xfId="0"/>
    <xf numFmtId="0" fontId="0" fillId="0" borderId="0" xfId="0" applyAlignment="1">
      <alignment horizontal="left"/>
    </xf>
    <xf numFmtId="0" fontId="4" fillId="0" borderId="0" xfId="0" applyFont="1" applyAlignment="1">
      <alignment horizontal="left" vertical="center"/>
    </xf>
    <xf numFmtId="0" fontId="5" fillId="0" borderId="0" xfId="0" applyFont="1" applyAlignment="1">
      <alignment horizontal="left" vertical="center" wrapText="1"/>
    </xf>
    <xf numFmtId="0" fontId="6" fillId="0" borderId="0" xfId="0" applyFont="1" applyAlignment="1">
      <alignment horizontal="left" vertical="center" wrapText="1"/>
    </xf>
    <xf numFmtId="0" fontId="6" fillId="0" borderId="0" xfId="0" applyFont="1" applyAlignment="1">
      <alignment horizontal="left" wrapText="1"/>
    </xf>
    <xf numFmtId="0" fontId="11" fillId="0" borderId="0" xfId="0" applyFont="1" applyAlignment="1">
      <alignment horizontal="center" vertical="center" wrapText="1"/>
    </xf>
    <xf numFmtId="0" fontId="13" fillId="0" borderId="0" xfId="0" applyFont="1" applyAlignment="1">
      <alignment horizontal="center" vertical="center" wrapText="1"/>
    </xf>
    <xf numFmtId="0" fontId="13" fillId="0" borderId="0" xfId="0" applyFont="1" applyAlignment="1">
      <alignment horizontal="left"/>
    </xf>
    <xf numFmtId="0" fontId="15" fillId="0" borderId="0" xfId="0" applyFont="1"/>
    <xf numFmtId="0" fontId="16" fillId="0" borderId="0" xfId="26" applyFont="1" applyAlignment="1">
      <alignment vertical="center"/>
    </xf>
    <xf numFmtId="0" fontId="6" fillId="0" borderId="0" xfId="0" applyFont="1" applyAlignment="1">
      <alignment vertical="center" wrapText="1"/>
    </xf>
    <xf numFmtId="0" fontId="17" fillId="0" borderId="0" xfId="26" applyFont="1" applyAlignment="1">
      <alignment vertical="center"/>
    </xf>
    <xf numFmtId="0" fontId="19" fillId="0" borderId="0" xfId="0" applyFont="1"/>
    <xf numFmtId="0" fontId="5" fillId="0" borderId="0" xfId="0" applyFont="1" applyAlignment="1">
      <alignment horizontal="left" wrapText="1"/>
    </xf>
    <xf numFmtId="0" fontId="20" fillId="0" borderId="0" xfId="26" applyFont="1" applyAlignment="1">
      <alignment horizontal="left" vertical="center" wrapText="1"/>
    </xf>
    <xf numFmtId="0" fontId="17" fillId="0" borderId="0" xfId="0" applyFont="1" applyAlignment="1">
      <alignment horizontal="left" wrapText="1"/>
    </xf>
    <xf numFmtId="0" fontId="16" fillId="0" borderId="0" xfId="26" applyFont="1"/>
    <xf numFmtId="14" fontId="0" fillId="0" borderId="0" xfId="0" applyNumberFormat="1"/>
    <xf numFmtId="0" fontId="23" fillId="0" borderId="0" xfId="0" applyFont="1" applyAlignment="1">
      <alignment horizontal="left" wrapText="1"/>
    </xf>
    <xf numFmtId="0" fontId="27" fillId="0" borderId="0" xfId="0" applyFont="1" applyAlignment="1">
      <alignment horizontal="center" vertical="center" wrapText="1"/>
    </xf>
    <xf numFmtId="0" fontId="29" fillId="0" borderId="0" xfId="0" applyFont="1" applyAlignment="1">
      <alignment horizontal="left"/>
    </xf>
    <xf numFmtId="0" fontId="16" fillId="0" borderId="0" xfId="26" applyFont="1" applyAlignment="1">
      <alignment horizontal="left" vertical="center" wrapText="1"/>
    </xf>
    <xf numFmtId="0" fontId="0" fillId="0" borderId="0" xfId="0" applyAlignment="1">
      <alignment horizontal="center" wrapText="1"/>
    </xf>
    <xf numFmtId="9" fontId="0" fillId="0" borderId="0" xfId="0" applyNumberFormat="1"/>
    <xf numFmtId="0" fontId="0" fillId="0" borderId="0" xfId="0" applyAlignment="1">
      <alignment horizontal="center"/>
    </xf>
    <xf numFmtId="0" fontId="0" fillId="0" borderId="0" xfId="0" applyAlignment="1">
      <alignment horizontal="left" vertical="top" wrapText="1"/>
    </xf>
    <xf numFmtId="10" fontId="0" fillId="0" borderId="0" xfId="0" applyNumberFormat="1"/>
    <xf numFmtId="0" fontId="15" fillId="0" borderId="0" xfId="0" applyFont="1" applyAlignment="1">
      <alignment wrapText="1"/>
    </xf>
    <xf numFmtId="0" fontId="15" fillId="0" borderId="0" xfId="0" applyFont="1" applyAlignment="1">
      <alignment horizontal="center" wrapText="1"/>
    </xf>
    <xf numFmtId="0" fontId="0" fillId="0" borderId="0" xfId="0" applyNumberFormat="1"/>
    <xf numFmtId="0" fontId="0" fillId="0" borderId="0" xfId="0" applyAlignment="1">
      <alignment horizontal="center" wrapText="1"/>
    </xf>
  </cellXfs>
  <cellStyles count="36">
    <cellStyle name="Currency 2" xfId="34" xr:uid="{EDFAD458-1F92-7045-82BF-129F20A27561}"/>
    <cellStyle name="Followed Hyperlink" xfId="2" builtinId="9" hidden="1"/>
    <cellStyle name="Followed Hyperlink" xfId="4" builtinId="9" hidden="1"/>
    <cellStyle name="Followed Hyperlink" xfId="6"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Hyperlink" xfId="1" builtinId="8" hidden="1"/>
    <cellStyle name="Hyperlink" xfId="3" builtinId="8" hidden="1"/>
    <cellStyle name="Hyperlink" xfId="5"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cellStyle name="Normal" xfId="0" builtinId="0"/>
    <cellStyle name="Normal 2" xfId="7" xr:uid="{00000000-0005-0000-0000-00001F000000}"/>
    <cellStyle name="Normal 2 2" xfId="33" xr:uid="{BC1BD9A8-4B22-9940-B654-6D805FE041EE}"/>
    <cellStyle name="Normal 3" xfId="32" xr:uid="{260B433C-BF08-CC48-8D16-6D80DCB876B6}"/>
    <cellStyle name="Percent 2" xfId="35" xr:uid="{306F2AD3-E997-B14A-8D8B-DAC0EB1036E3}"/>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Stock Price Given</a:t>
            </a:r>
            <a:r>
              <a:rPr lang="en-US" baseline="0"/>
              <a: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5358705161854769E-2"/>
          <c:y val="3.2824074074074089E-2"/>
          <c:w val="0.89019685039370078"/>
          <c:h val="0.72088764946048411"/>
        </c:manualLayout>
      </c:layout>
      <c:lineChart>
        <c:grouping val="standard"/>
        <c:varyColors val="0"/>
        <c:ser>
          <c:idx val="0"/>
          <c:order val="0"/>
          <c:spPr>
            <a:ln w="28575" cap="rnd">
              <a:solidFill>
                <a:schemeClr val="accent1"/>
              </a:solidFill>
              <a:round/>
            </a:ln>
            <a:effectLst/>
          </c:spPr>
          <c:marker>
            <c:symbol val="none"/>
          </c:marker>
          <c:cat>
            <c:numRef>
              <c:f>'Qn3 PG'!$B$3:$B$263</c:f>
              <c:numCache>
                <c:formatCode>m/d/yyyy</c:formatCode>
                <c:ptCount val="261"/>
                <c:pt idx="0">
                  <c:v>43409</c:v>
                </c:pt>
                <c:pt idx="1">
                  <c:v>43416</c:v>
                </c:pt>
                <c:pt idx="2">
                  <c:v>43423</c:v>
                </c:pt>
                <c:pt idx="3">
                  <c:v>43430</c:v>
                </c:pt>
                <c:pt idx="4">
                  <c:v>43437</c:v>
                </c:pt>
                <c:pt idx="5">
                  <c:v>43444</c:v>
                </c:pt>
                <c:pt idx="6">
                  <c:v>43451</c:v>
                </c:pt>
                <c:pt idx="7">
                  <c:v>43458</c:v>
                </c:pt>
                <c:pt idx="8">
                  <c:v>43465</c:v>
                </c:pt>
                <c:pt idx="9">
                  <c:v>43472</c:v>
                </c:pt>
                <c:pt idx="10">
                  <c:v>43479</c:v>
                </c:pt>
                <c:pt idx="11">
                  <c:v>43486</c:v>
                </c:pt>
                <c:pt idx="12">
                  <c:v>43493</c:v>
                </c:pt>
                <c:pt idx="13">
                  <c:v>43500</c:v>
                </c:pt>
                <c:pt idx="14">
                  <c:v>43507</c:v>
                </c:pt>
                <c:pt idx="15">
                  <c:v>43514</c:v>
                </c:pt>
                <c:pt idx="16">
                  <c:v>43521</c:v>
                </c:pt>
                <c:pt idx="17">
                  <c:v>43528</c:v>
                </c:pt>
                <c:pt idx="18">
                  <c:v>43535</c:v>
                </c:pt>
                <c:pt idx="19">
                  <c:v>43542</c:v>
                </c:pt>
                <c:pt idx="20">
                  <c:v>43549</c:v>
                </c:pt>
                <c:pt idx="21">
                  <c:v>43556</c:v>
                </c:pt>
                <c:pt idx="22">
                  <c:v>43563</c:v>
                </c:pt>
                <c:pt idx="23">
                  <c:v>43570</c:v>
                </c:pt>
                <c:pt idx="24">
                  <c:v>43577</c:v>
                </c:pt>
                <c:pt idx="25">
                  <c:v>43584</c:v>
                </c:pt>
                <c:pt idx="26">
                  <c:v>43591</c:v>
                </c:pt>
                <c:pt idx="27">
                  <c:v>43598</c:v>
                </c:pt>
                <c:pt idx="28">
                  <c:v>43605</c:v>
                </c:pt>
                <c:pt idx="29">
                  <c:v>43612</c:v>
                </c:pt>
                <c:pt idx="30">
                  <c:v>43619</c:v>
                </c:pt>
                <c:pt idx="31">
                  <c:v>43626</c:v>
                </c:pt>
                <c:pt idx="32">
                  <c:v>43633</c:v>
                </c:pt>
                <c:pt idx="33">
                  <c:v>43640</c:v>
                </c:pt>
                <c:pt idx="34">
                  <c:v>43647</c:v>
                </c:pt>
                <c:pt idx="35">
                  <c:v>43654</c:v>
                </c:pt>
                <c:pt idx="36">
                  <c:v>43661</c:v>
                </c:pt>
                <c:pt idx="37">
                  <c:v>43668</c:v>
                </c:pt>
                <c:pt idx="38">
                  <c:v>43675</c:v>
                </c:pt>
                <c:pt idx="39">
                  <c:v>43682</c:v>
                </c:pt>
                <c:pt idx="40">
                  <c:v>43689</c:v>
                </c:pt>
                <c:pt idx="41">
                  <c:v>43696</c:v>
                </c:pt>
                <c:pt idx="42">
                  <c:v>43703</c:v>
                </c:pt>
                <c:pt idx="43">
                  <c:v>43710</c:v>
                </c:pt>
                <c:pt idx="44">
                  <c:v>43717</c:v>
                </c:pt>
                <c:pt idx="45">
                  <c:v>43724</c:v>
                </c:pt>
                <c:pt idx="46">
                  <c:v>43731</c:v>
                </c:pt>
                <c:pt idx="47">
                  <c:v>43738</c:v>
                </c:pt>
                <c:pt idx="48">
                  <c:v>43745</c:v>
                </c:pt>
                <c:pt idx="49">
                  <c:v>43752</c:v>
                </c:pt>
                <c:pt idx="50">
                  <c:v>43759</c:v>
                </c:pt>
                <c:pt idx="51">
                  <c:v>43766</c:v>
                </c:pt>
                <c:pt idx="52">
                  <c:v>43773</c:v>
                </c:pt>
                <c:pt idx="53">
                  <c:v>43780</c:v>
                </c:pt>
                <c:pt idx="54">
                  <c:v>43787</c:v>
                </c:pt>
                <c:pt idx="55">
                  <c:v>43794</c:v>
                </c:pt>
                <c:pt idx="56">
                  <c:v>43801</c:v>
                </c:pt>
                <c:pt idx="57">
                  <c:v>43808</c:v>
                </c:pt>
                <c:pt idx="58">
                  <c:v>43815</c:v>
                </c:pt>
                <c:pt idx="59">
                  <c:v>43822</c:v>
                </c:pt>
                <c:pt idx="60">
                  <c:v>43829</c:v>
                </c:pt>
                <c:pt idx="61">
                  <c:v>43836</c:v>
                </c:pt>
                <c:pt idx="62">
                  <c:v>43843</c:v>
                </c:pt>
                <c:pt idx="63">
                  <c:v>43850</c:v>
                </c:pt>
                <c:pt idx="64">
                  <c:v>43857</c:v>
                </c:pt>
                <c:pt idx="65">
                  <c:v>43864</c:v>
                </c:pt>
                <c:pt idx="66">
                  <c:v>43871</c:v>
                </c:pt>
                <c:pt idx="67">
                  <c:v>43878</c:v>
                </c:pt>
                <c:pt idx="68">
                  <c:v>43885</c:v>
                </c:pt>
                <c:pt idx="69">
                  <c:v>43892</c:v>
                </c:pt>
                <c:pt idx="70">
                  <c:v>43899</c:v>
                </c:pt>
                <c:pt idx="71">
                  <c:v>43906</c:v>
                </c:pt>
                <c:pt idx="72">
                  <c:v>43913</c:v>
                </c:pt>
                <c:pt idx="73">
                  <c:v>43920</c:v>
                </c:pt>
                <c:pt idx="74">
                  <c:v>43927</c:v>
                </c:pt>
                <c:pt idx="75">
                  <c:v>43934</c:v>
                </c:pt>
                <c:pt idx="76">
                  <c:v>43941</c:v>
                </c:pt>
                <c:pt idx="77">
                  <c:v>43948</c:v>
                </c:pt>
                <c:pt idx="78">
                  <c:v>43955</c:v>
                </c:pt>
                <c:pt idx="79">
                  <c:v>43962</c:v>
                </c:pt>
                <c:pt idx="80">
                  <c:v>43969</c:v>
                </c:pt>
                <c:pt idx="81">
                  <c:v>43976</c:v>
                </c:pt>
                <c:pt idx="82">
                  <c:v>43983</c:v>
                </c:pt>
                <c:pt idx="83">
                  <c:v>43990</c:v>
                </c:pt>
                <c:pt idx="84">
                  <c:v>43997</c:v>
                </c:pt>
                <c:pt idx="85">
                  <c:v>44004</c:v>
                </c:pt>
                <c:pt idx="86">
                  <c:v>44011</c:v>
                </c:pt>
                <c:pt idx="87">
                  <c:v>44018</c:v>
                </c:pt>
                <c:pt idx="88">
                  <c:v>44025</c:v>
                </c:pt>
                <c:pt idx="89">
                  <c:v>44032</c:v>
                </c:pt>
                <c:pt idx="90">
                  <c:v>44039</c:v>
                </c:pt>
                <c:pt idx="91">
                  <c:v>44046</c:v>
                </c:pt>
                <c:pt idx="92">
                  <c:v>44053</c:v>
                </c:pt>
                <c:pt idx="93">
                  <c:v>44060</c:v>
                </c:pt>
                <c:pt idx="94">
                  <c:v>44067</c:v>
                </c:pt>
                <c:pt idx="95">
                  <c:v>44074</c:v>
                </c:pt>
                <c:pt idx="96">
                  <c:v>44081</c:v>
                </c:pt>
                <c:pt idx="97">
                  <c:v>44088</c:v>
                </c:pt>
                <c:pt idx="98">
                  <c:v>44095</c:v>
                </c:pt>
                <c:pt idx="99">
                  <c:v>44102</c:v>
                </c:pt>
                <c:pt idx="100">
                  <c:v>44109</c:v>
                </c:pt>
                <c:pt idx="101">
                  <c:v>44116</c:v>
                </c:pt>
                <c:pt idx="102">
                  <c:v>44123</c:v>
                </c:pt>
                <c:pt idx="103">
                  <c:v>44130</c:v>
                </c:pt>
                <c:pt idx="104">
                  <c:v>44137</c:v>
                </c:pt>
                <c:pt idx="105">
                  <c:v>44144</c:v>
                </c:pt>
                <c:pt idx="106">
                  <c:v>44151</c:v>
                </c:pt>
                <c:pt idx="107">
                  <c:v>44158</c:v>
                </c:pt>
                <c:pt idx="108">
                  <c:v>44165</c:v>
                </c:pt>
                <c:pt idx="109">
                  <c:v>44172</c:v>
                </c:pt>
                <c:pt idx="110">
                  <c:v>44179</c:v>
                </c:pt>
                <c:pt idx="111">
                  <c:v>44186</c:v>
                </c:pt>
                <c:pt idx="112">
                  <c:v>44193</c:v>
                </c:pt>
                <c:pt idx="113">
                  <c:v>44200</c:v>
                </c:pt>
                <c:pt idx="114">
                  <c:v>44207</c:v>
                </c:pt>
                <c:pt idx="115">
                  <c:v>44214</c:v>
                </c:pt>
                <c:pt idx="116">
                  <c:v>44221</c:v>
                </c:pt>
                <c:pt idx="117">
                  <c:v>44228</c:v>
                </c:pt>
                <c:pt idx="118">
                  <c:v>44235</c:v>
                </c:pt>
                <c:pt idx="119">
                  <c:v>44242</c:v>
                </c:pt>
                <c:pt idx="120">
                  <c:v>44249</c:v>
                </c:pt>
                <c:pt idx="121">
                  <c:v>44256</c:v>
                </c:pt>
                <c:pt idx="122">
                  <c:v>44263</c:v>
                </c:pt>
                <c:pt idx="123">
                  <c:v>44270</c:v>
                </c:pt>
                <c:pt idx="124">
                  <c:v>44277</c:v>
                </c:pt>
                <c:pt idx="125">
                  <c:v>44284</c:v>
                </c:pt>
                <c:pt idx="126">
                  <c:v>44291</c:v>
                </c:pt>
                <c:pt idx="127">
                  <c:v>44298</c:v>
                </c:pt>
                <c:pt idx="128">
                  <c:v>44305</c:v>
                </c:pt>
                <c:pt idx="129">
                  <c:v>44312</c:v>
                </c:pt>
                <c:pt idx="130">
                  <c:v>44319</c:v>
                </c:pt>
                <c:pt idx="131">
                  <c:v>44326</c:v>
                </c:pt>
                <c:pt idx="132">
                  <c:v>44333</c:v>
                </c:pt>
                <c:pt idx="133">
                  <c:v>44340</c:v>
                </c:pt>
                <c:pt idx="134">
                  <c:v>44347</c:v>
                </c:pt>
                <c:pt idx="135">
                  <c:v>44354</c:v>
                </c:pt>
                <c:pt idx="136">
                  <c:v>44361</c:v>
                </c:pt>
                <c:pt idx="137">
                  <c:v>44368</c:v>
                </c:pt>
                <c:pt idx="138">
                  <c:v>44375</c:v>
                </c:pt>
                <c:pt idx="139">
                  <c:v>44382</c:v>
                </c:pt>
                <c:pt idx="140">
                  <c:v>44389</c:v>
                </c:pt>
                <c:pt idx="141">
                  <c:v>44396</c:v>
                </c:pt>
                <c:pt idx="142">
                  <c:v>44403</c:v>
                </c:pt>
                <c:pt idx="143">
                  <c:v>44410</c:v>
                </c:pt>
                <c:pt idx="144">
                  <c:v>44417</c:v>
                </c:pt>
                <c:pt idx="145">
                  <c:v>44424</c:v>
                </c:pt>
                <c:pt idx="146">
                  <c:v>44431</c:v>
                </c:pt>
                <c:pt idx="147">
                  <c:v>44438</c:v>
                </c:pt>
                <c:pt idx="148">
                  <c:v>44445</c:v>
                </c:pt>
                <c:pt idx="149">
                  <c:v>44452</c:v>
                </c:pt>
                <c:pt idx="150">
                  <c:v>44459</c:v>
                </c:pt>
                <c:pt idx="151">
                  <c:v>44466</c:v>
                </c:pt>
                <c:pt idx="152">
                  <c:v>44473</c:v>
                </c:pt>
                <c:pt idx="153">
                  <c:v>44480</c:v>
                </c:pt>
                <c:pt idx="154">
                  <c:v>44487</c:v>
                </c:pt>
                <c:pt idx="155">
                  <c:v>44494</c:v>
                </c:pt>
                <c:pt idx="156">
                  <c:v>44501</c:v>
                </c:pt>
                <c:pt idx="157">
                  <c:v>44508</c:v>
                </c:pt>
                <c:pt idx="158">
                  <c:v>44515</c:v>
                </c:pt>
                <c:pt idx="159">
                  <c:v>44522</c:v>
                </c:pt>
                <c:pt idx="160">
                  <c:v>44529</c:v>
                </c:pt>
                <c:pt idx="161">
                  <c:v>44536</c:v>
                </c:pt>
                <c:pt idx="162">
                  <c:v>44543</c:v>
                </c:pt>
                <c:pt idx="163">
                  <c:v>44550</c:v>
                </c:pt>
                <c:pt idx="164">
                  <c:v>44557</c:v>
                </c:pt>
                <c:pt idx="165">
                  <c:v>44564</c:v>
                </c:pt>
                <c:pt idx="166">
                  <c:v>44571</c:v>
                </c:pt>
                <c:pt idx="167">
                  <c:v>44578</c:v>
                </c:pt>
                <c:pt idx="168">
                  <c:v>44585</c:v>
                </c:pt>
                <c:pt idx="169">
                  <c:v>44592</c:v>
                </c:pt>
                <c:pt idx="170">
                  <c:v>44599</c:v>
                </c:pt>
                <c:pt idx="171">
                  <c:v>44606</c:v>
                </c:pt>
                <c:pt idx="172">
                  <c:v>44613</c:v>
                </c:pt>
                <c:pt idx="173">
                  <c:v>44620</c:v>
                </c:pt>
                <c:pt idx="174">
                  <c:v>44627</c:v>
                </c:pt>
                <c:pt idx="175">
                  <c:v>44634</c:v>
                </c:pt>
                <c:pt idx="176">
                  <c:v>44641</c:v>
                </c:pt>
                <c:pt idx="177">
                  <c:v>44648</c:v>
                </c:pt>
                <c:pt idx="178">
                  <c:v>44655</c:v>
                </c:pt>
                <c:pt idx="179">
                  <c:v>44662</c:v>
                </c:pt>
                <c:pt idx="180">
                  <c:v>44669</c:v>
                </c:pt>
                <c:pt idx="181">
                  <c:v>44676</c:v>
                </c:pt>
                <c:pt idx="182">
                  <c:v>44683</c:v>
                </c:pt>
                <c:pt idx="183">
                  <c:v>44690</c:v>
                </c:pt>
                <c:pt idx="184">
                  <c:v>44697</c:v>
                </c:pt>
                <c:pt idx="185">
                  <c:v>44704</c:v>
                </c:pt>
                <c:pt idx="186">
                  <c:v>44711</c:v>
                </c:pt>
                <c:pt idx="187">
                  <c:v>44718</c:v>
                </c:pt>
                <c:pt idx="188">
                  <c:v>44725</c:v>
                </c:pt>
                <c:pt idx="189">
                  <c:v>44732</c:v>
                </c:pt>
                <c:pt idx="190">
                  <c:v>44739</c:v>
                </c:pt>
                <c:pt idx="191">
                  <c:v>44746</c:v>
                </c:pt>
                <c:pt idx="192">
                  <c:v>44753</c:v>
                </c:pt>
                <c:pt idx="193">
                  <c:v>44760</c:v>
                </c:pt>
                <c:pt idx="194">
                  <c:v>44767</c:v>
                </c:pt>
                <c:pt idx="195">
                  <c:v>44774</c:v>
                </c:pt>
                <c:pt idx="196">
                  <c:v>44781</c:v>
                </c:pt>
                <c:pt idx="197">
                  <c:v>44788</c:v>
                </c:pt>
                <c:pt idx="198">
                  <c:v>44795</c:v>
                </c:pt>
                <c:pt idx="199">
                  <c:v>44802</c:v>
                </c:pt>
                <c:pt idx="200">
                  <c:v>44809</c:v>
                </c:pt>
                <c:pt idx="201">
                  <c:v>44816</c:v>
                </c:pt>
                <c:pt idx="202">
                  <c:v>44823</c:v>
                </c:pt>
                <c:pt idx="203">
                  <c:v>44830</c:v>
                </c:pt>
                <c:pt idx="204">
                  <c:v>44837</c:v>
                </c:pt>
                <c:pt idx="205">
                  <c:v>44844</c:v>
                </c:pt>
                <c:pt idx="206">
                  <c:v>44851</c:v>
                </c:pt>
                <c:pt idx="207">
                  <c:v>44858</c:v>
                </c:pt>
                <c:pt idx="208">
                  <c:v>44865</c:v>
                </c:pt>
                <c:pt idx="209">
                  <c:v>44872</c:v>
                </c:pt>
                <c:pt idx="210">
                  <c:v>44879</c:v>
                </c:pt>
                <c:pt idx="211">
                  <c:v>44886</c:v>
                </c:pt>
                <c:pt idx="212">
                  <c:v>44893</c:v>
                </c:pt>
                <c:pt idx="213">
                  <c:v>44900</c:v>
                </c:pt>
                <c:pt idx="214">
                  <c:v>44907</c:v>
                </c:pt>
                <c:pt idx="215">
                  <c:v>44914</c:v>
                </c:pt>
                <c:pt idx="216">
                  <c:v>44921</c:v>
                </c:pt>
                <c:pt idx="217">
                  <c:v>44928</c:v>
                </c:pt>
                <c:pt idx="218">
                  <c:v>44935</c:v>
                </c:pt>
                <c:pt idx="219">
                  <c:v>44942</c:v>
                </c:pt>
                <c:pt idx="220">
                  <c:v>44949</c:v>
                </c:pt>
                <c:pt idx="221">
                  <c:v>44956</c:v>
                </c:pt>
                <c:pt idx="222">
                  <c:v>44963</c:v>
                </c:pt>
                <c:pt idx="223">
                  <c:v>44970</c:v>
                </c:pt>
                <c:pt idx="224">
                  <c:v>44977</c:v>
                </c:pt>
                <c:pt idx="225">
                  <c:v>44984</c:v>
                </c:pt>
                <c:pt idx="226">
                  <c:v>44991</c:v>
                </c:pt>
                <c:pt idx="227">
                  <c:v>44998</c:v>
                </c:pt>
                <c:pt idx="228">
                  <c:v>45005</c:v>
                </c:pt>
                <c:pt idx="229">
                  <c:v>45012</c:v>
                </c:pt>
                <c:pt idx="230">
                  <c:v>45019</c:v>
                </c:pt>
                <c:pt idx="231">
                  <c:v>45026</c:v>
                </c:pt>
                <c:pt idx="232">
                  <c:v>45033</c:v>
                </c:pt>
                <c:pt idx="233">
                  <c:v>45040</c:v>
                </c:pt>
                <c:pt idx="234">
                  <c:v>45047</c:v>
                </c:pt>
                <c:pt idx="235">
                  <c:v>45054</c:v>
                </c:pt>
                <c:pt idx="236">
                  <c:v>45061</c:v>
                </c:pt>
                <c:pt idx="237">
                  <c:v>45068</c:v>
                </c:pt>
                <c:pt idx="238">
                  <c:v>45075</c:v>
                </c:pt>
                <c:pt idx="239">
                  <c:v>45082</c:v>
                </c:pt>
                <c:pt idx="240">
                  <c:v>45089</c:v>
                </c:pt>
                <c:pt idx="241">
                  <c:v>45096</c:v>
                </c:pt>
                <c:pt idx="242">
                  <c:v>45103</c:v>
                </c:pt>
                <c:pt idx="243">
                  <c:v>45110</c:v>
                </c:pt>
                <c:pt idx="244">
                  <c:v>45117</c:v>
                </c:pt>
                <c:pt idx="245">
                  <c:v>45124</c:v>
                </c:pt>
                <c:pt idx="246">
                  <c:v>45131</c:v>
                </c:pt>
                <c:pt idx="247">
                  <c:v>45138</c:v>
                </c:pt>
                <c:pt idx="248">
                  <c:v>45145</c:v>
                </c:pt>
                <c:pt idx="249">
                  <c:v>45152</c:v>
                </c:pt>
                <c:pt idx="250">
                  <c:v>45159</c:v>
                </c:pt>
                <c:pt idx="251">
                  <c:v>45166</c:v>
                </c:pt>
                <c:pt idx="252">
                  <c:v>45173</c:v>
                </c:pt>
                <c:pt idx="253">
                  <c:v>45180</c:v>
                </c:pt>
                <c:pt idx="254">
                  <c:v>45187</c:v>
                </c:pt>
                <c:pt idx="255">
                  <c:v>45194</c:v>
                </c:pt>
                <c:pt idx="256">
                  <c:v>45201</c:v>
                </c:pt>
                <c:pt idx="257">
                  <c:v>45208</c:v>
                </c:pt>
                <c:pt idx="258">
                  <c:v>45215</c:v>
                </c:pt>
                <c:pt idx="259">
                  <c:v>45222</c:v>
                </c:pt>
                <c:pt idx="260">
                  <c:v>45226</c:v>
                </c:pt>
              </c:numCache>
            </c:numRef>
          </c:cat>
          <c:val>
            <c:numRef>
              <c:f>'Qn3 PG'!$C$3:$C$263</c:f>
              <c:numCache>
                <c:formatCode>General</c:formatCode>
                <c:ptCount val="261"/>
                <c:pt idx="0">
                  <c:v>81.423896999999997</c:v>
                </c:pt>
                <c:pt idx="1">
                  <c:v>82.666274999999999</c:v>
                </c:pt>
                <c:pt idx="2">
                  <c:v>80.657325999999998</c:v>
                </c:pt>
                <c:pt idx="3">
                  <c:v>83.274238999999994</c:v>
                </c:pt>
                <c:pt idx="4">
                  <c:v>81.459129000000004</c:v>
                </c:pt>
                <c:pt idx="5">
                  <c:v>85.151015999999998</c:v>
                </c:pt>
                <c:pt idx="6">
                  <c:v>80.155097999999995</c:v>
                </c:pt>
                <c:pt idx="7">
                  <c:v>80.340110999999993</c:v>
                </c:pt>
                <c:pt idx="8">
                  <c:v>81.494384999999994</c:v>
                </c:pt>
                <c:pt idx="9">
                  <c:v>80.859970000000004</c:v>
                </c:pt>
                <c:pt idx="10">
                  <c:v>80.551558999999997</c:v>
                </c:pt>
                <c:pt idx="11">
                  <c:v>83.124709999999993</c:v>
                </c:pt>
                <c:pt idx="12">
                  <c:v>86.561599999999999</c:v>
                </c:pt>
                <c:pt idx="13">
                  <c:v>86.774733999999995</c:v>
                </c:pt>
                <c:pt idx="14">
                  <c:v>87.458572000000004</c:v>
                </c:pt>
                <c:pt idx="15">
                  <c:v>89.030486999999994</c:v>
                </c:pt>
                <c:pt idx="16">
                  <c:v>87.423064999999994</c:v>
                </c:pt>
                <c:pt idx="17">
                  <c:v>87.396393000000003</c:v>
                </c:pt>
                <c:pt idx="18">
                  <c:v>90.975395000000006</c:v>
                </c:pt>
                <c:pt idx="19">
                  <c:v>90.282677000000007</c:v>
                </c:pt>
                <c:pt idx="20">
                  <c:v>92.405212000000006</c:v>
                </c:pt>
                <c:pt idx="21">
                  <c:v>92.049980000000005</c:v>
                </c:pt>
                <c:pt idx="22">
                  <c:v>93.302147000000005</c:v>
                </c:pt>
                <c:pt idx="23">
                  <c:v>94.181374000000005</c:v>
                </c:pt>
                <c:pt idx="24">
                  <c:v>94.676322999999996</c:v>
                </c:pt>
                <c:pt idx="25">
                  <c:v>94.873062000000004</c:v>
                </c:pt>
                <c:pt idx="26">
                  <c:v>94.810471000000007</c:v>
                </c:pt>
                <c:pt idx="27">
                  <c:v>96.098335000000006</c:v>
                </c:pt>
                <c:pt idx="28">
                  <c:v>95.418633</c:v>
                </c:pt>
                <c:pt idx="29">
                  <c:v>92.037964000000002</c:v>
                </c:pt>
                <c:pt idx="30">
                  <c:v>97.278885000000002</c:v>
                </c:pt>
                <c:pt idx="31">
                  <c:v>99.452171000000007</c:v>
                </c:pt>
                <c:pt idx="32">
                  <c:v>99.452171000000007</c:v>
                </c:pt>
                <c:pt idx="33">
                  <c:v>98.065933000000001</c:v>
                </c:pt>
                <c:pt idx="34">
                  <c:v>101.196144</c:v>
                </c:pt>
                <c:pt idx="35">
                  <c:v>102.84176600000001</c:v>
                </c:pt>
                <c:pt idx="36">
                  <c:v>102.859657</c:v>
                </c:pt>
                <c:pt idx="37">
                  <c:v>103.27375000000001</c:v>
                </c:pt>
                <c:pt idx="38">
                  <c:v>104.812988</c:v>
                </c:pt>
                <c:pt idx="39">
                  <c:v>105.119034</c:v>
                </c:pt>
                <c:pt idx="40">
                  <c:v>107.27939600000001</c:v>
                </c:pt>
                <c:pt idx="41">
                  <c:v>105.605118</c:v>
                </c:pt>
                <c:pt idx="42">
                  <c:v>108.224564</c:v>
                </c:pt>
                <c:pt idx="43">
                  <c:v>110.60092899999999</c:v>
                </c:pt>
                <c:pt idx="44">
                  <c:v>109.92581199999999</c:v>
                </c:pt>
                <c:pt idx="45">
                  <c:v>110.033829</c:v>
                </c:pt>
                <c:pt idx="46">
                  <c:v>112.131165</c:v>
                </c:pt>
                <c:pt idx="47">
                  <c:v>111.618088</c:v>
                </c:pt>
                <c:pt idx="48">
                  <c:v>108.99865</c:v>
                </c:pt>
                <c:pt idx="49">
                  <c:v>105.740143</c:v>
                </c:pt>
                <c:pt idx="50">
                  <c:v>111.65164900000001</c:v>
                </c:pt>
                <c:pt idx="51">
                  <c:v>112.21333300000001</c:v>
                </c:pt>
                <c:pt idx="52">
                  <c:v>108.435738</c:v>
                </c:pt>
                <c:pt idx="53">
                  <c:v>109.196701</c:v>
                </c:pt>
                <c:pt idx="54">
                  <c:v>108.970215</c:v>
                </c:pt>
                <c:pt idx="55">
                  <c:v>110.57364699999999</c:v>
                </c:pt>
                <c:pt idx="56">
                  <c:v>112.50322</c:v>
                </c:pt>
                <c:pt idx="57">
                  <c:v>113.66275</c:v>
                </c:pt>
                <c:pt idx="58">
                  <c:v>113.563103</c:v>
                </c:pt>
                <c:pt idx="59">
                  <c:v>114.224419</c:v>
                </c:pt>
                <c:pt idx="60">
                  <c:v>111.044708</c:v>
                </c:pt>
                <c:pt idx="61">
                  <c:v>112.303909</c:v>
                </c:pt>
                <c:pt idx="62">
                  <c:v>114.514313</c:v>
                </c:pt>
                <c:pt idx="63">
                  <c:v>113.363792</c:v>
                </c:pt>
                <c:pt idx="64">
                  <c:v>113.56345399999999</c:v>
                </c:pt>
                <c:pt idx="65">
                  <c:v>114.893929</c:v>
                </c:pt>
                <c:pt idx="66">
                  <c:v>114.948601</c:v>
                </c:pt>
                <c:pt idx="67">
                  <c:v>115.458916</c:v>
                </c:pt>
                <c:pt idx="68">
                  <c:v>103.184006</c:v>
                </c:pt>
                <c:pt idx="69">
                  <c:v>110.86608099999999</c:v>
                </c:pt>
                <c:pt idx="70">
                  <c:v>103.949471</c:v>
                </c:pt>
                <c:pt idx="71">
                  <c:v>93.342208999999997</c:v>
                </c:pt>
                <c:pt idx="72">
                  <c:v>100.39550800000001</c:v>
                </c:pt>
                <c:pt idx="73">
                  <c:v>104.86985799999999</c:v>
                </c:pt>
                <c:pt idx="74">
                  <c:v>104.487122</c:v>
                </c:pt>
                <c:pt idx="75">
                  <c:v>113.627251</c:v>
                </c:pt>
                <c:pt idx="76">
                  <c:v>108.24160000000001</c:v>
                </c:pt>
                <c:pt idx="77">
                  <c:v>107.165443</c:v>
                </c:pt>
                <c:pt idx="78">
                  <c:v>106.36734800000001</c:v>
                </c:pt>
                <c:pt idx="79">
                  <c:v>105.138092</c:v>
                </c:pt>
                <c:pt idx="80">
                  <c:v>103.29420500000001</c:v>
                </c:pt>
                <c:pt idx="81">
                  <c:v>106.33981300000001</c:v>
                </c:pt>
                <c:pt idx="82">
                  <c:v>108.55064400000001</c:v>
                </c:pt>
                <c:pt idx="83">
                  <c:v>106.06461299999999</c:v>
                </c:pt>
                <c:pt idx="84">
                  <c:v>109.09189600000001</c:v>
                </c:pt>
                <c:pt idx="85">
                  <c:v>105.70684799999999</c:v>
                </c:pt>
                <c:pt idx="86">
                  <c:v>110.8899</c:v>
                </c:pt>
                <c:pt idx="87">
                  <c:v>113.651146</c:v>
                </c:pt>
                <c:pt idx="88">
                  <c:v>115.247337</c:v>
                </c:pt>
                <c:pt idx="89">
                  <c:v>115.550079</c:v>
                </c:pt>
                <c:pt idx="90">
                  <c:v>121.042664</c:v>
                </c:pt>
                <c:pt idx="91">
                  <c:v>123.28594200000001</c:v>
                </c:pt>
                <c:pt idx="92">
                  <c:v>124.71678900000001</c:v>
                </c:pt>
                <c:pt idx="93">
                  <c:v>126.876938</c:v>
                </c:pt>
                <c:pt idx="94">
                  <c:v>128.10470599999999</c:v>
                </c:pt>
                <c:pt idx="95">
                  <c:v>127.356987</c:v>
                </c:pt>
                <c:pt idx="96">
                  <c:v>127.523132</c:v>
                </c:pt>
                <c:pt idx="97">
                  <c:v>126.812309</c:v>
                </c:pt>
                <c:pt idx="98">
                  <c:v>127.043098</c:v>
                </c:pt>
                <c:pt idx="99">
                  <c:v>127.504677</c:v>
                </c:pt>
                <c:pt idx="100">
                  <c:v>131.93573000000001</c:v>
                </c:pt>
                <c:pt idx="101">
                  <c:v>133.292801</c:v>
                </c:pt>
                <c:pt idx="102">
                  <c:v>131.437286</c:v>
                </c:pt>
                <c:pt idx="103">
                  <c:v>127.265823</c:v>
                </c:pt>
                <c:pt idx="104">
                  <c:v>132.956085</c:v>
                </c:pt>
                <c:pt idx="105">
                  <c:v>133.930801</c:v>
                </c:pt>
                <c:pt idx="106">
                  <c:v>129.307999</c:v>
                </c:pt>
                <c:pt idx="107">
                  <c:v>128.667496</c:v>
                </c:pt>
                <c:pt idx="108">
                  <c:v>127.60927599999999</c:v>
                </c:pt>
                <c:pt idx="109">
                  <c:v>126.71811700000001</c:v>
                </c:pt>
                <c:pt idx="110">
                  <c:v>129.06663499999999</c:v>
                </c:pt>
                <c:pt idx="111">
                  <c:v>127.841331</c:v>
                </c:pt>
                <c:pt idx="112">
                  <c:v>129.15947</c:v>
                </c:pt>
                <c:pt idx="113">
                  <c:v>128.83457899999999</c:v>
                </c:pt>
                <c:pt idx="114">
                  <c:v>125.112206</c:v>
                </c:pt>
                <c:pt idx="115">
                  <c:v>120.675087</c:v>
                </c:pt>
                <c:pt idx="116">
                  <c:v>119.73136100000001</c:v>
                </c:pt>
                <c:pt idx="117">
                  <c:v>121.001419</c:v>
                </c:pt>
                <c:pt idx="118">
                  <c:v>119.180359</c:v>
                </c:pt>
                <c:pt idx="119">
                  <c:v>118.713448</c:v>
                </c:pt>
                <c:pt idx="120">
                  <c:v>115.36084700000001</c:v>
                </c:pt>
                <c:pt idx="121">
                  <c:v>117.64883399999999</c:v>
                </c:pt>
                <c:pt idx="122">
                  <c:v>119.665993</c:v>
                </c:pt>
                <c:pt idx="123">
                  <c:v>119.544579</c:v>
                </c:pt>
                <c:pt idx="124">
                  <c:v>126.492569</c:v>
                </c:pt>
                <c:pt idx="125">
                  <c:v>125.399933</c:v>
                </c:pt>
                <c:pt idx="126">
                  <c:v>127.35172300000001</c:v>
                </c:pt>
                <c:pt idx="127">
                  <c:v>128.17352299999999</c:v>
                </c:pt>
                <c:pt idx="128">
                  <c:v>125.08245100000001</c:v>
                </c:pt>
                <c:pt idx="129">
                  <c:v>125.39398199999999</c:v>
                </c:pt>
                <c:pt idx="130">
                  <c:v>127.01992</c:v>
                </c:pt>
                <c:pt idx="131">
                  <c:v>129.707886</c:v>
                </c:pt>
                <c:pt idx="132">
                  <c:v>129.69845599999999</c:v>
                </c:pt>
                <c:pt idx="133">
                  <c:v>126.737953</c:v>
                </c:pt>
                <c:pt idx="134">
                  <c:v>127.771767</c:v>
                </c:pt>
                <c:pt idx="135">
                  <c:v>126.747353</c:v>
                </c:pt>
                <c:pt idx="136">
                  <c:v>124.087593</c:v>
                </c:pt>
                <c:pt idx="137">
                  <c:v>126.80373400000001</c:v>
                </c:pt>
                <c:pt idx="138">
                  <c:v>127.7248</c:v>
                </c:pt>
                <c:pt idx="139">
                  <c:v>128.78681900000001</c:v>
                </c:pt>
                <c:pt idx="140">
                  <c:v>132.05746500000001</c:v>
                </c:pt>
                <c:pt idx="141">
                  <c:v>131.380798</c:v>
                </c:pt>
                <c:pt idx="142">
                  <c:v>134.514725</c:v>
                </c:pt>
                <c:pt idx="143">
                  <c:v>133.73921200000001</c:v>
                </c:pt>
                <c:pt idx="144">
                  <c:v>135.848251</c:v>
                </c:pt>
                <c:pt idx="145">
                  <c:v>137.21957399999999</c:v>
                </c:pt>
                <c:pt idx="146">
                  <c:v>134.590363</c:v>
                </c:pt>
                <c:pt idx="147">
                  <c:v>136.236008</c:v>
                </c:pt>
                <c:pt idx="148">
                  <c:v>136.311646</c:v>
                </c:pt>
                <c:pt idx="149">
                  <c:v>136.51026899999999</c:v>
                </c:pt>
                <c:pt idx="150">
                  <c:v>135.76312300000001</c:v>
                </c:pt>
                <c:pt idx="151">
                  <c:v>132.00846899999999</c:v>
                </c:pt>
                <c:pt idx="152">
                  <c:v>134.04184000000001</c:v>
                </c:pt>
                <c:pt idx="153">
                  <c:v>136.58592200000001</c:v>
                </c:pt>
                <c:pt idx="154">
                  <c:v>133.19064299999999</c:v>
                </c:pt>
                <c:pt idx="155">
                  <c:v>136.07183800000001</c:v>
                </c:pt>
                <c:pt idx="156">
                  <c:v>138.97425799999999</c:v>
                </c:pt>
                <c:pt idx="157">
                  <c:v>139.46910099999999</c:v>
                </c:pt>
                <c:pt idx="158">
                  <c:v>139.71653699999999</c:v>
                </c:pt>
                <c:pt idx="159">
                  <c:v>140.335083</c:v>
                </c:pt>
                <c:pt idx="160">
                  <c:v>142.62851000000001</c:v>
                </c:pt>
                <c:pt idx="161">
                  <c:v>147.93850699999999</c:v>
                </c:pt>
                <c:pt idx="162">
                  <c:v>149.84176600000001</c:v>
                </c:pt>
                <c:pt idx="163">
                  <c:v>152.35403400000001</c:v>
                </c:pt>
                <c:pt idx="164">
                  <c:v>155.665649</c:v>
                </c:pt>
                <c:pt idx="165">
                  <c:v>154.866287</c:v>
                </c:pt>
                <c:pt idx="166">
                  <c:v>152.07804899999999</c:v>
                </c:pt>
                <c:pt idx="167">
                  <c:v>154.75209000000001</c:v>
                </c:pt>
                <c:pt idx="168">
                  <c:v>153.55934099999999</c:v>
                </c:pt>
                <c:pt idx="169">
                  <c:v>154.54480000000001</c:v>
                </c:pt>
                <c:pt idx="170">
                  <c:v>149.531387</c:v>
                </c:pt>
                <c:pt idx="171">
                  <c:v>152.985275</c:v>
                </c:pt>
                <c:pt idx="172">
                  <c:v>151.39707899999999</c:v>
                </c:pt>
                <c:pt idx="173">
                  <c:v>148.43112199999999</c:v>
                </c:pt>
                <c:pt idx="174">
                  <c:v>137.02659600000001</c:v>
                </c:pt>
                <c:pt idx="175">
                  <c:v>143.65690599999999</c:v>
                </c:pt>
                <c:pt idx="176">
                  <c:v>146.22100800000001</c:v>
                </c:pt>
                <c:pt idx="177">
                  <c:v>148.383286</c:v>
                </c:pt>
                <c:pt idx="178">
                  <c:v>153.176636</c:v>
                </c:pt>
                <c:pt idx="179">
                  <c:v>151.71279899999999</c:v>
                </c:pt>
                <c:pt idx="180">
                  <c:v>154.27690100000001</c:v>
                </c:pt>
                <c:pt idx="181">
                  <c:v>154.46893299999999</c:v>
                </c:pt>
                <c:pt idx="182">
                  <c:v>150.09129300000001</c:v>
                </c:pt>
                <c:pt idx="183">
                  <c:v>147.80143699999999</c:v>
                </c:pt>
                <c:pt idx="184">
                  <c:v>136.41951</c:v>
                </c:pt>
                <c:pt idx="185">
                  <c:v>143.08702099999999</c:v>
                </c:pt>
                <c:pt idx="186">
                  <c:v>140.364227</c:v>
                </c:pt>
                <c:pt idx="187">
                  <c:v>136.57347100000001</c:v>
                </c:pt>
                <c:pt idx="188">
                  <c:v>127.34668000000001</c:v>
                </c:pt>
                <c:pt idx="189">
                  <c:v>138.882553</c:v>
                </c:pt>
                <c:pt idx="190">
                  <c:v>140.57591199999999</c:v>
                </c:pt>
                <c:pt idx="191">
                  <c:v>139.527176</c:v>
                </c:pt>
                <c:pt idx="192">
                  <c:v>139.57530199999999</c:v>
                </c:pt>
                <c:pt idx="193">
                  <c:v>137.602936</c:v>
                </c:pt>
                <c:pt idx="194">
                  <c:v>134.51623499999999</c:v>
                </c:pt>
                <c:pt idx="195">
                  <c:v>140.14244099999999</c:v>
                </c:pt>
                <c:pt idx="196">
                  <c:v>142.03076200000001</c:v>
                </c:pt>
                <c:pt idx="197">
                  <c:v>144.993988</c:v>
                </c:pt>
                <c:pt idx="198">
                  <c:v>137.789322</c:v>
                </c:pt>
                <c:pt idx="199">
                  <c:v>132.821594</c:v>
                </c:pt>
                <c:pt idx="200">
                  <c:v>135.53301999999999</c:v>
                </c:pt>
                <c:pt idx="201">
                  <c:v>133.906158</c:v>
                </c:pt>
                <c:pt idx="202">
                  <c:v>131.29155</c:v>
                </c:pt>
                <c:pt idx="203">
                  <c:v>122.256668</c:v>
                </c:pt>
                <c:pt idx="204">
                  <c:v>120.339294</c:v>
                </c:pt>
                <c:pt idx="205">
                  <c:v>121.12367999999999</c:v>
                </c:pt>
                <c:pt idx="206">
                  <c:v>124.512978</c:v>
                </c:pt>
                <c:pt idx="207">
                  <c:v>131.87223800000001</c:v>
                </c:pt>
                <c:pt idx="208">
                  <c:v>131.111557</c:v>
                </c:pt>
                <c:pt idx="209">
                  <c:v>137.479874</c:v>
                </c:pt>
                <c:pt idx="210">
                  <c:v>139.04028299999999</c:v>
                </c:pt>
                <c:pt idx="211">
                  <c:v>143.087524</c:v>
                </c:pt>
                <c:pt idx="212">
                  <c:v>146.881226</c:v>
                </c:pt>
                <c:pt idx="213">
                  <c:v>147.18353300000001</c:v>
                </c:pt>
                <c:pt idx="214">
                  <c:v>146.71542400000001</c:v>
                </c:pt>
                <c:pt idx="215">
                  <c:v>148.84144599999999</c:v>
                </c:pt>
                <c:pt idx="216">
                  <c:v>147.807693</c:v>
                </c:pt>
                <c:pt idx="217">
                  <c:v>150.10926799999999</c:v>
                </c:pt>
                <c:pt idx="218">
                  <c:v>147.144531</c:v>
                </c:pt>
                <c:pt idx="219">
                  <c:v>139.430374</c:v>
                </c:pt>
                <c:pt idx="220">
                  <c:v>137.95002700000001</c:v>
                </c:pt>
                <c:pt idx="221">
                  <c:v>139.952011</c:v>
                </c:pt>
                <c:pt idx="222">
                  <c:v>135.683075</c:v>
                </c:pt>
                <c:pt idx="223">
                  <c:v>137.40046699999999</c:v>
                </c:pt>
                <c:pt idx="224">
                  <c:v>136.664444</c:v>
                </c:pt>
                <c:pt idx="225">
                  <c:v>138.32295199999999</c:v>
                </c:pt>
                <c:pt idx="226">
                  <c:v>134.633026</c:v>
                </c:pt>
                <c:pt idx="227">
                  <c:v>140.26603700000001</c:v>
                </c:pt>
                <c:pt idx="228">
                  <c:v>143.98541299999999</c:v>
                </c:pt>
                <c:pt idx="229">
                  <c:v>145.91868600000001</c:v>
                </c:pt>
                <c:pt idx="230">
                  <c:v>149.38288900000001</c:v>
                </c:pt>
                <c:pt idx="231">
                  <c:v>148.18563800000001</c:v>
                </c:pt>
                <c:pt idx="232">
                  <c:v>153.16113300000001</c:v>
                </c:pt>
                <c:pt idx="233">
                  <c:v>154.42619300000001</c:v>
                </c:pt>
                <c:pt idx="234">
                  <c:v>154.08055100000001</c:v>
                </c:pt>
                <c:pt idx="235">
                  <c:v>154.01144400000001</c:v>
                </c:pt>
                <c:pt idx="236">
                  <c:v>151.25628699999999</c:v>
                </c:pt>
                <c:pt idx="237">
                  <c:v>143.583359</c:v>
                </c:pt>
                <c:pt idx="238">
                  <c:v>144.68937700000001</c:v>
                </c:pt>
                <c:pt idx="239">
                  <c:v>144.72886700000001</c:v>
                </c:pt>
                <c:pt idx="240">
                  <c:v>147.67163099999999</c:v>
                </c:pt>
                <c:pt idx="241">
                  <c:v>146.60514800000001</c:v>
                </c:pt>
                <c:pt idx="242">
                  <c:v>149.84416200000001</c:v>
                </c:pt>
                <c:pt idx="243">
                  <c:v>146.940887</c:v>
                </c:pt>
                <c:pt idx="244">
                  <c:v>148.17527799999999</c:v>
                </c:pt>
                <c:pt idx="245">
                  <c:v>151.019272</c:v>
                </c:pt>
                <c:pt idx="246">
                  <c:v>155.42898600000001</c:v>
                </c:pt>
                <c:pt idx="247">
                  <c:v>154.30607599999999</c:v>
                </c:pt>
                <c:pt idx="248">
                  <c:v>156.035156</c:v>
                </c:pt>
                <c:pt idx="249">
                  <c:v>151.58325199999999</c:v>
                </c:pt>
                <c:pt idx="250">
                  <c:v>152.57698099999999</c:v>
                </c:pt>
                <c:pt idx="251">
                  <c:v>153.54089400000001</c:v>
                </c:pt>
                <c:pt idx="252">
                  <c:v>151.97081</c:v>
                </c:pt>
                <c:pt idx="253">
                  <c:v>152.507431</c:v>
                </c:pt>
                <c:pt idx="254">
                  <c:v>150.629288</c:v>
                </c:pt>
                <c:pt idx="255">
                  <c:v>144.94515999999999</c:v>
                </c:pt>
                <c:pt idx="256">
                  <c:v>143.186249</c:v>
                </c:pt>
                <c:pt idx="257">
                  <c:v>143.782501</c:v>
                </c:pt>
                <c:pt idx="258">
                  <c:v>147.12142900000001</c:v>
                </c:pt>
                <c:pt idx="259">
                  <c:v>147.16000399999999</c:v>
                </c:pt>
                <c:pt idx="260">
                  <c:v>147.16000399999999</c:v>
                </c:pt>
              </c:numCache>
            </c:numRef>
          </c:val>
          <c:smooth val="0"/>
          <c:extLst>
            <c:ext xmlns:c16="http://schemas.microsoft.com/office/drawing/2014/chart" uri="{C3380CC4-5D6E-409C-BE32-E72D297353CC}">
              <c16:uniqueId val="{00000000-3970-4109-A63F-5B86D0B15C16}"/>
            </c:ext>
          </c:extLst>
        </c:ser>
        <c:dLbls>
          <c:showLegendKey val="0"/>
          <c:showVal val="0"/>
          <c:showCatName val="0"/>
          <c:showSerName val="0"/>
          <c:showPercent val="0"/>
          <c:showBubbleSize val="0"/>
        </c:dLbls>
        <c:smooth val="0"/>
        <c:axId val="274251520"/>
        <c:axId val="274244320"/>
      </c:lineChart>
      <c:dateAx>
        <c:axId val="27425152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244320"/>
        <c:crosses val="autoZero"/>
        <c:auto val="1"/>
        <c:lblOffset val="100"/>
        <c:baseTimeUnit val="days"/>
      </c:dateAx>
      <c:valAx>
        <c:axId val="27424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2515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Simulated</a:t>
            </a:r>
            <a:r>
              <a:rPr lang="en-US" baseline="0"/>
              <a:t> Stock Price over 24 wks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'Qn3 PG'!$B$265:$B$288</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'Qn3 PG'!$C$265:$C$288</c:f>
              <c:numCache>
                <c:formatCode>General</c:formatCode>
                <c:ptCount val="24"/>
                <c:pt idx="0">
                  <c:v>148.75420266834541</c:v>
                </c:pt>
                <c:pt idx="1">
                  <c:v>152.52771240840113</c:v>
                </c:pt>
                <c:pt idx="2">
                  <c:v>149.46370177390483</c:v>
                </c:pt>
                <c:pt idx="3">
                  <c:v>151.35097695434985</c:v>
                </c:pt>
                <c:pt idx="4">
                  <c:v>144.09727655090435</c:v>
                </c:pt>
                <c:pt idx="5">
                  <c:v>151.29744023643303</c:v>
                </c:pt>
                <c:pt idx="6">
                  <c:v>150.22794408653508</c:v>
                </c:pt>
                <c:pt idx="7">
                  <c:v>153.70878520268022</c:v>
                </c:pt>
                <c:pt idx="8">
                  <c:v>163.82418551003732</c:v>
                </c:pt>
                <c:pt idx="9">
                  <c:v>174.49443819498887</c:v>
                </c:pt>
                <c:pt idx="10">
                  <c:v>171.52448537991361</c:v>
                </c:pt>
                <c:pt idx="11">
                  <c:v>161.33990455375968</c:v>
                </c:pt>
                <c:pt idx="12">
                  <c:v>156.19668600359174</c:v>
                </c:pt>
                <c:pt idx="13">
                  <c:v>150.6267129457575</c:v>
                </c:pt>
                <c:pt idx="14">
                  <c:v>147.01399312954223</c:v>
                </c:pt>
                <c:pt idx="15">
                  <c:v>142.82456804575506</c:v>
                </c:pt>
                <c:pt idx="16">
                  <c:v>143.09421434071893</c:v>
                </c:pt>
                <c:pt idx="17">
                  <c:v>146.81873829053649</c:v>
                </c:pt>
                <c:pt idx="18">
                  <c:v>149.27094468299535</c:v>
                </c:pt>
                <c:pt idx="19">
                  <c:v>147.77734606860892</c:v>
                </c:pt>
                <c:pt idx="20">
                  <c:v>146.42801557503077</c:v>
                </c:pt>
                <c:pt idx="21">
                  <c:v>154.53473641347495</c:v>
                </c:pt>
                <c:pt idx="22">
                  <c:v>156.09560481462788</c:v>
                </c:pt>
                <c:pt idx="23">
                  <c:v>156.5477886743931</c:v>
                </c:pt>
              </c:numCache>
            </c:numRef>
          </c:yVal>
          <c:smooth val="0"/>
          <c:extLst>
            <c:ext xmlns:c16="http://schemas.microsoft.com/office/drawing/2014/chart" uri="{C3380CC4-5D6E-409C-BE32-E72D297353CC}">
              <c16:uniqueId val="{00000000-9A05-49E3-9E2E-31BF64EFEB14}"/>
            </c:ext>
          </c:extLst>
        </c:ser>
        <c:dLbls>
          <c:showLegendKey val="0"/>
          <c:showVal val="0"/>
          <c:showCatName val="0"/>
          <c:showSerName val="0"/>
          <c:showPercent val="0"/>
          <c:showBubbleSize val="0"/>
        </c:dLbls>
        <c:axId val="554941456"/>
        <c:axId val="554949616"/>
      </c:scatterChart>
      <c:valAx>
        <c:axId val="554941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949616"/>
        <c:crosses val="autoZero"/>
        <c:crossBetween val="midCat"/>
      </c:valAx>
      <c:valAx>
        <c:axId val="554949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9414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9530572807070474E-2"/>
          <c:y val="1.2958375479866729E-2"/>
          <c:w val="0.90077751852173249"/>
          <c:h val="0.85776327534527652"/>
        </c:manualLayout>
      </c:layout>
      <c:scatterChart>
        <c:scatterStyle val="smoothMarker"/>
        <c:varyColors val="0"/>
        <c:ser>
          <c:idx val="0"/>
          <c:order val="0"/>
          <c:tx>
            <c:strRef>
              <c:f>'Qn4 Debit Card Use (optional)'!$D$2</c:f>
              <c:strCache>
                <c:ptCount val="1"/>
                <c:pt idx="0">
                  <c:v>debit(000)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'Qn4 Debit Card Use (optional)'!$D$3:$D$74</c:f>
              <c:numCache>
                <c:formatCode>General</c:formatCode>
                <c:ptCount val="72"/>
                <c:pt idx="0">
                  <c:v>16198</c:v>
                </c:pt>
                <c:pt idx="1">
                  <c:v>15060</c:v>
                </c:pt>
                <c:pt idx="2">
                  <c:v>16168</c:v>
                </c:pt>
                <c:pt idx="3">
                  <c:v>16376</c:v>
                </c:pt>
                <c:pt idx="4">
                  <c:v>18403</c:v>
                </c:pt>
                <c:pt idx="5">
                  <c:v>19113</c:v>
                </c:pt>
                <c:pt idx="6">
                  <c:v>19303</c:v>
                </c:pt>
                <c:pt idx="7">
                  <c:v>20560</c:v>
                </c:pt>
                <c:pt idx="8">
                  <c:v>16621</c:v>
                </c:pt>
                <c:pt idx="9">
                  <c:v>18788</c:v>
                </c:pt>
                <c:pt idx="10">
                  <c:v>17970</c:v>
                </c:pt>
                <c:pt idx="11">
                  <c:v>22464</c:v>
                </c:pt>
                <c:pt idx="12">
                  <c:v>16658</c:v>
                </c:pt>
                <c:pt idx="13">
                  <c:v>16214</c:v>
                </c:pt>
                <c:pt idx="14">
                  <c:v>16043</c:v>
                </c:pt>
                <c:pt idx="15">
                  <c:v>16418</c:v>
                </c:pt>
                <c:pt idx="16">
                  <c:v>17644</c:v>
                </c:pt>
                <c:pt idx="17">
                  <c:v>17705</c:v>
                </c:pt>
                <c:pt idx="18">
                  <c:v>18107</c:v>
                </c:pt>
                <c:pt idx="19">
                  <c:v>17975</c:v>
                </c:pt>
                <c:pt idx="20">
                  <c:v>17598</c:v>
                </c:pt>
                <c:pt idx="21">
                  <c:v>17658</c:v>
                </c:pt>
                <c:pt idx="22">
                  <c:v>15750</c:v>
                </c:pt>
                <c:pt idx="23">
                  <c:v>22414</c:v>
                </c:pt>
                <c:pt idx="24">
                  <c:v>16065</c:v>
                </c:pt>
                <c:pt idx="25">
                  <c:v>15467</c:v>
                </c:pt>
                <c:pt idx="26">
                  <c:v>16297</c:v>
                </c:pt>
                <c:pt idx="27">
                  <c:v>16530</c:v>
                </c:pt>
                <c:pt idx="28">
                  <c:v>18410</c:v>
                </c:pt>
                <c:pt idx="29">
                  <c:v>20274</c:v>
                </c:pt>
                <c:pt idx="30">
                  <c:v>21311</c:v>
                </c:pt>
                <c:pt idx="31">
                  <c:v>20991</c:v>
                </c:pt>
                <c:pt idx="32">
                  <c:v>18305</c:v>
                </c:pt>
                <c:pt idx="33">
                  <c:v>17832</c:v>
                </c:pt>
                <c:pt idx="34">
                  <c:v>18223</c:v>
                </c:pt>
                <c:pt idx="35">
                  <c:v>23987</c:v>
                </c:pt>
                <c:pt idx="36">
                  <c:v>15964</c:v>
                </c:pt>
                <c:pt idx="37">
                  <c:v>16606</c:v>
                </c:pt>
                <c:pt idx="38">
                  <c:v>19216</c:v>
                </c:pt>
                <c:pt idx="39">
                  <c:v>16419</c:v>
                </c:pt>
                <c:pt idx="40">
                  <c:v>19638</c:v>
                </c:pt>
                <c:pt idx="41">
                  <c:v>19773</c:v>
                </c:pt>
                <c:pt idx="42">
                  <c:v>21052</c:v>
                </c:pt>
                <c:pt idx="43">
                  <c:v>22011</c:v>
                </c:pt>
                <c:pt idx="44">
                  <c:v>19039</c:v>
                </c:pt>
                <c:pt idx="45">
                  <c:v>17893</c:v>
                </c:pt>
                <c:pt idx="46">
                  <c:v>19276</c:v>
                </c:pt>
                <c:pt idx="47">
                  <c:v>25167</c:v>
                </c:pt>
                <c:pt idx="48">
                  <c:v>16699</c:v>
                </c:pt>
                <c:pt idx="49">
                  <c:v>16619</c:v>
                </c:pt>
                <c:pt idx="50">
                  <c:v>17851</c:v>
                </c:pt>
                <c:pt idx="51">
                  <c:v>18160</c:v>
                </c:pt>
                <c:pt idx="52">
                  <c:v>22032</c:v>
                </c:pt>
                <c:pt idx="53">
                  <c:v>21395</c:v>
                </c:pt>
                <c:pt idx="54">
                  <c:v>22217</c:v>
                </c:pt>
                <c:pt idx="55">
                  <c:v>24565</c:v>
                </c:pt>
                <c:pt idx="56">
                  <c:v>21095</c:v>
                </c:pt>
                <c:pt idx="57">
                  <c:v>20114</c:v>
                </c:pt>
                <c:pt idx="58">
                  <c:v>19931</c:v>
                </c:pt>
                <c:pt idx="59">
                  <c:v>26120</c:v>
                </c:pt>
                <c:pt idx="60">
                  <c:v>18580</c:v>
                </c:pt>
                <c:pt idx="61">
                  <c:v>18492</c:v>
                </c:pt>
                <c:pt idx="62">
                  <c:v>19724</c:v>
                </c:pt>
                <c:pt idx="63">
                  <c:v>20123</c:v>
                </c:pt>
                <c:pt idx="64">
                  <c:v>22582</c:v>
                </c:pt>
                <c:pt idx="65">
                  <c:v>22595</c:v>
                </c:pt>
                <c:pt idx="66">
                  <c:v>23379</c:v>
                </c:pt>
                <c:pt idx="67">
                  <c:v>24920</c:v>
                </c:pt>
                <c:pt idx="68">
                  <c:v>20325</c:v>
                </c:pt>
                <c:pt idx="69">
                  <c:v>22038</c:v>
                </c:pt>
                <c:pt idx="70">
                  <c:v>20988</c:v>
                </c:pt>
                <c:pt idx="71">
                  <c:v>26675</c:v>
                </c:pt>
              </c:numCache>
            </c:numRef>
          </c:yVal>
          <c:smooth val="1"/>
          <c:extLst>
            <c:ext xmlns:c16="http://schemas.microsoft.com/office/drawing/2014/chart" uri="{C3380CC4-5D6E-409C-BE32-E72D297353CC}">
              <c16:uniqueId val="{00000000-7D8D-5F4F-944C-6CF9AE5825AE}"/>
            </c:ext>
          </c:extLst>
        </c:ser>
        <c:ser>
          <c:idx val="1"/>
          <c:order val="1"/>
          <c:tx>
            <c:strRef>
              <c:f>'Qn4 Debit Card Use (optional)'!$H$2</c:f>
              <c:strCache>
                <c:ptCount val="1"/>
                <c:pt idx="0">
                  <c:v>Forecast</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yVal>
            <c:numRef>
              <c:f>'Qn4 Debit Card Use (optional)'!$H$6:$H$74</c:f>
              <c:numCache>
                <c:formatCode>General</c:formatCode>
                <c:ptCount val="69"/>
                <c:pt idx="0">
                  <c:v>16200.390798296294</c:v>
                </c:pt>
                <c:pt idx="1">
                  <c:v>15074.764410428344</c:v>
                </c:pt>
                <c:pt idx="2">
                  <c:v>16419.64491100916</c:v>
                </c:pt>
                <c:pt idx="3">
                  <c:v>16670.440663067395</c:v>
                </c:pt>
                <c:pt idx="4">
                  <c:v>16081.16444294008</c:v>
                </c:pt>
                <c:pt idx="5">
                  <c:v>17517.979805926054</c:v>
                </c:pt>
                <c:pt idx="6">
                  <c:v>17582.898331369717</c:v>
                </c:pt>
                <c:pt idx="7">
                  <c:v>17129.943458593902</c:v>
                </c:pt>
                <c:pt idx="8">
                  <c:v>17723.257083497589</c:v>
                </c:pt>
                <c:pt idx="9">
                  <c:v>18423.503649429651</c:v>
                </c:pt>
                <c:pt idx="10">
                  <c:v>17752.054757760874</c:v>
                </c:pt>
                <c:pt idx="11">
                  <c:v>18688.231451309213</c:v>
                </c:pt>
                <c:pt idx="12">
                  <c:v>18139.749796099659</c:v>
                </c:pt>
                <c:pt idx="13">
                  <c:v>17467.87491623298</c:v>
                </c:pt>
                <c:pt idx="14">
                  <c:v>18348.301306085781</c:v>
                </c:pt>
                <c:pt idx="15">
                  <c:v>18014.064158761525</c:v>
                </c:pt>
                <c:pt idx="16">
                  <c:v>17670.23475867536</c:v>
                </c:pt>
                <c:pt idx="17">
                  <c:v>18466.746030223385</c:v>
                </c:pt>
                <c:pt idx="18">
                  <c:v>18201.58744699787</c:v>
                </c:pt>
                <c:pt idx="19">
                  <c:v>17836.119328071811</c:v>
                </c:pt>
                <c:pt idx="20">
                  <c:v>18329.700032875029</c:v>
                </c:pt>
                <c:pt idx="21">
                  <c:v>18402.372272054869</c:v>
                </c:pt>
                <c:pt idx="22">
                  <c:v>17737.020640543968</c:v>
                </c:pt>
                <c:pt idx="23">
                  <c:v>18955.414308957046</c:v>
                </c:pt>
                <c:pt idx="24">
                  <c:v>17832.873627760171</c:v>
                </c:pt>
                <c:pt idx="25">
                  <c:v>17209.267037041966</c:v>
                </c:pt>
                <c:pt idx="26">
                  <c:v>18566.754645128702</c:v>
                </c:pt>
                <c:pt idx="27">
                  <c:v>17865.403581354189</c:v>
                </c:pt>
                <c:pt idx="28">
                  <c:v>17849.916095412533</c:v>
                </c:pt>
                <c:pt idx="29">
                  <c:v>19477.341488363043</c:v>
                </c:pt>
                <c:pt idx="30">
                  <c:v>18820.489559700509</c:v>
                </c:pt>
                <c:pt idx="31">
                  <c:v>18502.157692406679</c:v>
                </c:pt>
                <c:pt idx="32">
                  <c:v>19400.71623804628</c:v>
                </c:pt>
                <c:pt idx="33">
                  <c:v>19112.647187117713</c:v>
                </c:pt>
                <c:pt idx="34">
                  <c:v>18752.111239570178</c:v>
                </c:pt>
                <c:pt idx="35">
                  <c:v>20119.905750269645</c:v>
                </c:pt>
                <c:pt idx="36">
                  <c:v>18557.196798107059</c:v>
                </c:pt>
                <c:pt idx="37">
                  <c:v>18347.084073447972</c:v>
                </c:pt>
                <c:pt idx="38">
                  <c:v>20062.070545153336</c:v>
                </c:pt>
                <c:pt idx="39">
                  <c:v>18373.541602818528</c:v>
                </c:pt>
                <c:pt idx="40">
                  <c:v>18885.023671482668</c:v>
                </c:pt>
                <c:pt idx="41">
                  <c:v>20591.50209661874</c:v>
                </c:pt>
                <c:pt idx="42">
                  <c:v>19170.006492858694</c:v>
                </c:pt>
                <c:pt idx="43">
                  <c:v>19502.278724382391</c:v>
                </c:pt>
                <c:pt idx="44">
                  <c:v>20435.01264436181</c:v>
                </c:pt>
                <c:pt idx="45">
                  <c:v>19409.228211330545</c:v>
                </c:pt>
                <c:pt idx="46">
                  <c:v>19797.430518662233</c:v>
                </c:pt>
                <c:pt idx="47">
                  <c:v>21140.1632674754</c:v>
                </c:pt>
                <c:pt idx="48">
                  <c:v>18734.490332196128</c:v>
                </c:pt>
                <c:pt idx="49">
                  <c:v>19147.98845649563</c:v>
                </c:pt>
                <c:pt idx="50">
                  <c:v>20837.513419464241</c:v>
                </c:pt>
                <c:pt idx="51">
                  <c:v>18969.952218432423</c:v>
                </c:pt>
                <c:pt idx="52">
                  <c:v>20082.01292889976</c:v>
                </c:pt>
                <c:pt idx="53">
                  <c:v>21680.333615733121</c:v>
                </c:pt>
                <c:pt idx="54">
                  <c:v>20046.002265420579</c:v>
                </c:pt>
                <c:pt idx="55">
                  <c:v>21157.113925413487</c:v>
                </c:pt>
                <c:pt idx="56">
                  <c:v>21807.123865047422</c:v>
                </c:pt>
                <c:pt idx="57">
                  <c:v>20521.958720684015</c:v>
                </c:pt>
                <c:pt idx="58">
                  <c:v>21378.50436956044</c:v>
                </c:pt>
                <c:pt idx="59">
                  <c:v>22595.965084603082</c:v>
                </c:pt>
                <c:pt idx="60">
                  <c:v>20111.785015444919</c:v>
                </c:pt>
                <c:pt idx="61">
                  <c:v>20936.226709258597</c:v>
                </c:pt>
                <c:pt idx="62">
                  <c:v>22427.427460341692</c:v>
                </c:pt>
                <c:pt idx="63">
                  <c:v>20445.016101282152</c:v>
                </c:pt>
                <c:pt idx="64">
                  <c:v>21688.596028076343</c:v>
                </c:pt>
                <c:pt idx="65">
                  <c:v>23170.674321172723</c:v>
                </c:pt>
                <c:pt idx="66">
                  <c:v>21312.930816988257</c:v>
                </c:pt>
                <c:pt idx="67">
                  <c:v>22482.703260514296</c:v>
                </c:pt>
                <c:pt idx="68">
                  <c:v>22938.955082908149</c:v>
                </c:pt>
              </c:numCache>
            </c:numRef>
          </c:yVal>
          <c:smooth val="1"/>
          <c:extLst>
            <c:ext xmlns:c16="http://schemas.microsoft.com/office/drawing/2014/chart" uri="{C3380CC4-5D6E-409C-BE32-E72D297353CC}">
              <c16:uniqueId val="{00000001-DE13-4CAF-98EE-1F2260272B81}"/>
            </c:ext>
          </c:extLst>
        </c:ser>
        <c:dLbls>
          <c:showLegendKey val="0"/>
          <c:showVal val="0"/>
          <c:showCatName val="0"/>
          <c:showSerName val="0"/>
          <c:showPercent val="0"/>
          <c:showBubbleSize val="0"/>
        </c:dLbls>
        <c:axId val="-965999072"/>
        <c:axId val="-965997296"/>
      </c:scatterChart>
      <c:valAx>
        <c:axId val="-965999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997296"/>
        <c:crosses val="autoZero"/>
        <c:crossBetween val="midCat"/>
      </c:valAx>
      <c:valAx>
        <c:axId val="-965997296"/>
        <c:scaling>
          <c:orientation val="minMax"/>
          <c:min val="13000"/>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9990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9530572807070474E-2"/>
          <c:y val="1.2958375479866729E-2"/>
          <c:w val="0.90077751852173249"/>
          <c:h val="0.85776327534527652"/>
        </c:manualLayout>
      </c:layout>
      <c:scatterChart>
        <c:scatterStyle val="smoothMarker"/>
        <c:varyColors val="0"/>
        <c:ser>
          <c:idx val="0"/>
          <c:order val="0"/>
          <c:tx>
            <c:strRef>
              <c:f>'Qn4 Debit Card Use (optiona (2)'!$D$2</c:f>
              <c:strCache>
                <c:ptCount val="1"/>
                <c:pt idx="0">
                  <c:v>debit(000)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'Qn4 Debit Card Use (optiona (2)'!$D$3:$D$74</c:f>
              <c:numCache>
                <c:formatCode>General</c:formatCode>
                <c:ptCount val="72"/>
                <c:pt idx="0">
                  <c:v>16198</c:v>
                </c:pt>
                <c:pt idx="1">
                  <c:v>15060</c:v>
                </c:pt>
                <c:pt idx="2">
                  <c:v>16168</c:v>
                </c:pt>
                <c:pt idx="3">
                  <c:v>16376</c:v>
                </c:pt>
                <c:pt idx="4">
                  <c:v>18403</c:v>
                </c:pt>
                <c:pt idx="5">
                  <c:v>19113</c:v>
                </c:pt>
                <c:pt idx="6">
                  <c:v>19303</c:v>
                </c:pt>
                <c:pt idx="7">
                  <c:v>20560</c:v>
                </c:pt>
                <c:pt idx="8">
                  <c:v>16621</c:v>
                </c:pt>
                <c:pt idx="9">
                  <c:v>18788</c:v>
                </c:pt>
                <c:pt idx="10">
                  <c:v>17970</c:v>
                </c:pt>
                <c:pt idx="11">
                  <c:v>22464</c:v>
                </c:pt>
                <c:pt idx="12">
                  <c:v>16658</c:v>
                </c:pt>
                <c:pt idx="13">
                  <c:v>16214</c:v>
                </c:pt>
                <c:pt idx="14">
                  <c:v>16043</c:v>
                </c:pt>
                <c:pt idx="15">
                  <c:v>16418</c:v>
                </c:pt>
                <c:pt idx="16">
                  <c:v>17644</c:v>
                </c:pt>
                <c:pt idx="17">
                  <c:v>17705</c:v>
                </c:pt>
                <c:pt idx="18">
                  <c:v>18107</c:v>
                </c:pt>
                <c:pt idx="19">
                  <c:v>17975</c:v>
                </c:pt>
                <c:pt idx="20">
                  <c:v>17598</c:v>
                </c:pt>
                <c:pt idx="21">
                  <c:v>17658</c:v>
                </c:pt>
                <c:pt idx="22">
                  <c:v>15750</c:v>
                </c:pt>
                <c:pt idx="23">
                  <c:v>22414</c:v>
                </c:pt>
                <c:pt idx="24">
                  <c:v>16065</c:v>
                </c:pt>
                <c:pt idx="25">
                  <c:v>15467</c:v>
                </c:pt>
                <c:pt idx="26">
                  <c:v>16297</c:v>
                </c:pt>
                <c:pt idx="27">
                  <c:v>16530</c:v>
                </c:pt>
                <c:pt idx="28">
                  <c:v>18410</c:v>
                </c:pt>
                <c:pt idx="29">
                  <c:v>20274</c:v>
                </c:pt>
                <c:pt idx="30">
                  <c:v>21311</c:v>
                </c:pt>
                <c:pt idx="31">
                  <c:v>20991</c:v>
                </c:pt>
                <c:pt idx="32">
                  <c:v>18305</c:v>
                </c:pt>
                <c:pt idx="33">
                  <c:v>17832</c:v>
                </c:pt>
                <c:pt idx="34">
                  <c:v>18223</c:v>
                </c:pt>
                <c:pt idx="35">
                  <c:v>23987</c:v>
                </c:pt>
                <c:pt idx="36">
                  <c:v>15964</c:v>
                </c:pt>
                <c:pt idx="37">
                  <c:v>16606</c:v>
                </c:pt>
                <c:pt idx="38">
                  <c:v>19216</c:v>
                </c:pt>
                <c:pt idx="39">
                  <c:v>16419</c:v>
                </c:pt>
                <c:pt idx="40">
                  <c:v>19638</c:v>
                </c:pt>
                <c:pt idx="41">
                  <c:v>19773</c:v>
                </c:pt>
                <c:pt idx="42">
                  <c:v>21052</c:v>
                </c:pt>
                <c:pt idx="43">
                  <c:v>22011</c:v>
                </c:pt>
                <c:pt idx="44">
                  <c:v>19039</c:v>
                </c:pt>
                <c:pt idx="45">
                  <c:v>17893</c:v>
                </c:pt>
                <c:pt idx="46">
                  <c:v>19276</c:v>
                </c:pt>
                <c:pt idx="47">
                  <c:v>25167</c:v>
                </c:pt>
                <c:pt idx="48">
                  <c:v>16699</c:v>
                </c:pt>
                <c:pt idx="49">
                  <c:v>16619</c:v>
                </c:pt>
                <c:pt idx="50">
                  <c:v>17851</c:v>
                </c:pt>
                <c:pt idx="51">
                  <c:v>18160</c:v>
                </c:pt>
                <c:pt idx="52">
                  <c:v>22032</c:v>
                </c:pt>
                <c:pt idx="53">
                  <c:v>21395</c:v>
                </c:pt>
                <c:pt idx="54">
                  <c:v>22217</c:v>
                </c:pt>
                <c:pt idx="55">
                  <c:v>24565</c:v>
                </c:pt>
                <c:pt idx="56">
                  <c:v>21095</c:v>
                </c:pt>
                <c:pt idx="57">
                  <c:v>20114</c:v>
                </c:pt>
                <c:pt idx="58">
                  <c:v>19931</c:v>
                </c:pt>
                <c:pt idx="59">
                  <c:v>26120</c:v>
                </c:pt>
                <c:pt idx="60">
                  <c:v>18580</c:v>
                </c:pt>
                <c:pt idx="61">
                  <c:v>18492</c:v>
                </c:pt>
                <c:pt idx="62">
                  <c:v>19724</c:v>
                </c:pt>
                <c:pt idx="63">
                  <c:v>20123</c:v>
                </c:pt>
                <c:pt idx="64">
                  <c:v>22582</c:v>
                </c:pt>
                <c:pt idx="65">
                  <c:v>22595</c:v>
                </c:pt>
                <c:pt idx="66">
                  <c:v>23379</c:v>
                </c:pt>
                <c:pt idx="67">
                  <c:v>24920</c:v>
                </c:pt>
                <c:pt idx="68">
                  <c:v>20325</c:v>
                </c:pt>
                <c:pt idx="69">
                  <c:v>22038</c:v>
                </c:pt>
                <c:pt idx="70">
                  <c:v>20988</c:v>
                </c:pt>
                <c:pt idx="71">
                  <c:v>26675</c:v>
                </c:pt>
              </c:numCache>
            </c:numRef>
          </c:yVal>
          <c:smooth val="1"/>
          <c:extLst>
            <c:ext xmlns:c16="http://schemas.microsoft.com/office/drawing/2014/chart" uri="{C3380CC4-5D6E-409C-BE32-E72D297353CC}">
              <c16:uniqueId val="{00000000-6731-49D8-8EE7-B231F798C0C4}"/>
            </c:ext>
          </c:extLst>
        </c:ser>
        <c:ser>
          <c:idx val="1"/>
          <c:order val="1"/>
          <c:tx>
            <c:v>Forecast</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'Qn4 Debit Card Use (optiona (2)'!$A$27:$A$74</c:f>
              <c:numCache>
                <c:formatCode>General</c:formatCode>
                <c:ptCount val="48"/>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numCache>
            </c:numRef>
          </c:xVal>
          <c:yVal>
            <c:numRef>
              <c:f>'Qn4 Debit Card Use (optiona (2)'!$H$27:$H$74</c:f>
              <c:numCache>
                <c:formatCode>General</c:formatCode>
                <c:ptCount val="48"/>
                <c:pt idx="0">
                  <c:v>16659.871650343626</c:v>
                </c:pt>
                <c:pt idx="1">
                  <c:v>16097.125816099204</c:v>
                </c:pt>
                <c:pt idx="2">
                  <c:v>15795.942668245114</c:v>
                </c:pt>
                <c:pt idx="3">
                  <c:v>16266.377678429661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yVal>
          <c:smooth val="1"/>
          <c:extLst>
            <c:ext xmlns:c16="http://schemas.microsoft.com/office/drawing/2014/chart" uri="{C3380CC4-5D6E-409C-BE32-E72D297353CC}">
              <c16:uniqueId val="{00000005-6731-49D8-8EE7-B231F798C0C4}"/>
            </c:ext>
          </c:extLst>
        </c:ser>
        <c:dLbls>
          <c:showLegendKey val="0"/>
          <c:showVal val="0"/>
          <c:showCatName val="0"/>
          <c:showSerName val="0"/>
          <c:showPercent val="0"/>
          <c:showBubbleSize val="0"/>
        </c:dLbls>
        <c:axId val="-965999072"/>
        <c:axId val="-965997296"/>
      </c:scatterChart>
      <c:valAx>
        <c:axId val="-965999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997296"/>
        <c:crosses val="autoZero"/>
        <c:crossBetween val="midCat"/>
      </c:valAx>
      <c:valAx>
        <c:axId val="-965997296"/>
        <c:scaling>
          <c:orientation val="minMax"/>
          <c:min val="13000"/>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9990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814456</xdr:colOff>
      <xdr:row>9</xdr:row>
      <xdr:rowOff>144946</xdr:rowOff>
    </xdr:from>
    <xdr:to>
      <xdr:col>11</xdr:col>
      <xdr:colOff>186087</xdr:colOff>
      <xdr:row>21</xdr:row>
      <xdr:rowOff>200058</xdr:rowOff>
    </xdr:to>
    <xdr:pic>
      <xdr:nvPicPr>
        <xdr:cNvPr id="2" name="Picture 1">
          <a:extLst>
            <a:ext uri="{FF2B5EF4-FFF2-40B4-BE49-F238E27FC236}">
              <a16:creationId xmlns:a16="http://schemas.microsoft.com/office/drawing/2014/main" id="{7C683421-1DF3-1578-D0DF-E4588E110F6B}"/>
            </a:ext>
          </a:extLst>
        </xdr:cNvPr>
        <xdr:cNvPicPr>
          <a:picLocks noChangeAspect="1"/>
        </xdr:cNvPicPr>
      </xdr:nvPicPr>
      <xdr:blipFill>
        <a:blip xmlns:r="http://schemas.openxmlformats.org/officeDocument/2006/relationships" r:embed="rId1"/>
        <a:stretch>
          <a:fillRect/>
        </a:stretch>
      </xdr:blipFill>
      <xdr:spPr>
        <a:xfrm>
          <a:off x="5238749" y="2222500"/>
          <a:ext cx="4451631" cy="2457069"/>
        </a:xfrm>
        <a:prstGeom prst="rect">
          <a:avLst/>
        </a:prstGeom>
      </xdr:spPr>
    </xdr:pic>
    <xdr:clientData/>
  </xdr:twoCellAnchor>
  <xdr:twoCellAnchor editAs="oneCell">
    <xdr:from>
      <xdr:col>5</xdr:col>
      <xdr:colOff>607392</xdr:colOff>
      <xdr:row>24</xdr:row>
      <xdr:rowOff>62120</xdr:rowOff>
    </xdr:from>
    <xdr:to>
      <xdr:col>10</xdr:col>
      <xdr:colOff>341091</xdr:colOff>
      <xdr:row>29</xdr:row>
      <xdr:rowOff>101390</xdr:rowOff>
    </xdr:to>
    <xdr:pic>
      <xdr:nvPicPr>
        <xdr:cNvPr id="3" name="Picture 2">
          <a:extLst>
            <a:ext uri="{FF2B5EF4-FFF2-40B4-BE49-F238E27FC236}">
              <a16:creationId xmlns:a16="http://schemas.microsoft.com/office/drawing/2014/main" id="{62DB2854-48AF-E06F-8B51-D0E0B4C3D509}"/>
            </a:ext>
          </a:extLst>
        </xdr:cNvPr>
        <xdr:cNvPicPr>
          <a:picLocks noChangeAspect="1"/>
        </xdr:cNvPicPr>
      </xdr:nvPicPr>
      <xdr:blipFill>
        <a:blip xmlns:r="http://schemas.openxmlformats.org/officeDocument/2006/relationships" r:embed="rId2"/>
        <a:stretch>
          <a:fillRect/>
        </a:stretch>
      </xdr:blipFill>
      <xdr:spPr>
        <a:xfrm>
          <a:off x="5031685" y="5142120"/>
          <a:ext cx="3978536" cy="1040085"/>
        </a:xfrm>
        <a:prstGeom prst="rect">
          <a:avLst/>
        </a:prstGeom>
      </xdr:spPr>
    </xdr:pic>
    <xdr:clientData/>
  </xdr:twoCellAnchor>
  <xdr:twoCellAnchor>
    <xdr:from>
      <xdr:col>4</xdr:col>
      <xdr:colOff>833783</xdr:colOff>
      <xdr:row>242</xdr:row>
      <xdr:rowOff>64053</xdr:rowOff>
    </xdr:from>
    <xdr:to>
      <xdr:col>10</xdr:col>
      <xdr:colOff>325783</xdr:colOff>
      <xdr:row>256</xdr:row>
      <xdr:rowOff>4970</xdr:rowOff>
    </xdr:to>
    <xdr:graphicFrame macro="">
      <xdr:nvGraphicFramePr>
        <xdr:cNvPr id="4" name="Chart 3">
          <a:extLst>
            <a:ext uri="{FF2B5EF4-FFF2-40B4-BE49-F238E27FC236}">
              <a16:creationId xmlns:a16="http://schemas.microsoft.com/office/drawing/2014/main" id="{9D8FAA2C-5C68-A01C-5CC3-2EEA534F7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15874</xdr:colOff>
      <xdr:row>254</xdr:row>
      <xdr:rowOff>160683</xdr:rowOff>
    </xdr:from>
    <xdr:to>
      <xdr:col>10</xdr:col>
      <xdr:colOff>343037</xdr:colOff>
      <xdr:row>268</xdr:row>
      <xdr:rowOff>101600</xdr:rowOff>
    </xdr:to>
    <xdr:graphicFrame macro="">
      <xdr:nvGraphicFramePr>
        <xdr:cNvPr id="5" name="Chart 4">
          <a:extLst>
            <a:ext uri="{FF2B5EF4-FFF2-40B4-BE49-F238E27FC236}">
              <a16:creationId xmlns:a16="http://schemas.microsoft.com/office/drawing/2014/main" id="{A06BE71D-9AD2-6FBA-7141-2E90877C1B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350770</xdr:colOff>
      <xdr:row>1</xdr:row>
      <xdr:rowOff>44450</xdr:rowOff>
    </xdr:from>
    <xdr:to>
      <xdr:col>24</xdr:col>
      <xdr:colOff>452370</xdr:colOff>
      <xdr:row>28</xdr:row>
      <xdr:rowOff>116232</xdr:rowOff>
    </xdr:to>
    <xdr:graphicFrame macro="">
      <xdr:nvGraphicFramePr>
        <xdr:cNvPr id="2" name="Chart 1">
          <a:extLst>
            <a:ext uri="{FF2B5EF4-FFF2-40B4-BE49-F238E27FC236}">
              <a16:creationId xmlns:a16="http://schemas.microsoft.com/office/drawing/2014/main" id="{E64B3011-E945-1E4C-A7C0-7E73433B8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24</xdr:col>
      <xdr:colOff>579783</xdr:colOff>
      <xdr:row>1</xdr:row>
      <xdr:rowOff>144946</xdr:rowOff>
    </xdr:from>
    <xdr:to>
      <xdr:col>29</xdr:col>
      <xdr:colOff>767664</xdr:colOff>
      <xdr:row>8</xdr:row>
      <xdr:rowOff>116566</xdr:rowOff>
    </xdr:to>
    <xdr:pic>
      <xdr:nvPicPr>
        <xdr:cNvPr id="4" name="Picture 3">
          <a:extLst>
            <a:ext uri="{FF2B5EF4-FFF2-40B4-BE49-F238E27FC236}">
              <a16:creationId xmlns:a16="http://schemas.microsoft.com/office/drawing/2014/main" id="{FF963B2A-7A11-7F11-9A0D-B76A9086D92A}"/>
            </a:ext>
          </a:extLst>
        </xdr:cNvPr>
        <xdr:cNvPicPr>
          <a:picLocks noChangeAspect="1"/>
        </xdr:cNvPicPr>
      </xdr:nvPicPr>
      <xdr:blipFill>
        <a:blip xmlns:r="http://schemas.openxmlformats.org/officeDocument/2006/relationships" r:embed="rId2"/>
        <a:stretch>
          <a:fillRect/>
        </a:stretch>
      </xdr:blipFill>
      <xdr:spPr>
        <a:xfrm>
          <a:off x="16513451" y="414131"/>
          <a:ext cx="4380952" cy="1752381"/>
        </a:xfrm>
        <a:prstGeom prst="rect">
          <a:avLst/>
        </a:prstGeom>
      </xdr:spPr>
    </xdr:pic>
    <xdr:clientData/>
  </xdr:twoCellAnchor>
  <xdr:twoCellAnchor editAs="oneCell">
    <xdr:from>
      <xdr:col>24</xdr:col>
      <xdr:colOff>496957</xdr:colOff>
      <xdr:row>12</xdr:row>
      <xdr:rowOff>10353</xdr:rowOff>
    </xdr:from>
    <xdr:to>
      <xdr:col>27</xdr:col>
      <xdr:colOff>333496</xdr:colOff>
      <xdr:row>18</xdr:row>
      <xdr:rowOff>1510</xdr:rowOff>
    </xdr:to>
    <xdr:pic>
      <xdr:nvPicPr>
        <xdr:cNvPr id="5" name="Picture 4">
          <a:extLst>
            <a:ext uri="{FF2B5EF4-FFF2-40B4-BE49-F238E27FC236}">
              <a16:creationId xmlns:a16="http://schemas.microsoft.com/office/drawing/2014/main" id="{9E6A16F8-B609-82ED-4297-4BEE4369FAD1}"/>
            </a:ext>
          </a:extLst>
        </xdr:cNvPr>
        <xdr:cNvPicPr>
          <a:picLocks noChangeAspect="1"/>
        </xdr:cNvPicPr>
      </xdr:nvPicPr>
      <xdr:blipFill>
        <a:blip xmlns:r="http://schemas.openxmlformats.org/officeDocument/2006/relationships" r:embed="rId3"/>
        <a:stretch>
          <a:fillRect/>
        </a:stretch>
      </xdr:blipFill>
      <xdr:spPr>
        <a:xfrm>
          <a:off x="16430625" y="2443369"/>
          <a:ext cx="2352381" cy="11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16</xdr:col>
      <xdr:colOff>350770</xdr:colOff>
      <xdr:row>1</xdr:row>
      <xdr:rowOff>44450</xdr:rowOff>
    </xdr:from>
    <xdr:to>
      <xdr:col>24</xdr:col>
      <xdr:colOff>452370</xdr:colOff>
      <xdr:row>28</xdr:row>
      <xdr:rowOff>116232</xdr:rowOff>
    </xdr:to>
    <xdr:graphicFrame macro="">
      <xdr:nvGraphicFramePr>
        <xdr:cNvPr id="2" name="Chart 1">
          <a:extLst>
            <a:ext uri="{FF2B5EF4-FFF2-40B4-BE49-F238E27FC236}">
              <a16:creationId xmlns:a16="http://schemas.microsoft.com/office/drawing/2014/main" id="{D85EAFAD-AACE-4D96-9ABD-1178C9591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24</xdr:col>
      <xdr:colOff>579783</xdr:colOff>
      <xdr:row>1</xdr:row>
      <xdr:rowOff>144946</xdr:rowOff>
    </xdr:from>
    <xdr:to>
      <xdr:col>29</xdr:col>
      <xdr:colOff>767664</xdr:colOff>
      <xdr:row>8</xdr:row>
      <xdr:rowOff>116566</xdr:rowOff>
    </xdr:to>
    <xdr:pic>
      <xdr:nvPicPr>
        <xdr:cNvPr id="3" name="Picture 2">
          <a:extLst>
            <a:ext uri="{FF2B5EF4-FFF2-40B4-BE49-F238E27FC236}">
              <a16:creationId xmlns:a16="http://schemas.microsoft.com/office/drawing/2014/main" id="{31386287-2B7A-406A-9557-2BF045F5EE43}"/>
            </a:ext>
          </a:extLst>
        </xdr:cNvPr>
        <xdr:cNvPicPr>
          <a:picLocks noChangeAspect="1"/>
        </xdr:cNvPicPr>
      </xdr:nvPicPr>
      <xdr:blipFill>
        <a:blip xmlns:r="http://schemas.openxmlformats.org/officeDocument/2006/relationships" r:embed="rId2"/>
        <a:stretch>
          <a:fillRect/>
        </a:stretch>
      </xdr:blipFill>
      <xdr:spPr>
        <a:xfrm>
          <a:off x="22049133" y="411646"/>
          <a:ext cx="4378881" cy="1771845"/>
        </a:xfrm>
        <a:prstGeom prst="rect">
          <a:avLst/>
        </a:prstGeom>
      </xdr:spPr>
    </xdr:pic>
    <xdr:clientData/>
  </xdr:twoCellAnchor>
  <xdr:twoCellAnchor editAs="oneCell">
    <xdr:from>
      <xdr:col>24</xdr:col>
      <xdr:colOff>496957</xdr:colOff>
      <xdr:row>12</xdr:row>
      <xdr:rowOff>10353</xdr:rowOff>
    </xdr:from>
    <xdr:to>
      <xdr:col>27</xdr:col>
      <xdr:colOff>333496</xdr:colOff>
      <xdr:row>18</xdr:row>
      <xdr:rowOff>1510</xdr:rowOff>
    </xdr:to>
    <xdr:pic>
      <xdr:nvPicPr>
        <xdr:cNvPr id="4" name="Picture 3">
          <a:extLst>
            <a:ext uri="{FF2B5EF4-FFF2-40B4-BE49-F238E27FC236}">
              <a16:creationId xmlns:a16="http://schemas.microsoft.com/office/drawing/2014/main" id="{5DD79775-0858-43CD-BC98-6EB25AA9DF7A}"/>
            </a:ext>
          </a:extLst>
        </xdr:cNvPr>
        <xdr:cNvPicPr>
          <a:picLocks noChangeAspect="1"/>
        </xdr:cNvPicPr>
      </xdr:nvPicPr>
      <xdr:blipFill>
        <a:blip xmlns:r="http://schemas.openxmlformats.org/officeDocument/2006/relationships" r:embed="rId3"/>
        <a:stretch>
          <a:fillRect/>
        </a:stretch>
      </xdr:blipFill>
      <xdr:spPr>
        <a:xfrm>
          <a:off x="21966307" y="2877378"/>
          <a:ext cx="2351139" cy="119130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youtube.com/watch?v=3gcLRU24-w0" TargetMode="External"/><Relationship Id="rId2" Type="http://schemas.openxmlformats.org/officeDocument/2006/relationships/hyperlink" Target="https://otexts.com/fpp2/holt-winters.html" TargetMode="External"/><Relationship Id="rId1" Type="http://schemas.openxmlformats.org/officeDocument/2006/relationships/hyperlink" Target="https://www.youtube.com/watch?v=VLlGO_fCdX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25"/>
  <sheetViews>
    <sheetView showGridLines="0" topLeftCell="A11" zoomScale="90" zoomScaleNormal="99" zoomScalePageLayoutView="111" workbookViewId="0">
      <selection activeCell="B15" sqref="B15"/>
    </sheetView>
  </sheetViews>
  <sheetFormatPr defaultColWidth="10.875" defaultRowHeight="28.5"/>
  <cols>
    <col min="1" max="1" width="5.5" style="1" customWidth="1"/>
    <col min="2" max="2" width="176.375" style="5" customWidth="1"/>
    <col min="3" max="16384" width="10.875" style="1"/>
  </cols>
  <sheetData>
    <row r="1" spans="2:4" ht="46.5">
      <c r="B1" s="6" t="s">
        <v>31</v>
      </c>
    </row>
    <row r="2" spans="2:4" s="8" customFormat="1" ht="31.5">
      <c r="B2" s="7" t="s">
        <v>30</v>
      </c>
    </row>
    <row r="3" spans="2:4">
      <c r="B3" s="20" t="s">
        <v>20</v>
      </c>
    </row>
    <row r="4" spans="2:4">
      <c r="B4" s="4" t="s">
        <v>0</v>
      </c>
    </row>
    <row r="5" spans="2:4" ht="114">
      <c r="B5" s="4" t="s">
        <v>29</v>
      </c>
    </row>
    <row r="6" spans="2:4">
      <c r="B6" s="4" t="s">
        <v>28</v>
      </c>
    </row>
    <row r="7" spans="2:4">
      <c r="B7" s="4"/>
      <c r="D7" s="2"/>
    </row>
    <row r="8" spans="2:4">
      <c r="B8" s="3" t="s">
        <v>21</v>
      </c>
    </row>
    <row r="9" spans="2:4" s="4" customFormat="1" ht="69" customHeight="1">
      <c r="B9" s="4" t="s">
        <v>14</v>
      </c>
    </row>
    <row r="10" spans="2:4" s="15" customFormat="1" ht="32.1" customHeight="1">
      <c r="B10" s="22" t="s">
        <v>15</v>
      </c>
    </row>
    <row r="11" spans="2:4" s="19" customFormat="1" ht="204" customHeight="1">
      <c r="B11" s="4" t="s">
        <v>26</v>
      </c>
    </row>
    <row r="13" spans="2:4">
      <c r="B13" s="3" t="s">
        <v>23</v>
      </c>
    </row>
    <row r="14" spans="2:4" ht="81">
      <c r="B14" s="16" t="s">
        <v>7</v>
      </c>
    </row>
    <row r="15" spans="2:4">
      <c r="B15" s="10" t="s">
        <v>8</v>
      </c>
    </row>
    <row r="16" spans="2:4" ht="27">
      <c r="B16" s="12" t="s">
        <v>9</v>
      </c>
    </row>
    <row r="17" spans="2:2">
      <c r="B17" s="17" t="s">
        <v>13</v>
      </c>
    </row>
    <row r="18" spans="2:2" ht="85.5">
      <c r="B18" s="11" t="s">
        <v>27</v>
      </c>
    </row>
    <row r="19" spans="2:2">
      <c r="B19" s="11"/>
    </row>
    <row r="20" spans="2:2">
      <c r="B20" s="14" t="s">
        <v>32</v>
      </c>
    </row>
    <row r="21" spans="2:2">
      <c r="B21" s="11" t="s">
        <v>11</v>
      </c>
    </row>
    <row r="22" spans="2:2" ht="27.75">
      <c r="B22" s="12" t="s">
        <v>12</v>
      </c>
    </row>
    <row r="23" spans="2:2" ht="27.75">
      <c r="B23" s="12" t="s">
        <v>16</v>
      </c>
    </row>
    <row r="24" spans="2:2">
      <c r="B24" s="5" t="s">
        <v>19</v>
      </c>
    </row>
    <row r="25" spans="2:2" ht="21">
      <c r="B25" s="21" t="s">
        <v>24</v>
      </c>
    </row>
  </sheetData>
  <phoneticPr fontId="10" type="noConversion"/>
  <hyperlinks>
    <hyperlink ref="B15" r:id="rId1" display="Watch the following 12 minute video: https://www.youtube.com/watch?v=VLlGO_fCdX0" xr:uid="{6F0698BD-9230-9B4A-BC50-8E4E5E4BE962}"/>
    <hyperlink ref="B17" r:id="rId2" xr:uid="{8E1EFF98-A80C-524C-A4F7-91B898D1F4D1}"/>
    <hyperlink ref="B10" r:id="rId3" xr:uid="{E2C740A3-E0EE-FC48-A23A-C0DFAA2D49FF}"/>
  </hyperlinks>
  <pageMargins left="0.75" right="0.75" top="1" bottom="1" header="0.5" footer="0.5"/>
  <pageSetup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1088B-B98E-3A45-AABB-8C11F9DE74CE}">
  <dimension ref="A1:M1290"/>
  <sheetViews>
    <sheetView topLeftCell="B265" zoomScale="138" workbookViewId="0">
      <selection activeCell="D266" sqref="D266"/>
    </sheetView>
  </sheetViews>
  <sheetFormatPr defaultColWidth="11" defaultRowHeight="15.75"/>
  <cols>
    <col min="1" max="1" width="9.125" customWidth="1"/>
    <col min="3" max="3" width="16" bestFit="1" customWidth="1"/>
    <col min="4" max="4" width="14.375" bestFit="1" customWidth="1"/>
    <col min="10" max="10" width="11.875" bestFit="1" customWidth="1"/>
    <col min="13" max="13" width="18.125" customWidth="1"/>
  </cols>
  <sheetData>
    <row r="1" spans="1:7" ht="21">
      <c r="A1" s="13" t="s">
        <v>1</v>
      </c>
    </row>
    <row r="2" spans="1:7" ht="32.25" customHeight="1">
      <c r="A2" t="s">
        <v>22</v>
      </c>
      <c r="B2" t="s">
        <v>10</v>
      </c>
      <c r="C2" t="s">
        <v>18</v>
      </c>
      <c r="D2" s="23" t="s">
        <v>33</v>
      </c>
    </row>
    <row r="3" spans="1:7">
      <c r="B3" s="18">
        <v>43409</v>
      </c>
      <c r="C3">
        <v>81.423896999999997</v>
      </c>
      <c r="E3" t="s">
        <v>34</v>
      </c>
      <c r="F3" t="s">
        <v>35</v>
      </c>
      <c r="G3" t="s">
        <v>36</v>
      </c>
    </row>
    <row r="4" spans="1:7">
      <c r="B4" s="18">
        <v>43416</v>
      </c>
      <c r="C4">
        <v>82.666274999999999</v>
      </c>
      <c r="D4">
        <f t="shared" ref="D4:D66" si="0">LN(C4/C3)</f>
        <v>1.514291472004326E-2</v>
      </c>
      <c r="E4">
        <f>AVERAGE(D4:D263)</f>
        <v>2.2763525098288134E-3</v>
      </c>
      <c r="F4">
        <f>_xlfn.VAR.S(D4:D263)</f>
        <v>7.4320289854833013E-4</v>
      </c>
      <c r="G4">
        <f>_xlfn.STDEV.S(D4:D263)</f>
        <v>2.7261747899728111E-2</v>
      </c>
    </row>
    <row r="5" spans="1:7">
      <c r="B5" s="18">
        <v>43423</v>
      </c>
      <c r="C5">
        <v>80.657325999999998</v>
      </c>
      <c r="D5">
        <f t="shared" si="0"/>
        <v>-2.4602082186847764E-2</v>
      </c>
      <c r="E5" t="s">
        <v>37</v>
      </c>
    </row>
    <row r="6" spans="1:7">
      <c r="B6" s="18">
        <v>43430</v>
      </c>
      <c r="C6">
        <v>83.274238999999994</v>
      </c>
      <c r="D6">
        <f t="shared" si="0"/>
        <v>3.1929608245535195E-2</v>
      </c>
      <c r="E6">
        <f>E4-(F4/2)</f>
        <v>1.9047510605546484E-3</v>
      </c>
    </row>
    <row r="7" spans="1:7">
      <c r="B7" s="18">
        <v>43437</v>
      </c>
      <c r="C7">
        <v>81.459129000000004</v>
      </c>
      <c r="D7">
        <f t="shared" si="0"/>
        <v>-2.2037835842357873E-2</v>
      </c>
    </row>
    <row r="8" spans="1:7">
      <c r="B8" s="18">
        <v>43444</v>
      </c>
      <c r="C8">
        <v>85.151015999999998</v>
      </c>
      <c r="D8">
        <f t="shared" si="0"/>
        <v>4.4324929123669539E-2</v>
      </c>
    </row>
    <row r="9" spans="1:7">
      <c r="B9" s="18">
        <v>43451</v>
      </c>
      <c r="C9">
        <v>80.155097999999995</v>
      </c>
      <c r="D9">
        <f t="shared" si="0"/>
        <v>-6.046285615038037E-2</v>
      </c>
    </row>
    <row r="10" spans="1:7">
      <c r="B10" s="18">
        <v>43458</v>
      </c>
      <c r="C10">
        <v>80.340110999999993</v>
      </c>
      <c r="D10">
        <f t="shared" si="0"/>
        <v>2.3055277862206597E-3</v>
      </c>
    </row>
    <row r="11" spans="1:7">
      <c r="B11" s="18">
        <v>43465</v>
      </c>
      <c r="C11">
        <v>81.494384999999994</v>
      </c>
      <c r="D11">
        <f t="shared" si="0"/>
        <v>1.4265111609615001E-2</v>
      </c>
    </row>
    <row r="12" spans="1:7">
      <c r="B12" s="18">
        <v>43472</v>
      </c>
      <c r="C12">
        <v>80.859970000000004</v>
      </c>
      <c r="D12">
        <f t="shared" si="0"/>
        <v>-7.8152289669463377E-3</v>
      </c>
    </row>
    <row r="13" spans="1:7">
      <c r="B13" s="18">
        <v>43479</v>
      </c>
      <c r="C13">
        <v>80.551558999999997</v>
      </c>
      <c r="D13">
        <f t="shared" si="0"/>
        <v>-3.8214293270052678E-3</v>
      </c>
    </row>
    <row r="14" spans="1:7">
      <c r="B14" s="18">
        <v>43486</v>
      </c>
      <c r="C14">
        <v>83.124709999999993</v>
      </c>
      <c r="D14">
        <f t="shared" si="0"/>
        <v>3.1444546374202159E-2</v>
      </c>
    </row>
    <row r="15" spans="1:7">
      <c r="B15" s="18">
        <v>43493</v>
      </c>
      <c r="C15">
        <v>86.561599999999999</v>
      </c>
      <c r="D15">
        <f t="shared" si="0"/>
        <v>4.0514288967565926E-2</v>
      </c>
    </row>
    <row r="16" spans="1:7">
      <c r="B16" s="18">
        <v>43500</v>
      </c>
      <c r="C16">
        <v>86.774733999999995</v>
      </c>
      <c r="D16">
        <f t="shared" si="0"/>
        <v>2.4591971284371396E-3</v>
      </c>
    </row>
    <row r="17" spans="2:4">
      <c r="B17" s="18">
        <v>43507</v>
      </c>
      <c r="C17">
        <v>87.458572000000004</v>
      </c>
      <c r="D17">
        <f t="shared" si="0"/>
        <v>7.8497220433654778E-3</v>
      </c>
    </row>
    <row r="18" spans="2:4">
      <c r="B18" s="18">
        <v>43514</v>
      </c>
      <c r="C18">
        <v>89.030486999999994</v>
      </c>
      <c r="D18">
        <f t="shared" si="0"/>
        <v>1.781364324939224E-2</v>
      </c>
    </row>
    <row r="19" spans="2:4">
      <c r="B19" s="18">
        <v>43521</v>
      </c>
      <c r="C19">
        <v>87.423064999999994</v>
      </c>
      <c r="D19">
        <f t="shared" si="0"/>
        <v>-1.8219712189470941E-2</v>
      </c>
    </row>
    <row r="20" spans="2:4">
      <c r="B20" s="18">
        <v>43528</v>
      </c>
      <c r="C20">
        <v>87.396393000000003</v>
      </c>
      <c r="D20">
        <f t="shared" si="0"/>
        <v>-3.0513766044209406E-4</v>
      </c>
    </row>
    <row r="21" spans="2:4">
      <c r="B21" s="18">
        <v>43535</v>
      </c>
      <c r="C21">
        <v>90.975395000000006</v>
      </c>
      <c r="D21">
        <f t="shared" si="0"/>
        <v>4.0135073553979286E-2</v>
      </c>
    </row>
    <row r="22" spans="2:4">
      <c r="B22" s="18">
        <v>43542</v>
      </c>
      <c r="C22">
        <v>90.282677000000007</v>
      </c>
      <c r="D22">
        <f t="shared" si="0"/>
        <v>-7.6434816380607437E-3</v>
      </c>
    </row>
    <row r="23" spans="2:4">
      <c r="B23" s="18">
        <v>43549</v>
      </c>
      <c r="C23">
        <v>92.405212000000006</v>
      </c>
      <c r="D23">
        <f t="shared" si="0"/>
        <v>2.3237780280340393E-2</v>
      </c>
    </row>
    <row r="24" spans="2:4">
      <c r="B24" s="18">
        <v>43556</v>
      </c>
      <c r="C24">
        <v>92.049980000000005</v>
      </c>
      <c r="D24">
        <f t="shared" si="0"/>
        <v>-3.851693577392339E-3</v>
      </c>
    </row>
    <row r="25" spans="2:4">
      <c r="B25" s="18">
        <v>43563</v>
      </c>
      <c r="C25">
        <v>93.302147000000005</v>
      </c>
      <c r="D25">
        <f t="shared" si="0"/>
        <v>1.3511428972613761E-2</v>
      </c>
    </row>
    <row r="26" spans="2:4">
      <c r="B26" s="18">
        <v>43570</v>
      </c>
      <c r="C26">
        <v>94.181374000000005</v>
      </c>
      <c r="D26">
        <f t="shared" si="0"/>
        <v>9.379314415264255E-3</v>
      </c>
    </row>
    <row r="27" spans="2:4">
      <c r="B27" s="18">
        <v>43577</v>
      </c>
      <c r="C27">
        <v>94.676322999999996</v>
      </c>
      <c r="D27">
        <f t="shared" si="0"/>
        <v>5.2415140184973947E-3</v>
      </c>
    </row>
    <row r="28" spans="2:4">
      <c r="B28" s="18">
        <v>43584</v>
      </c>
      <c r="C28">
        <v>94.873062000000004</v>
      </c>
      <c r="D28">
        <f t="shared" si="0"/>
        <v>2.0758608174745829E-3</v>
      </c>
    </row>
    <row r="29" spans="2:4">
      <c r="B29" s="18">
        <v>43591</v>
      </c>
      <c r="C29">
        <v>94.810471000000007</v>
      </c>
      <c r="D29">
        <f t="shared" si="0"/>
        <v>-6.599518817663497E-4</v>
      </c>
    </row>
    <row r="30" spans="2:4">
      <c r="B30" s="18">
        <v>43598</v>
      </c>
      <c r="C30">
        <v>96.098335000000006</v>
      </c>
      <c r="D30">
        <f t="shared" si="0"/>
        <v>1.3492133375835966E-2</v>
      </c>
    </row>
    <row r="31" spans="2:4">
      <c r="B31" s="18">
        <v>43605</v>
      </c>
      <c r="C31">
        <v>95.418633</v>
      </c>
      <c r="D31">
        <f t="shared" si="0"/>
        <v>-7.0981162754991224E-3</v>
      </c>
    </row>
    <row r="32" spans="2:4">
      <c r="B32" s="18">
        <v>43612</v>
      </c>
      <c r="C32">
        <v>92.037964000000002</v>
      </c>
      <c r="D32">
        <f t="shared" si="0"/>
        <v>-3.6072729742802505E-2</v>
      </c>
    </row>
    <row r="33" spans="2:4">
      <c r="B33" s="18">
        <v>43619</v>
      </c>
      <c r="C33">
        <v>97.278885000000002</v>
      </c>
      <c r="D33">
        <f t="shared" si="0"/>
        <v>5.5380812286841836E-2</v>
      </c>
    </row>
    <row r="34" spans="2:4">
      <c r="B34" s="18">
        <v>43626</v>
      </c>
      <c r="C34">
        <v>99.452171000000007</v>
      </c>
      <c r="D34">
        <f t="shared" si="0"/>
        <v>2.2094878734766295E-2</v>
      </c>
    </row>
    <row r="35" spans="2:4">
      <c r="B35" s="18">
        <v>43633</v>
      </c>
      <c r="C35">
        <v>99.452171000000007</v>
      </c>
      <c r="D35">
        <f t="shared" si="0"/>
        <v>0</v>
      </c>
    </row>
    <row r="36" spans="2:4">
      <c r="B36" s="18">
        <v>43640</v>
      </c>
      <c r="C36">
        <v>98.065933000000001</v>
      </c>
      <c r="D36">
        <f t="shared" si="0"/>
        <v>-1.4036796961060546E-2</v>
      </c>
    </row>
    <row r="37" spans="2:4">
      <c r="B37" s="18">
        <v>43647</v>
      </c>
      <c r="C37">
        <v>101.196144</v>
      </c>
      <c r="D37">
        <f t="shared" si="0"/>
        <v>3.1420615194630117E-2</v>
      </c>
    </row>
    <row r="38" spans="2:4">
      <c r="B38" s="18">
        <v>43654</v>
      </c>
      <c r="C38">
        <v>102.84176600000001</v>
      </c>
      <c r="D38">
        <f t="shared" si="0"/>
        <v>1.613090119610399E-2</v>
      </c>
    </row>
    <row r="39" spans="2:4">
      <c r="B39" s="18">
        <v>43661</v>
      </c>
      <c r="C39">
        <v>102.859657</v>
      </c>
      <c r="D39">
        <f t="shared" si="0"/>
        <v>1.7395115487456843E-4</v>
      </c>
    </row>
    <row r="40" spans="2:4">
      <c r="B40" s="18">
        <v>43668</v>
      </c>
      <c r="C40">
        <v>103.27375000000001</v>
      </c>
      <c r="D40">
        <f t="shared" si="0"/>
        <v>4.0177238910876246E-3</v>
      </c>
    </row>
    <row r="41" spans="2:4">
      <c r="B41" s="18">
        <v>43675</v>
      </c>
      <c r="C41">
        <v>104.812988</v>
      </c>
      <c r="D41">
        <f t="shared" si="0"/>
        <v>1.4794465903098743E-2</v>
      </c>
    </row>
    <row r="42" spans="2:4">
      <c r="B42" s="18">
        <v>43682</v>
      </c>
      <c r="C42">
        <v>105.119034</v>
      </c>
      <c r="D42">
        <f t="shared" si="0"/>
        <v>2.9156696905567984E-3</v>
      </c>
    </row>
    <row r="43" spans="2:4">
      <c r="B43" s="18">
        <v>43689</v>
      </c>
      <c r="C43">
        <v>107.27939600000001</v>
      </c>
      <c r="D43">
        <f t="shared" si="0"/>
        <v>2.0343243634443096E-2</v>
      </c>
    </row>
    <row r="44" spans="2:4">
      <c r="B44" s="18">
        <v>43696</v>
      </c>
      <c r="C44">
        <v>105.605118</v>
      </c>
      <c r="D44">
        <f t="shared" si="0"/>
        <v>-1.5729772823985022E-2</v>
      </c>
    </row>
    <row r="45" spans="2:4">
      <c r="B45" s="18">
        <v>43703</v>
      </c>
      <c r="C45">
        <v>108.224564</v>
      </c>
      <c r="D45">
        <f t="shared" si="0"/>
        <v>2.4501528669082714E-2</v>
      </c>
    </row>
    <row r="46" spans="2:4">
      <c r="B46" s="18">
        <v>43710</v>
      </c>
      <c r="C46">
        <v>110.60092899999999</v>
      </c>
      <c r="D46">
        <f t="shared" si="0"/>
        <v>2.1720124015393239E-2</v>
      </c>
    </row>
    <row r="47" spans="2:4">
      <c r="B47" s="18">
        <v>43717</v>
      </c>
      <c r="C47">
        <v>109.92581199999999</v>
      </c>
      <c r="D47">
        <f t="shared" si="0"/>
        <v>-6.1227867970292801E-3</v>
      </c>
    </row>
    <row r="48" spans="2:4">
      <c r="B48" s="18">
        <v>43724</v>
      </c>
      <c r="C48">
        <v>110.033829</v>
      </c>
      <c r="D48">
        <f t="shared" si="0"/>
        <v>9.8215298217366491E-4</v>
      </c>
    </row>
    <row r="49" spans="2:4">
      <c r="B49" s="18">
        <v>43731</v>
      </c>
      <c r="C49">
        <v>112.131165</v>
      </c>
      <c r="D49">
        <f t="shared" si="0"/>
        <v>1.8881447268588869E-2</v>
      </c>
    </row>
    <row r="50" spans="2:4">
      <c r="B50" s="18">
        <v>43738</v>
      </c>
      <c r="C50">
        <v>111.618088</v>
      </c>
      <c r="D50">
        <f t="shared" si="0"/>
        <v>-4.586186478128162E-3</v>
      </c>
    </row>
    <row r="51" spans="2:4">
      <c r="B51" s="18">
        <v>43745</v>
      </c>
      <c r="C51">
        <v>108.99865</v>
      </c>
      <c r="D51">
        <f t="shared" si="0"/>
        <v>-2.3747618835554925E-2</v>
      </c>
    </row>
    <row r="52" spans="2:4">
      <c r="B52" s="18">
        <v>43752</v>
      </c>
      <c r="C52">
        <v>105.740143</v>
      </c>
      <c r="D52">
        <f t="shared" si="0"/>
        <v>-3.0350893651207383E-2</v>
      </c>
    </row>
    <row r="53" spans="2:4">
      <c r="B53" s="18">
        <v>43759</v>
      </c>
      <c r="C53">
        <v>111.65164900000001</v>
      </c>
      <c r="D53">
        <f t="shared" si="0"/>
        <v>5.4399144365526654E-2</v>
      </c>
    </row>
    <row r="54" spans="2:4">
      <c r="B54" s="18">
        <v>43766</v>
      </c>
      <c r="C54">
        <v>112.21333300000001</v>
      </c>
      <c r="D54">
        <f t="shared" si="0"/>
        <v>5.018070924985016E-3</v>
      </c>
    </row>
    <row r="55" spans="2:4">
      <c r="B55" s="18">
        <v>43773</v>
      </c>
      <c r="C55">
        <v>108.435738</v>
      </c>
      <c r="D55">
        <f t="shared" si="0"/>
        <v>-3.4244097452840801E-2</v>
      </c>
    </row>
    <row r="56" spans="2:4">
      <c r="B56" s="18">
        <v>43780</v>
      </c>
      <c r="C56">
        <v>109.196701</v>
      </c>
      <c r="D56">
        <f t="shared" si="0"/>
        <v>6.9931312139365374E-3</v>
      </c>
    </row>
    <row r="57" spans="2:4">
      <c r="B57" s="18">
        <v>43787</v>
      </c>
      <c r="C57">
        <v>108.970215</v>
      </c>
      <c r="D57">
        <f t="shared" si="0"/>
        <v>-2.0762642247984255E-3</v>
      </c>
    </row>
    <row r="58" spans="2:4">
      <c r="B58" s="18">
        <v>43794</v>
      </c>
      <c r="C58">
        <v>110.57364699999999</v>
      </c>
      <c r="D58">
        <f t="shared" si="0"/>
        <v>1.4607199633696276E-2</v>
      </c>
    </row>
    <row r="59" spans="2:4">
      <c r="B59" s="18">
        <v>43801</v>
      </c>
      <c r="C59">
        <v>112.50322</v>
      </c>
      <c r="D59">
        <f t="shared" si="0"/>
        <v>1.7300055816447297E-2</v>
      </c>
    </row>
    <row r="60" spans="2:4">
      <c r="B60" s="18">
        <v>43808</v>
      </c>
      <c r="C60">
        <v>113.66275</v>
      </c>
      <c r="D60">
        <f t="shared" si="0"/>
        <v>1.0253887086639647E-2</v>
      </c>
    </row>
    <row r="61" spans="2:4">
      <c r="B61" s="18">
        <v>43815</v>
      </c>
      <c r="C61">
        <v>113.563103</v>
      </c>
      <c r="D61">
        <f t="shared" si="0"/>
        <v>-8.7707455003262788E-4</v>
      </c>
    </row>
    <row r="62" spans="2:4">
      <c r="B62" s="18">
        <v>43822</v>
      </c>
      <c r="C62">
        <v>114.224419</v>
      </c>
      <c r="D62">
        <f t="shared" si="0"/>
        <v>5.8064449905252166E-3</v>
      </c>
    </row>
    <row r="63" spans="2:4">
      <c r="B63" s="18">
        <v>43829</v>
      </c>
      <c r="C63">
        <v>111.044708</v>
      </c>
      <c r="D63">
        <f t="shared" si="0"/>
        <v>-2.8232205989098307E-2</v>
      </c>
    </row>
    <row r="64" spans="2:4">
      <c r="B64" s="18">
        <v>43836</v>
      </c>
      <c r="C64">
        <v>112.303909</v>
      </c>
      <c r="D64">
        <f t="shared" si="0"/>
        <v>1.127577469200171E-2</v>
      </c>
    </row>
    <row r="65" spans="2:4">
      <c r="B65" s="18">
        <v>43843</v>
      </c>
      <c r="C65">
        <v>114.514313</v>
      </c>
      <c r="D65">
        <f t="shared" si="0"/>
        <v>1.9491149861586884E-2</v>
      </c>
    </row>
    <row r="66" spans="2:4">
      <c r="B66" s="18">
        <v>43850</v>
      </c>
      <c r="C66">
        <v>113.363792</v>
      </c>
      <c r="D66">
        <f t="shared" si="0"/>
        <v>-1.0097773773040421E-2</v>
      </c>
    </row>
    <row r="67" spans="2:4">
      <c r="B67" s="18">
        <v>43857</v>
      </c>
      <c r="C67">
        <v>113.56345399999999</v>
      </c>
      <c r="D67">
        <f t="shared" ref="D67:D130" si="1">LN(C67/C66)</f>
        <v>1.7597010058623451E-3</v>
      </c>
    </row>
    <row r="68" spans="2:4">
      <c r="B68" s="18">
        <v>43864</v>
      </c>
      <c r="C68">
        <v>114.893929</v>
      </c>
      <c r="D68">
        <f t="shared" si="1"/>
        <v>1.1647599427457099E-2</v>
      </c>
    </row>
    <row r="69" spans="2:4">
      <c r="B69" s="18">
        <v>43871</v>
      </c>
      <c r="C69">
        <v>114.948601</v>
      </c>
      <c r="D69">
        <f t="shared" si="1"/>
        <v>4.7573441722135855E-4</v>
      </c>
    </row>
    <row r="70" spans="2:4">
      <c r="B70" s="18">
        <v>43878</v>
      </c>
      <c r="C70">
        <v>115.458916</v>
      </c>
      <c r="D70">
        <f t="shared" si="1"/>
        <v>4.429680429677306E-3</v>
      </c>
    </row>
    <row r="71" spans="2:4">
      <c r="B71" s="18">
        <v>43885</v>
      </c>
      <c r="C71">
        <v>103.184006</v>
      </c>
      <c r="D71">
        <f t="shared" si="1"/>
        <v>-0.11240090063931973</v>
      </c>
    </row>
    <row r="72" spans="2:4">
      <c r="B72" s="18">
        <v>43892</v>
      </c>
      <c r="C72">
        <v>110.86608099999999</v>
      </c>
      <c r="D72">
        <f t="shared" si="1"/>
        <v>7.1809135038426591E-2</v>
      </c>
    </row>
    <row r="73" spans="2:4">
      <c r="B73" s="18">
        <v>43899</v>
      </c>
      <c r="C73">
        <v>103.949471</v>
      </c>
      <c r="D73">
        <f t="shared" si="1"/>
        <v>-6.4418070149012532E-2</v>
      </c>
    </row>
    <row r="74" spans="2:4">
      <c r="B74" s="18">
        <v>43906</v>
      </c>
      <c r="C74">
        <v>93.342208999999997</v>
      </c>
      <c r="D74">
        <f t="shared" si="1"/>
        <v>-0.10763251889765144</v>
      </c>
    </row>
    <row r="75" spans="2:4">
      <c r="B75" s="18">
        <v>43913</v>
      </c>
      <c r="C75">
        <v>100.39550800000001</v>
      </c>
      <c r="D75">
        <f t="shared" si="1"/>
        <v>7.2845058812529728E-2</v>
      </c>
    </row>
    <row r="76" spans="2:4">
      <c r="B76" s="18">
        <v>43920</v>
      </c>
      <c r="C76">
        <v>104.86985799999999</v>
      </c>
      <c r="D76">
        <f t="shared" si="1"/>
        <v>4.3602668567130319E-2</v>
      </c>
    </row>
    <row r="77" spans="2:4">
      <c r="B77" s="18">
        <v>43927</v>
      </c>
      <c r="C77">
        <v>104.487122</v>
      </c>
      <c r="D77">
        <f t="shared" si="1"/>
        <v>-3.6563044268763168E-3</v>
      </c>
    </row>
    <row r="78" spans="2:4">
      <c r="B78" s="18">
        <v>43934</v>
      </c>
      <c r="C78">
        <v>113.627251</v>
      </c>
      <c r="D78">
        <f t="shared" si="1"/>
        <v>8.3859533721373794E-2</v>
      </c>
    </row>
    <row r="79" spans="2:4">
      <c r="B79" s="18">
        <v>43941</v>
      </c>
      <c r="C79">
        <v>108.24160000000001</v>
      </c>
      <c r="D79">
        <f t="shared" si="1"/>
        <v>-4.8557597363208166E-2</v>
      </c>
    </row>
    <row r="80" spans="2:4">
      <c r="B80" s="18">
        <v>43948</v>
      </c>
      <c r="C80">
        <v>107.165443</v>
      </c>
      <c r="D80">
        <f t="shared" si="1"/>
        <v>-9.9919291263848783E-3</v>
      </c>
    </row>
    <row r="81" spans="2:4">
      <c r="B81" s="18">
        <v>43955</v>
      </c>
      <c r="C81">
        <v>106.36734800000001</v>
      </c>
      <c r="D81">
        <f t="shared" si="1"/>
        <v>-7.4751864818116956E-3</v>
      </c>
    </row>
    <row r="82" spans="2:4">
      <c r="B82" s="18">
        <v>43962</v>
      </c>
      <c r="C82">
        <v>105.138092</v>
      </c>
      <c r="D82">
        <f t="shared" si="1"/>
        <v>-1.1624002116708132E-2</v>
      </c>
    </row>
    <row r="83" spans="2:4">
      <c r="B83" s="18">
        <v>43969</v>
      </c>
      <c r="C83">
        <v>103.29420500000001</v>
      </c>
      <c r="D83">
        <f t="shared" si="1"/>
        <v>-1.7693372183907076E-2</v>
      </c>
    </row>
    <row r="84" spans="2:4">
      <c r="B84" s="18">
        <v>43976</v>
      </c>
      <c r="C84">
        <v>106.33981300000001</v>
      </c>
      <c r="D84">
        <f t="shared" si="1"/>
        <v>2.9058473753737959E-2</v>
      </c>
    </row>
    <row r="85" spans="2:4">
      <c r="B85" s="18">
        <v>43983</v>
      </c>
      <c r="C85">
        <v>108.55064400000001</v>
      </c>
      <c r="D85">
        <f t="shared" si="1"/>
        <v>2.0577079492378886E-2</v>
      </c>
    </row>
    <row r="86" spans="2:4">
      <c r="B86" s="18">
        <v>43990</v>
      </c>
      <c r="C86">
        <v>106.06461299999999</v>
      </c>
      <c r="D86">
        <f t="shared" si="1"/>
        <v>-2.316836404491196E-2</v>
      </c>
    </row>
    <row r="87" spans="2:4">
      <c r="B87" s="18">
        <v>43997</v>
      </c>
      <c r="C87">
        <v>109.09189600000001</v>
      </c>
      <c r="D87">
        <f t="shared" si="1"/>
        <v>2.814214459179196E-2</v>
      </c>
    </row>
    <row r="88" spans="2:4">
      <c r="B88" s="18">
        <v>44004</v>
      </c>
      <c r="C88">
        <v>105.70684799999999</v>
      </c>
      <c r="D88">
        <f t="shared" si="1"/>
        <v>-3.1520931692474413E-2</v>
      </c>
    </row>
    <row r="89" spans="2:4">
      <c r="B89" s="18">
        <v>44011</v>
      </c>
      <c r="C89">
        <v>110.8899</v>
      </c>
      <c r="D89">
        <f t="shared" si="1"/>
        <v>4.7868139259154063E-2</v>
      </c>
    </row>
    <row r="90" spans="2:4">
      <c r="B90" s="18">
        <v>44018</v>
      </c>
      <c r="C90">
        <v>113.651146</v>
      </c>
      <c r="D90">
        <f t="shared" si="1"/>
        <v>2.4595816667535596E-2</v>
      </c>
    </row>
    <row r="91" spans="2:4">
      <c r="B91" s="18">
        <v>44025</v>
      </c>
      <c r="C91">
        <v>115.247337</v>
      </c>
      <c r="D91">
        <f t="shared" si="1"/>
        <v>1.3946941481448672E-2</v>
      </c>
    </row>
    <row r="92" spans="2:4">
      <c r="B92" s="18">
        <v>44032</v>
      </c>
      <c r="C92">
        <v>115.550079</v>
      </c>
      <c r="D92">
        <f t="shared" si="1"/>
        <v>2.6234450877407707E-3</v>
      </c>
    </row>
    <row r="93" spans="2:4">
      <c r="B93" s="18">
        <v>44039</v>
      </c>
      <c r="C93">
        <v>121.042664</v>
      </c>
      <c r="D93">
        <f t="shared" si="1"/>
        <v>4.6439058084168101E-2</v>
      </c>
    </row>
    <row r="94" spans="2:4">
      <c r="B94" s="18">
        <v>44046</v>
      </c>
      <c r="C94">
        <v>123.28594200000001</v>
      </c>
      <c r="D94">
        <f t="shared" si="1"/>
        <v>1.8363310580560226E-2</v>
      </c>
    </row>
    <row r="95" spans="2:4">
      <c r="B95" s="18">
        <v>44053</v>
      </c>
      <c r="C95">
        <v>124.71678900000001</v>
      </c>
      <c r="D95">
        <f t="shared" si="1"/>
        <v>1.153908967619406E-2</v>
      </c>
    </row>
    <row r="96" spans="2:4">
      <c r="B96" s="18">
        <v>44060</v>
      </c>
      <c r="C96">
        <v>126.876938</v>
      </c>
      <c r="D96">
        <f t="shared" si="1"/>
        <v>1.7172145808445144E-2</v>
      </c>
    </row>
    <row r="97" spans="2:4">
      <c r="B97" s="18">
        <v>44067</v>
      </c>
      <c r="C97">
        <v>128.10470599999999</v>
      </c>
      <c r="D97">
        <f t="shared" si="1"/>
        <v>9.6303205959428692E-3</v>
      </c>
    </row>
    <row r="98" spans="2:4">
      <c r="B98" s="18">
        <v>44074</v>
      </c>
      <c r="C98">
        <v>127.356987</v>
      </c>
      <c r="D98">
        <f t="shared" si="1"/>
        <v>-5.8538806851949291E-3</v>
      </c>
    </row>
    <row r="99" spans="2:4">
      <c r="B99" s="18">
        <v>44081</v>
      </c>
      <c r="C99">
        <v>127.523132</v>
      </c>
      <c r="D99">
        <f t="shared" si="1"/>
        <v>1.3037111265044529E-3</v>
      </c>
    </row>
    <row r="100" spans="2:4">
      <c r="B100" s="18">
        <v>44088</v>
      </c>
      <c r="C100">
        <v>126.812309</v>
      </c>
      <c r="D100">
        <f t="shared" si="1"/>
        <v>-5.5896641692626215E-3</v>
      </c>
    </row>
    <row r="101" spans="2:4">
      <c r="B101" s="18">
        <v>44095</v>
      </c>
      <c r="C101">
        <v>127.043098</v>
      </c>
      <c r="D101">
        <f t="shared" si="1"/>
        <v>1.818271797413677E-3</v>
      </c>
    </row>
    <row r="102" spans="2:4">
      <c r="B102" s="18">
        <v>44102</v>
      </c>
      <c r="C102">
        <v>127.504677</v>
      </c>
      <c r="D102">
        <f t="shared" si="1"/>
        <v>3.6266630569983375E-3</v>
      </c>
    </row>
    <row r="103" spans="2:4">
      <c r="B103" s="18">
        <v>44109</v>
      </c>
      <c r="C103">
        <v>131.93573000000001</v>
      </c>
      <c r="D103">
        <f t="shared" si="1"/>
        <v>3.4161863796992514E-2</v>
      </c>
    </row>
    <row r="104" spans="2:4">
      <c r="B104" s="18">
        <v>44116</v>
      </c>
      <c r="C104">
        <v>133.292801</v>
      </c>
      <c r="D104">
        <f t="shared" si="1"/>
        <v>1.023330964915257E-2</v>
      </c>
    </row>
    <row r="105" spans="2:4">
      <c r="B105" s="18">
        <v>44123</v>
      </c>
      <c r="C105">
        <v>131.437286</v>
      </c>
      <c r="D105">
        <f t="shared" si="1"/>
        <v>-1.401839441345446E-2</v>
      </c>
    </row>
    <row r="106" spans="2:4">
      <c r="B106" s="18">
        <v>44130</v>
      </c>
      <c r="C106">
        <v>127.265823</v>
      </c>
      <c r="D106">
        <f t="shared" si="1"/>
        <v>-3.2251831834963211E-2</v>
      </c>
    </row>
    <row r="107" spans="2:4">
      <c r="B107" s="18">
        <v>44137</v>
      </c>
      <c r="C107">
        <v>132.956085</v>
      </c>
      <c r="D107">
        <f t="shared" si="1"/>
        <v>4.3740892251410333E-2</v>
      </c>
    </row>
    <row r="108" spans="2:4">
      <c r="B108" s="18">
        <v>44144</v>
      </c>
      <c r="C108">
        <v>133.930801</v>
      </c>
      <c r="D108">
        <f t="shared" si="1"/>
        <v>7.3043703895729461E-3</v>
      </c>
    </row>
    <row r="109" spans="2:4">
      <c r="B109" s="18">
        <v>44151</v>
      </c>
      <c r="C109">
        <v>129.307999</v>
      </c>
      <c r="D109">
        <f t="shared" si="1"/>
        <v>-3.5126108370587085E-2</v>
      </c>
    </row>
    <row r="110" spans="2:4">
      <c r="B110" s="18">
        <v>44158</v>
      </c>
      <c r="C110">
        <v>128.667496</v>
      </c>
      <c r="D110">
        <f t="shared" si="1"/>
        <v>-4.9656213749613484E-3</v>
      </c>
    </row>
    <row r="111" spans="2:4">
      <c r="B111" s="18">
        <v>44165</v>
      </c>
      <c r="C111">
        <v>127.60927599999999</v>
      </c>
      <c r="D111">
        <f t="shared" si="1"/>
        <v>-8.2584621785696671E-3</v>
      </c>
    </row>
    <row r="112" spans="2:4">
      <c r="B112" s="18">
        <v>44172</v>
      </c>
      <c r="C112">
        <v>126.71811700000001</v>
      </c>
      <c r="D112">
        <f t="shared" si="1"/>
        <v>-7.0079957703501417E-3</v>
      </c>
    </row>
    <row r="113" spans="2:4">
      <c r="B113" s="18">
        <v>44179</v>
      </c>
      <c r="C113">
        <v>129.06663499999999</v>
      </c>
      <c r="D113">
        <f t="shared" si="1"/>
        <v>1.8363752960158936E-2</v>
      </c>
    </row>
    <row r="114" spans="2:4">
      <c r="B114" s="18">
        <v>44186</v>
      </c>
      <c r="C114">
        <v>127.841331</v>
      </c>
      <c r="D114">
        <f t="shared" si="1"/>
        <v>-9.5389279674619482E-3</v>
      </c>
    </row>
    <row r="115" spans="2:4">
      <c r="B115" s="18">
        <v>44193</v>
      </c>
      <c r="C115">
        <v>129.15947</v>
      </c>
      <c r="D115">
        <f t="shared" si="1"/>
        <v>1.0257949028478061E-2</v>
      </c>
    </row>
    <row r="116" spans="2:4">
      <c r="B116" s="18">
        <v>44200</v>
      </c>
      <c r="C116">
        <v>128.83457899999999</v>
      </c>
      <c r="D116">
        <f t="shared" si="1"/>
        <v>-2.5185943086659429E-3</v>
      </c>
    </row>
    <row r="117" spans="2:4">
      <c r="B117" s="18">
        <v>44207</v>
      </c>
      <c r="C117">
        <v>125.112206</v>
      </c>
      <c r="D117">
        <f t="shared" si="1"/>
        <v>-2.9318265478119703E-2</v>
      </c>
    </row>
    <row r="118" spans="2:4">
      <c r="B118" s="18">
        <v>44214</v>
      </c>
      <c r="C118">
        <v>120.675087</v>
      </c>
      <c r="D118">
        <f t="shared" si="1"/>
        <v>-3.6109280166289982E-2</v>
      </c>
    </row>
    <row r="119" spans="2:4">
      <c r="B119" s="18">
        <v>44221</v>
      </c>
      <c r="C119">
        <v>119.73136100000001</v>
      </c>
      <c r="D119">
        <f t="shared" si="1"/>
        <v>-7.8511275838739226E-3</v>
      </c>
    </row>
    <row r="120" spans="2:4">
      <c r="B120" s="18">
        <v>44228</v>
      </c>
      <c r="C120">
        <v>121.001419</v>
      </c>
      <c r="D120">
        <f t="shared" si="1"/>
        <v>1.0551697893595531E-2</v>
      </c>
    </row>
    <row r="121" spans="2:4">
      <c r="B121" s="18">
        <v>44235</v>
      </c>
      <c r="C121">
        <v>119.180359</v>
      </c>
      <c r="D121">
        <f t="shared" si="1"/>
        <v>-1.5164305236030802E-2</v>
      </c>
    </row>
    <row r="122" spans="2:4">
      <c r="B122" s="18">
        <v>44242</v>
      </c>
      <c r="C122">
        <v>118.713448</v>
      </c>
      <c r="D122">
        <f t="shared" si="1"/>
        <v>-3.9253783477997094E-3</v>
      </c>
    </row>
    <row r="123" spans="2:4">
      <c r="B123" s="18">
        <v>44249</v>
      </c>
      <c r="C123">
        <v>115.36084700000001</v>
      </c>
      <c r="D123">
        <f t="shared" si="1"/>
        <v>-2.864757347417923E-2</v>
      </c>
    </row>
    <row r="124" spans="2:4">
      <c r="B124" s="18">
        <v>44256</v>
      </c>
      <c r="C124">
        <v>117.64883399999999</v>
      </c>
      <c r="D124">
        <f t="shared" si="1"/>
        <v>1.9639188629333851E-2</v>
      </c>
    </row>
    <row r="125" spans="2:4">
      <c r="B125" s="18">
        <v>44263</v>
      </c>
      <c r="C125">
        <v>119.665993</v>
      </c>
      <c r="D125">
        <f t="shared" si="1"/>
        <v>1.7000265905832573E-2</v>
      </c>
    </row>
    <row r="126" spans="2:4">
      <c r="B126" s="18">
        <v>44270</v>
      </c>
      <c r="C126">
        <v>119.544579</v>
      </c>
      <c r="D126">
        <f t="shared" si="1"/>
        <v>-1.0151224455595207E-3</v>
      </c>
    </row>
    <row r="127" spans="2:4">
      <c r="B127" s="18">
        <v>44277</v>
      </c>
      <c r="C127">
        <v>126.492569</v>
      </c>
      <c r="D127">
        <f t="shared" si="1"/>
        <v>5.6494215526827041E-2</v>
      </c>
    </row>
    <row r="128" spans="2:4">
      <c r="B128" s="18">
        <v>44284</v>
      </c>
      <c r="C128">
        <v>125.399933</v>
      </c>
      <c r="D128">
        <f t="shared" si="1"/>
        <v>-8.6754694507219891E-3</v>
      </c>
    </row>
    <row r="129" spans="2:4">
      <c r="B129" s="18">
        <v>44291</v>
      </c>
      <c r="C129">
        <v>127.35172300000001</v>
      </c>
      <c r="D129">
        <f t="shared" si="1"/>
        <v>1.5444637068251756E-2</v>
      </c>
    </row>
    <row r="130" spans="2:4">
      <c r="B130" s="18">
        <v>44298</v>
      </c>
      <c r="C130">
        <v>128.17352299999999</v>
      </c>
      <c r="D130">
        <f t="shared" si="1"/>
        <v>6.4322633187347024E-3</v>
      </c>
    </row>
    <row r="131" spans="2:4">
      <c r="B131" s="18">
        <v>44305</v>
      </c>
      <c r="C131">
        <v>125.08245100000001</v>
      </c>
      <c r="D131">
        <f t="shared" ref="D131:D194" si="2">LN(C131/C130)</f>
        <v>-2.441186643883464E-2</v>
      </c>
    </row>
    <row r="132" spans="2:4">
      <c r="B132" s="18">
        <v>44312</v>
      </c>
      <c r="C132">
        <v>125.39398199999999</v>
      </c>
      <c r="D132">
        <f t="shared" si="2"/>
        <v>2.4875087600624121E-3</v>
      </c>
    </row>
    <row r="133" spans="2:4">
      <c r="B133" s="18">
        <v>44319</v>
      </c>
      <c r="C133">
        <v>127.01992</v>
      </c>
      <c r="D133">
        <f t="shared" si="2"/>
        <v>1.2883287935934563E-2</v>
      </c>
    </row>
    <row r="134" spans="2:4">
      <c r="B134" s="18">
        <v>44326</v>
      </c>
      <c r="C134">
        <v>129.707886</v>
      </c>
      <c r="D134">
        <f t="shared" si="2"/>
        <v>2.0940966771909493E-2</v>
      </c>
    </row>
    <row r="135" spans="2:4">
      <c r="B135" s="18">
        <v>44333</v>
      </c>
      <c r="C135">
        <v>129.69845599999999</v>
      </c>
      <c r="D135">
        <f t="shared" si="2"/>
        <v>-7.2704467681571246E-5</v>
      </c>
    </row>
    <row r="136" spans="2:4">
      <c r="B136" s="18">
        <v>44340</v>
      </c>
      <c r="C136">
        <v>126.737953</v>
      </c>
      <c r="D136">
        <f t="shared" si="2"/>
        <v>-2.3090594267479021E-2</v>
      </c>
    </row>
    <row r="137" spans="2:4">
      <c r="B137" s="18">
        <v>44347</v>
      </c>
      <c r="C137">
        <v>127.771767</v>
      </c>
      <c r="D137">
        <f t="shared" si="2"/>
        <v>8.1240094557506262E-3</v>
      </c>
    </row>
    <row r="138" spans="2:4">
      <c r="B138" s="18">
        <v>44354</v>
      </c>
      <c r="C138">
        <v>126.747353</v>
      </c>
      <c r="D138">
        <f t="shared" si="2"/>
        <v>-8.0498434210194824E-3</v>
      </c>
    </row>
    <row r="139" spans="2:4">
      <c r="B139" s="18">
        <v>44361</v>
      </c>
      <c r="C139">
        <v>124.087593</v>
      </c>
      <c r="D139">
        <f t="shared" si="2"/>
        <v>-2.1208047237336498E-2</v>
      </c>
    </row>
    <row r="140" spans="2:4">
      <c r="B140" s="18">
        <v>44368</v>
      </c>
      <c r="C140">
        <v>126.80373400000001</v>
      </c>
      <c r="D140">
        <f t="shared" si="2"/>
        <v>2.1652778132371396E-2</v>
      </c>
    </row>
    <row r="141" spans="2:4">
      <c r="B141" s="18">
        <v>44375</v>
      </c>
      <c r="C141">
        <v>127.7248</v>
      </c>
      <c r="D141">
        <f t="shared" si="2"/>
        <v>7.2374598324043693E-3</v>
      </c>
    </row>
    <row r="142" spans="2:4">
      <c r="B142" s="18">
        <v>44382</v>
      </c>
      <c r="C142">
        <v>128.78681900000001</v>
      </c>
      <c r="D142">
        <f t="shared" si="2"/>
        <v>8.2805221254735311E-3</v>
      </c>
    </row>
    <row r="143" spans="2:4">
      <c r="B143" s="18">
        <v>44389</v>
      </c>
      <c r="C143">
        <v>132.05746500000001</v>
      </c>
      <c r="D143">
        <f t="shared" si="2"/>
        <v>2.5078697285153408E-2</v>
      </c>
    </row>
    <row r="144" spans="2:4">
      <c r="B144" s="18">
        <v>44396</v>
      </c>
      <c r="C144">
        <v>131.380798</v>
      </c>
      <c r="D144">
        <f t="shared" si="2"/>
        <v>-5.1372073323575455E-3</v>
      </c>
    </row>
    <row r="145" spans="2:4">
      <c r="B145" s="18">
        <v>44403</v>
      </c>
      <c r="C145">
        <v>134.514725</v>
      </c>
      <c r="D145">
        <f t="shared" si="2"/>
        <v>2.3573711173604118E-2</v>
      </c>
    </row>
    <row r="146" spans="2:4">
      <c r="B146" s="18">
        <v>44410</v>
      </c>
      <c r="C146">
        <v>133.73921200000001</v>
      </c>
      <c r="D146">
        <f t="shared" si="2"/>
        <v>-5.7819480241842131E-3</v>
      </c>
    </row>
    <row r="147" spans="2:4">
      <c r="B147" s="18">
        <v>44417</v>
      </c>
      <c r="C147">
        <v>135.848251</v>
      </c>
      <c r="D147">
        <f t="shared" si="2"/>
        <v>1.5646736716388669E-2</v>
      </c>
    </row>
    <row r="148" spans="2:4">
      <c r="B148" s="18">
        <v>44424</v>
      </c>
      <c r="C148">
        <v>137.21957399999999</v>
      </c>
      <c r="D148">
        <f t="shared" si="2"/>
        <v>1.0043911458656492E-2</v>
      </c>
    </row>
    <row r="149" spans="2:4">
      <c r="B149" s="18">
        <v>44431</v>
      </c>
      <c r="C149">
        <v>134.590363</v>
      </c>
      <c r="D149">
        <f t="shared" si="2"/>
        <v>-1.9346555432201207E-2</v>
      </c>
    </row>
    <row r="150" spans="2:4">
      <c r="B150" s="18">
        <v>44438</v>
      </c>
      <c r="C150">
        <v>136.236008</v>
      </c>
      <c r="D150">
        <f t="shared" si="2"/>
        <v>1.2152917370017316E-2</v>
      </c>
    </row>
    <row r="151" spans="2:4">
      <c r="B151" s="18">
        <v>44445</v>
      </c>
      <c r="C151">
        <v>136.311646</v>
      </c>
      <c r="D151">
        <f t="shared" si="2"/>
        <v>5.5504423414961775E-4</v>
      </c>
    </row>
    <row r="152" spans="2:4">
      <c r="B152" s="18">
        <v>44452</v>
      </c>
      <c r="C152">
        <v>136.51026899999999</v>
      </c>
      <c r="D152">
        <f t="shared" si="2"/>
        <v>1.456063638377904E-3</v>
      </c>
    </row>
    <row r="153" spans="2:4">
      <c r="B153" s="18">
        <v>44459</v>
      </c>
      <c r="C153">
        <v>135.76312300000001</v>
      </c>
      <c r="D153">
        <f t="shared" si="2"/>
        <v>-5.488218072877131E-3</v>
      </c>
    </row>
    <row r="154" spans="2:4">
      <c r="B154" s="18">
        <v>44466</v>
      </c>
      <c r="C154">
        <v>132.00846899999999</v>
      </c>
      <c r="D154">
        <f t="shared" si="2"/>
        <v>-2.8045544872502142E-2</v>
      </c>
    </row>
    <row r="155" spans="2:4">
      <c r="B155" s="18">
        <v>44473</v>
      </c>
      <c r="C155">
        <v>134.04184000000001</v>
      </c>
      <c r="D155">
        <f t="shared" si="2"/>
        <v>1.5285910401316737E-2</v>
      </c>
    </row>
    <row r="156" spans="2:4">
      <c r="B156" s="18">
        <v>44480</v>
      </c>
      <c r="C156">
        <v>136.58592200000001</v>
      </c>
      <c r="D156">
        <f t="shared" si="2"/>
        <v>1.8801891775867149E-2</v>
      </c>
    </row>
    <row r="157" spans="2:4">
      <c r="B157" s="18">
        <v>44487</v>
      </c>
      <c r="C157">
        <v>133.19064299999999</v>
      </c>
      <c r="D157">
        <f t="shared" si="2"/>
        <v>-2.5172373905305127E-2</v>
      </c>
    </row>
    <row r="158" spans="2:4">
      <c r="B158" s="18">
        <v>44494</v>
      </c>
      <c r="C158">
        <v>136.07183800000001</v>
      </c>
      <c r="D158">
        <f t="shared" si="2"/>
        <v>2.1401458973848115E-2</v>
      </c>
    </row>
    <row r="159" spans="2:4">
      <c r="B159" s="18">
        <v>44501</v>
      </c>
      <c r="C159">
        <v>138.97425799999999</v>
      </c>
      <c r="D159">
        <f t="shared" si="2"/>
        <v>2.1105754870615129E-2</v>
      </c>
    </row>
    <row r="160" spans="2:4">
      <c r="B160" s="18">
        <v>44508</v>
      </c>
      <c r="C160">
        <v>139.46910099999999</v>
      </c>
      <c r="D160">
        <f t="shared" si="2"/>
        <v>3.5543567836681259E-3</v>
      </c>
    </row>
    <row r="161" spans="2:4">
      <c r="B161" s="18">
        <v>44515</v>
      </c>
      <c r="C161">
        <v>139.71653699999999</v>
      </c>
      <c r="D161">
        <f t="shared" si="2"/>
        <v>1.7725558274314388E-3</v>
      </c>
    </row>
    <row r="162" spans="2:4">
      <c r="B162" s="18">
        <v>44522</v>
      </c>
      <c r="C162">
        <v>140.335083</v>
      </c>
      <c r="D162">
        <f t="shared" si="2"/>
        <v>4.4173785234239652E-3</v>
      </c>
    </row>
    <row r="163" spans="2:4">
      <c r="B163" s="18">
        <v>44529</v>
      </c>
      <c r="C163">
        <v>142.62851000000001</v>
      </c>
      <c r="D163">
        <f t="shared" si="2"/>
        <v>1.6210405000615356E-2</v>
      </c>
    </row>
    <row r="164" spans="2:4">
      <c r="B164" s="18">
        <v>44536</v>
      </c>
      <c r="C164">
        <v>147.93850699999999</v>
      </c>
      <c r="D164">
        <f t="shared" si="2"/>
        <v>3.6553276308982557E-2</v>
      </c>
    </row>
    <row r="165" spans="2:4">
      <c r="B165" s="18">
        <v>44543</v>
      </c>
      <c r="C165">
        <v>149.84176600000001</v>
      </c>
      <c r="D165">
        <f t="shared" si="2"/>
        <v>1.2783149791708109E-2</v>
      </c>
    </row>
    <row r="166" spans="2:4">
      <c r="B166" s="18">
        <v>44550</v>
      </c>
      <c r="C166">
        <v>152.35403400000001</v>
      </c>
      <c r="D166">
        <f t="shared" si="2"/>
        <v>1.6627139613269653E-2</v>
      </c>
    </row>
    <row r="167" spans="2:4">
      <c r="B167" s="18">
        <v>44557</v>
      </c>
      <c r="C167">
        <v>155.665649</v>
      </c>
      <c r="D167">
        <f t="shared" si="2"/>
        <v>2.1503447921570128E-2</v>
      </c>
    </row>
    <row r="168" spans="2:4">
      <c r="B168" s="18">
        <v>44564</v>
      </c>
      <c r="C168">
        <v>154.866287</v>
      </c>
      <c r="D168">
        <f t="shared" si="2"/>
        <v>-5.1483514122349725E-3</v>
      </c>
    </row>
    <row r="169" spans="2:4">
      <c r="B169" s="18">
        <v>44571</v>
      </c>
      <c r="C169">
        <v>152.07804899999999</v>
      </c>
      <c r="D169">
        <f t="shared" si="2"/>
        <v>-1.8168210770394964E-2</v>
      </c>
    </row>
    <row r="170" spans="2:4">
      <c r="B170" s="18">
        <v>44578</v>
      </c>
      <c r="C170">
        <v>154.75209000000001</v>
      </c>
      <c r="D170">
        <f t="shared" si="2"/>
        <v>1.7430547804231106E-2</v>
      </c>
    </row>
    <row r="171" spans="2:4">
      <c r="B171" s="18">
        <v>44585</v>
      </c>
      <c r="C171">
        <v>153.55934099999999</v>
      </c>
      <c r="D171">
        <f t="shared" si="2"/>
        <v>-7.7373384865545196E-3</v>
      </c>
    </row>
    <row r="172" spans="2:4">
      <c r="B172" s="18">
        <v>44592</v>
      </c>
      <c r="C172">
        <v>154.54480000000001</v>
      </c>
      <c r="D172">
        <f t="shared" si="2"/>
        <v>6.3969433016187634E-3</v>
      </c>
    </row>
    <row r="173" spans="2:4">
      <c r="B173" s="18">
        <v>44599</v>
      </c>
      <c r="C173">
        <v>149.531387</v>
      </c>
      <c r="D173">
        <f t="shared" si="2"/>
        <v>-3.2977704659494816E-2</v>
      </c>
    </row>
    <row r="174" spans="2:4">
      <c r="B174" s="18">
        <v>44606</v>
      </c>
      <c r="C174">
        <v>152.985275</v>
      </c>
      <c r="D174">
        <f t="shared" si="2"/>
        <v>2.283535764747241E-2</v>
      </c>
    </row>
    <row r="175" spans="2:4">
      <c r="B175" s="18">
        <v>44613</v>
      </c>
      <c r="C175">
        <v>151.39707899999999</v>
      </c>
      <c r="D175">
        <f t="shared" si="2"/>
        <v>-1.0435627376476912E-2</v>
      </c>
    </row>
    <row r="176" spans="2:4">
      <c r="B176" s="18">
        <v>44620</v>
      </c>
      <c r="C176">
        <v>148.43112199999999</v>
      </c>
      <c r="D176">
        <f t="shared" si="2"/>
        <v>-1.9785021827471171E-2</v>
      </c>
    </row>
    <row r="177" spans="2:4">
      <c r="B177" s="18">
        <v>44627</v>
      </c>
      <c r="C177">
        <v>137.02659600000001</v>
      </c>
      <c r="D177">
        <f t="shared" si="2"/>
        <v>-7.9945987352952982E-2</v>
      </c>
    </row>
    <row r="178" spans="2:4">
      <c r="B178" s="18">
        <v>44634</v>
      </c>
      <c r="C178">
        <v>143.65690599999999</v>
      </c>
      <c r="D178">
        <f t="shared" si="2"/>
        <v>4.725282107853282E-2</v>
      </c>
    </row>
    <row r="179" spans="2:4">
      <c r="B179" s="18">
        <v>44641</v>
      </c>
      <c r="C179">
        <v>146.22100800000001</v>
      </c>
      <c r="D179">
        <f t="shared" si="2"/>
        <v>1.7691371110737604E-2</v>
      </c>
    </row>
    <row r="180" spans="2:4">
      <c r="B180" s="18">
        <v>44648</v>
      </c>
      <c r="C180">
        <v>148.383286</v>
      </c>
      <c r="D180">
        <f t="shared" si="2"/>
        <v>1.4679465794724544E-2</v>
      </c>
    </row>
    <row r="181" spans="2:4">
      <c r="B181" s="18">
        <v>44655</v>
      </c>
      <c r="C181">
        <v>153.176636</v>
      </c>
      <c r="D181">
        <f t="shared" si="2"/>
        <v>3.1793042790850962E-2</v>
      </c>
    </row>
    <row r="182" spans="2:4">
      <c r="B182" s="18">
        <v>44662</v>
      </c>
      <c r="C182">
        <v>151.71279899999999</v>
      </c>
      <c r="D182">
        <f t="shared" si="2"/>
        <v>-9.6024858852450708E-3</v>
      </c>
    </row>
    <row r="183" spans="2:4">
      <c r="B183" s="18">
        <v>44669</v>
      </c>
      <c r="C183">
        <v>154.27690100000001</v>
      </c>
      <c r="D183">
        <f t="shared" si="2"/>
        <v>1.6759793019687122E-2</v>
      </c>
    </row>
    <row r="184" spans="2:4">
      <c r="B184" s="18">
        <v>44676</v>
      </c>
      <c r="C184">
        <v>154.46893299999999</v>
      </c>
      <c r="D184">
        <f t="shared" si="2"/>
        <v>1.2439489289605154E-3</v>
      </c>
    </row>
    <row r="185" spans="2:4">
      <c r="B185" s="18">
        <v>44683</v>
      </c>
      <c r="C185">
        <v>150.09129300000001</v>
      </c>
      <c r="D185">
        <f t="shared" si="2"/>
        <v>-2.8749266249958005E-2</v>
      </c>
    </row>
    <row r="186" spans="2:4">
      <c r="B186" s="18">
        <v>44690</v>
      </c>
      <c r="C186">
        <v>147.80143699999999</v>
      </c>
      <c r="D186">
        <f t="shared" si="2"/>
        <v>-1.537399789727455E-2</v>
      </c>
    </row>
    <row r="187" spans="2:4">
      <c r="B187" s="18">
        <v>44697</v>
      </c>
      <c r="C187">
        <v>136.41951</v>
      </c>
      <c r="D187">
        <f t="shared" si="2"/>
        <v>-8.0134960693522675E-2</v>
      </c>
    </row>
    <row r="188" spans="2:4">
      <c r="B188" s="18">
        <v>44704</v>
      </c>
      <c r="C188">
        <v>143.08702099999999</v>
      </c>
      <c r="D188">
        <f t="shared" si="2"/>
        <v>4.7718213265579505E-2</v>
      </c>
    </row>
    <row r="189" spans="2:4">
      <c r="B189" s="18">
        <v>44711</v>
      </c>
      <c r="C189">
        <v>140.364227</v>
      </c>
      <c r="D189">
        <f t="shared" si="2"/>
        <v>-1.9212317957947502E-2</v>
      </c>
    </row>
    <row r="190" spans="2:4">
      <c r="B190" s="18">
        <v>44718</v>
      </c>
      <c r="C190">
        <v>136.57347100000001</v>
      </c>
      <c r="D190">
        <f t="shared" si="2"/>
        <v>-2.7377946773868778E-2</v>
      </c>
    </row>
    <row r="191" spans="2:4">
      <c r="B191" s="18">
        <v>44725</v>
      </c>
      <c r="C191">
        <v>127.34668000000001</v>
      </c>
      <c r="D191">
        <f t="shared" si="2"/>
        <v>-6.9949587705683283E-2</v>
      </c>
    </row>
    <row r="192" spans="2:4">
      <c r="B192" s="18">
        <v>44732</v>
      </c>
      <c r="C192">
        <v>138.882553</v>
      </c>
      <c r="D192">
        <f t="shared" si="2"/>
        <v>8.6715502320076535E-2</v>
      </c>
    </row>
    <row r="193" spans="2:4">
      <c r="B193" s="18">
        <v>44739</v>
      </c>
      <c r="C193">
        <v>140.57591199999999</v>
      </c>
      <c r="D193">
        <f t="shared" si="2"/>
        <v>1.211900827769379E-2</v>
      </c>
    </row>
    <row r="194" spans="2:4">
      <c r="B194" s="18">
        <v>44746</v>
      </c>
      <c r="C194">
        <v>139.527176</v>
      </c>
      <c r="D194">
        <f t="shared" si="2"/>
        <v>-7.4882494730188652E-3</v>
      </c>
    </row>
    <row r="195" spans="2:4">
      <c r="B195" s="18">
        <v>44753</v>
      </c>
      <c r="C195">
        <v>139.57530199999999</v>
      </c>
      <c r="D195">
        <f t="shared" ref="D195:D258" si="3">LN(C195/C194)</f>
        <v>3.4486258109799614E-4</v>
      </c>
    </row>
    <row r="196" spans="2:4">
      <c r="B196" s="18">
        <v>44760</v>
      </c>
      <c r="C196">
        <v>137.602936</v>
      </c>
      <c r="D196">
        <f t="shared" si="3"/>
        <v>-1.4231992424439023E-2</v>
      </c>
    </row>
    <row r="197" spans="2:4">
      <c r="B197" s="18">
        <v>44767</v>
      </c>
      <c r="C197">
        <v>134.51623499999999</v>
      </c>
      <c r="D197">
        <f t="shared" si="3"/>
        <v>-2.2687364403735834E-2</v>
      </c>
    </row>
    <row r="198" spans="2:4">
      <c r="B198" s="18">
        <v>44774</v>
      </c>
      <c r="C198">
        <v>140.14244099999999</v>
      </c>
      <c r="D198">
        <f t="shared" si="3"/>
        <v>4.0974443009506027E-2</v>
      </c>
    </row>
    <row r="199" spans="2:4">
      <c r="B199" s="18">
        <v>44781</v>
      </c>
      <c r="C199">
        <v>142.03076200000001</v>
      </c>
      <c r="D199">
        <f t="shared" si="3"/>
        <v>1.3384326855682962E-2</v>
      </c>
    </row>
    <row r="200" spans="2:4">
      <c r="B200" s="18">
        <v>44788</v>
      </c>
      <c r="C200">
        <v>144.993988</v>
      </c>
      <c r="D200">
        <f t="shared" si="3"/>
        <v>2.0648611549669797E-2</v>
      </c>
    </row>
    <row r="201" spans="2:4">
      <c r="B201" s="18">
        <v>44795</v>
      </c>
      <c r="C201">
        <v>137.789322</v>
      </c>
      <c r="D201">
        <f t="shared" si="3"/>
        <v>-5.0966413029570896E-2</v>
      </c>
    </row>
    <row r="202" spans="2:4">
      <c r="B202" s="18">
        <v>44802</v>
      </c>
      <c r="C202">
        <v>132.821594</v>
      </c>
      <c r="D202">
        <f t="shared" si="3"/>
        <v>-3.6719037217271037E-2</v>
      </c>
    </row>
    <row r="203" spans="2:4">
      <c r="B203" s="18">
        <v>44809</v>
      </c>
      <c r="C203">
        <v>135.53301999999999</v>
      </c>
      <c r="D203">
        <f t="shared" si="3"/>
        <v>2.0208471423870122E-2</v>
      </c>
    </row>
    <row r="204" spans="2:4">
      <c r="B204" s="18">
        <v>44816</v>
      </c>
      <c r="C204">
        <v>133.906158</v>
      </c>
      <c r="D204">
        <f t="shared" si="3"/>
        <v>-1.2076059484985451E-2</v>
      </c>
    </row>
    <row r="205" spans="2:4">
      <c r="B205" s="18">
        <v>44823</v>
      </c>
      <c r="C205">
        <v>131.29155</v>
      </c>
      <c r="D205">
        <f t="shared" si="3"/>
        <v>-1.9718818381933598E-2</v>
      </c>
    </row>
    <row r="206" spans="2:4">
      <c r="B206" s="18">
        <v>44830</v>
      </c>
      <c r="C206">
        <v>122.256668</v>
      </c>
      <c r="D206">
        <f t="shared" si="3"/>
        <v>-7.1297751967349124E-2</v>
      </c>
    </row>
    <row r="207" spans="2:4">
      <c r="B207" s="18">
        <v>44837</v>
      </c>
      <c r="C207">
        <v>120.339294</v>
      </c>
      <c r="D207">
        <f t="shared" si="3"/>
        <v>-1.5807467770782575E-2</v>
      </c>
    </row>
    <row r="208" spans="2:4">
      <c r="B208" s="18">
        <v>44844</v>
      </c>
      <c r="C208">
        <v>121.12367999999999</v>
      </c>
      <c r="D208">
        <f t="shared" si="3"/>
        <v>6.496969254720179E-3</v>
      </c>
    </row>
    <row r="209" spans="2:4">
      <c r="B209" s="18">
        <v>44851</v>
      </c>
      <c r="C209">
        <v>124.512978</v>
      </c>
      <c r="D209">
        <f t="shared" si="3"/>
        <v>2.7597779117174915E-2</v>
      </c>
    </row>
    <row r="210" spans="2:4">
      <c r="B210" s="18">
        <v>44858</v>
      </c>
      <c r="C210">
        <v>131.87223800000001</v>
      </c>
      <c r="D210">
        <f t="shared" si="3"/>
        <v>5.7423608499265359E-2</v>
      </c>
    </row>
    <row r="211" spans="2:4">
      <c r="B211" s="18">
        <v>44865</v>
      </c>
      <c r="C211">
        <v>131.111557</v>
      </c>
      <c r="D211">
        <f t="shared" si="3"/>
        <v>-5.7850189700055666E-3</v>
      </c>
    </row>
    <row r="212" spans="2:4">
      <c r="B212" s="18">
        <v>44872</v>
      </c>
      <c r="C212">
        <v>137.479874</v>
      </c>
      <c r="D212">
        <f t="shared" si="3"/>
        <v>4.7428994519102305E-2</v>
      </c>
    </row>
    <row r="213" spans="2:4">
      <c r="B213" s="18">
        <v>44879</v>
      </c>
      <c r="C213">
        <v>139.04028299999999</v>
      </c>
      <c r="D213">
        <f t="shared" si="3"/>
        <v>1.128616141624288E-2</v>
      </c>
    </row>
    <row r="214" spans="2:4">
      <c r="B214" s="18">
        <v>44886</v>
      </c>
      <c r="C214">
        <v>143.087524</v>
      </c>
      <c r="D214">
        <f t="shared" si="3"/>
        <v>2.869280207360585E-2</v>
      </c>
    </row>
    <row r="215" spans="2:4">
      <c r="B215" s="18">
        <v>44893</v>
      </c>
      <c r="C215">
        <v>146.881226</v>
      </c>
      <c r="D215">
        <f t="shared" si="3"/>
        <v>2.6167774813119063E-2</v>
      </c>
    </row>
    <row r="216" spans="2:4">
      <c r="B216" s="18">
        <v>44900</v>
      </c>
      <c r="C216">
        <v>147.18353300000001</v>
      </c>
      <c r="D216">
        <f t="shared" si="3"/>
        <v>2.0560580433039723E-3</v>
      </c>
    </row>
    <row r="217" spans="2:4">
      <c r="B217" s="18">
        <v>44907</v>
      </c>
      <c r="C217">
        <v>146.71542400000001</v>
      </c>
      <c r="D217">
        <f t="shared" si="3"/>
        <v>-3.1855124674307783E-3</v>
      </c>
    </row>
    <row r="218" spans="2:4">
      <c r="B218" s="18">
        <v>44914</v>
      </c>
      <c r="C218">
        <v>148.84144599999999</v>
      </c>
      <c r="D218">
        <f t="shared" si="3"/>
        <v>1.4386799198462412E-2</v>
      </c>
    </row>
    <row r="219" spans="2:4">
      <c r="B219" s="18">
        <v>44921</v>
      </c>
      <c r="C219">
        <v>147.807693</v>
      </c>
      <c r="D219">
        <f t="shared" si="3"/>
        <v>-6.9695613343687965E-3</v>
      </c>
    </row>
    <row r="220" spans="2:4">
      <c r="B220" s="18">
        <v>44928</v>
      </c>
      <c r="C220">
        <v>150.10926799999999</v>
      </c>
      <c r="D220">
        <f t="shared" si="3"/>
        <v>1.5451425009036446E-2</v>
      </c>
    </row>
    <row r="221" spans="2:4">
      <c r="B221" s="18">
        <v>44935</v>
      </c>
      <c r="C221">
        <v>147.144531</v>
      </c>
      <c r="D221">
        <f t="shared" si="3"/>
        <v>-1.9948174404418727E-2</v>
      </c>
    </row>
    <row r="222" spans="2:4">
      <c r="B222" s="18">
        <v>44942</v>
      </c>
      <c r="C222">
        <v>139.430374</v>
      </c>
      <c r="D222">
        <f t="shared" si="3"/>
        <v>-5.3849942278922119E-2</v>
      </c>
    </row>
    <row r="223" spans="2:4">
      <c r="B223" s="18">
        <v>44949</v>
      </c>
      <c r="C223">
        <v>137.95002700000001</v>
      </c>
      <c r="D223">
        <f t="shared" si="3"/>
        <v>-1.0673869166534155E-2</v>
      </c>
    </row>
    <row r="224" spans="2:4">
      <c r="B224" s="18">
        <v>44956</v>
      </c>
      <c r="C224">
        <v>139.952011</v>
      </c>
      <c r="D224">
        <f t="shared" si="3"/>
        <v>1.4408088889508433E-2</v>
      </c>
    </row>
    <row r="225" spans="2:4">
      <c r="B225" s="18">
        <v>44963</v>
      </c>
      <c r="C225">
        <v>135.683075</v>
      </c>
      <c r="D225">
        <f t="shared" si="3"/>
        <v>-3.0977749868812552E-2</v>
      </c>
    </row>
    <row r="226" spans="2:4">
      <c r="B226" s="18">
        <v>44970</v>
      </c>
      <c r="C226">
        <v>137.40046699999999</v>
      </c>
      <c r="D226">
        <f t="shared" si="3"/>
        <v>1.2577943210929692E-2</v>
      </c>
    </row>
    <row r="227" spans="2:4">
      <c r="B227" s="18">
        <v>44977</v>
      </c>
      <c r="C227">
        <v>136.664444</v>
      </c>
      <c r="D227">
        <f t="shared" si="3"/>
        <v>-5.3711711346306817E-3</v>
      </c>
    </row>
    <row r="228" spans="2:4">
      <c r="B228" s="18">
        <v>44984</v>
      </c>
      <c r="C228">
        <v>138.32295199999999</v>
      </c>
      <c r="D228">
        <f t="shared" si="3"/>
        <v>1.2062575480021339E-2</v>
      </c>
    </row>
    <row r="229" spans="2:4">
      <c r="B229" s="18">
        <v>44991</v>
      </c>
      <c r="C229">
        <v>134.633026</v>
      </c>
      <c r="D229">
        <f t="shared" si="3"/>
        <v>-2.7038431807981544E-2</v>
      </c>
    </row>
    <row r="230" spans="2:4">
      <c r="B230" s="18">
        <v>44998</v>
      </c>
      <c r="C230">
        <v>140.26603700000001</v>
      </c>
      <c r="D230">
        <f t="shared" si="3"/>
        <v>4.0988132521474679E-2</v>
      </c>
    </row>
    <row r="231" spans="2:4">
      <c r="B231" s="18">
        <v>45005</v>
      </c>
      <c r="C231">
        <v>143.98541299999999</v>
      </c>
      <c r="D231">
        <f t="shared" si="3"/>
        <v>2.6171112156965177E-2</v>
      </c>
    </row>
    <row r="232" spans="2:4">
      <c r="B232" s="18">
        <v>45012</v>
      </c>
      <c r="C232">
        <v>145.91868600000001</v>
      </c>
      <c r="D232">
        <f t="shared" si="3"/>
        <v>1.3337525517427447E-2</v>
      </c>
    </row>
    <row r="233" spans="2:4">
      <c r="B233" s="18">
        <v>45019</v>
      </c>
      <c r="C233">
        <v>149.38288900000001</v>
      </c>
      <c r="D233">
        <f t="shared" si="3"/>
        <v>2.3463213329052494E-2</v>
      </c>
    </row>
    <row r="234" spans="2:4">
      <c r="B234" s="18">
        <v>45026</v>
      </c>
      <c r="C234">
        <v>148.18563800000001</v>
      </c>
      <c r="D234">
        <f t="shared" si="3"/>
        <v>-8.0469360960153079E-3</v>
      </c>
    </row>
    <row r="235" spans="2:4">
      <c r="B235" s="18">
        <v>45033</v>
      </c>
      <c r="C235">
        <v>153.16113300000001</v>
      </c>
      <c r="D235">
        <f t="shared" si="3"/>
        <v>3.3024725490247257E-2</v>
      </c>
    </row>
    <row r="236" spans="2:4">
      <c r="B236" s="18">
        <v>45040</v>
      </c>
      <c r="C236">
        <v>154.42619300000001</v>
      </c>
      <c r="D236">
        <f t="shared" si="3"/>
        <v>8.225742910629474E-3</v>
      </c>
    </row>
    <row r="237" spans="2:4">
      <c r="B237" s="18">
        <v>45047</v>
      </c>
      <c r="C237">
        <v>154.08055100000001</v>
      </c>
      <c r="D237">
        <f t="shared" si="3"/>
        <v>-2.2407428773765195E-3</v>
      </c>
    </row>
    <row r="238" spans="2:4">
      <c r="B238" s="18">
        <v>45054</v>
      </c>
      <c r="C238">
        <v>154.01144400000001</v>
      </c>
      <c r="D238">
        <f t="shared" si="3"/>
        <v>-4.4861276683932493E-4</v>
      </c>
    </row>
    <row r="239" spans="2:4">
      <c r="B239" s="18">
        <v>45061</v>
      </c>
      <c r="C239">
        <v>151.25628699999999</v>
      </c>
      <c r="D239">
        <f t="shared" si="3"/>
        <v>-1.805124835174611E-2</v>
      </c>
    </row>
    <row r="240" spans="2:4">
      <c r="B240" s="18">
        <v>45068</v>
      </c>
      <c r="C240">
        <v>143.583359</v>
      </c>
      <c r="D240">
        <f t="shared" si="3"/>
        <v>-5.2059897491324544E-2</v>
      </c>
    </row>
    <row r="241" spans="2:4">
      <c r="B241" s="18">
        <v>45075</v>
      </c>
      <c r="C241">
        <v>144.68937700000001</v>
      </c>
      <c r="D241">
        <f t="shared" si="3"/>
        <v>7.6734514846907992E-3</v>
      </c>
    </row>
    <row r="242" spans="2:4">
      <c r="B242" s="18">
        <v>45082</v>
      </c>
      <c r="C242">
        <v>144.72886700000001</v>
      </c>
      <c r="D242">
        <f t="shared" si="3"/>
        <v>2.7289226621860142E-4</v>
      </c>
    </row>
    <row r="243" spans="2:4">
      <c r="B243" s="18">
        <v>45089</v>
      </c>
      <c r="C243">
        <v>147.67163099999999</v>
      </c>
      <c r="D243">
        <f t="shared" si="3"/>
        <v>2.0128990073291483E-2</v>
      </c>
    </row>
    <row r="244" spans="2:4">
      <c r="B244" s="18">
        <v>45096</v>
      </c>
      <c r="C244">
        <v>146.60514800000001</v>
      </c>
      <c r="D244">
        <f t="shared" si="3"/>
        <v>-7.2481945242933296E-3</v>
      </c>
    </row>
    <row r="245" spans="2:4">
      <c r="B245" s="18">
        <v>45103</v>
      </c>
      <c r="C245">
        <v>149.84416200000001</v>
      </c>
      <c r="D245">
        <f t="shared" si="3"/>
        <v>2.1852929246992309E-2</v>
      </c>
    </row>
    <row r="246" spans="2:4">
      <c r="B246" s="18">
        <v>45110</v>
      </c>
      <c r="C246">
        <v>146.940887</v>
      </c>
      <c r="D246">
        <f t="shared" si="3"/>
        <v>-1.9565457393407603E-2</v>
      </c>
    </row>
    <row r="247" spans="2:4">
      <c r="B247" s="18">
        <v>45117</v>
      </c>
      <c r="C247">
        <v>148.17527799999999</v>
      </c>
      <c r="D247">
        <f t="shared" si="3"/>
        <v>8.3655071807021922E-3</v>
      </c>
    </row>
    <row r="248" spans="2:4">
      <c r="B248" s="18">
        <v>45124</v>
      </c>
      <c r="C248">
        <v>151.019272</v>
      </c>
      <c r="D248">
        <f t="shared" si="3"/>
        <v>1.9011573978003713E-2</v>
      </c>
    </row>
    <row r="249" spans="2:4">
      <c r="B249" s="18">
        <v>45131</v>
      </c>
      <c r="C249">
        <v>155.42898600000001</v>
      </c>
      <c r="D249">
        <f t="shared" si="3"/>
        <v>2.8781487826337677E-2</v>
      </c>
    </row>
    <row r="250" spans="2:4">
      <c r="B250" s="18">
        <v>45138</v>
      </c>
      <c r="C250">
        <v>154.30607599999999</v>
      </c>
      <c r="D250">
        <f t="shared" si="3"/>
        <v>-7.2508092072152072E-3</v>
      </c>
    </row>
    <row r="251" spans="2:4">
      <c r="B251" s="18">
        <v>45145</v>
      </c>
      <c r="C251">
        <v>156.035156</v>
      </c>
      <c r="D251">
        <f t="shared" si="3"/>
        <v>1.11432044051626E-2</v>
      </c>
    </row>
    <row r="252" spans="2:4">
      <c r="B252" s="18">
        <v>45152</v>
      </c>
      <c r="C252">
        <v>151.58325199999999</v>
      </c>
      <c r="D252">
        <f t="shared" si="3"/>
        <v>-2.8946348662947565E-2</v>
      </c>
    </row>
    <row r="253" spans="2:4">
      <c r="B253" s="18">
        <v>45159</v>
      </c>
      <c r="C253">
        <v>152.57698099999999</v>
      </c>
      <c r="D253">
        <f t="shared" si="3"/>
        <v>6.5342699533103938E-3</v>
      </c>
    </row>
    <row r="254" spans="2:4">
      <c r="B254" s="18">
        <v>45166</v>
      </c>
      <c r="C254">
        <v>153.54089400000001</v>
      </c>
      <c r="D254">
        <f t="shared" si="3"/>
        <v>6.2976798450095932E-3</v>
      </c>
    </row>
    <row r="255" spans="2:4">
      <c r="B255" s="18">
        <v>45173</v>
      </c>
      <c r="C255">
        <v>151.97081</v>
      </c>
      <c r="D255">
        <f t="shared" si="3"/>
        <v>-1.0278479039097984E-2</v>
      </c>
    </row>
    <row r="256" spans="2:4">
      <c r="B256" s="18">
        <v>45180</v>
      </c>
      <c r="C256">
        <v>152.507431</v>
      </c>
      <c r="D256">
        <f>LN(C256/C255)</f>
        <v>3.5248597985033398E-3</v>
      </c>
    </row>
    <row r="257" spans="2:13">
      <c r="B257" s="18">
        <v>45187</v>
      </c>
      <c r="C257">
        <v>150.629288</v>
      </c>
      <c r="D257">
        <f t="shared" si="3"/>
        <v>-1.2391550839650012E-2</v>
      </c>
    </row>
    <row r="258" spans="2:13">
      <c r="B258" s="18">
        <v>45194</v>
      </c>
      <c r="C258">
        <v>144.94515999999999</v>
      </c>
      <c r="D258">
        <f t="shared" si="3"/>
        <v>-3.8466307903748581E-2</v>
      </c>
    </row>
    <row r="259" spans="2:13">
      <c r="B259" s="18">
        <v>45201</v>
      </c>
      <c r="C259">
        <v>143.186249</v>
      </c>
      <c r="D259">
        <f t="shared" ref="D259:D262" si="4">LN(C259/C258)</f>
        <v>-1.2209240606366814E-2</v>
      </c>
    </row>
    <row r="260" spans="2:13">
      <c r="B260" s="18">
        <v>45208</v>
      </c>
      <c r="C260">
        <v>143.782501</v>
      </c>
      <c r="D260">
        <f t="shared" si="4"/>
        <v>4.1555246557368865E-3</v>
      </c>
    </row>
    <row r="261" spans="2:13">
      <c r="B261" s="18">
        <v>45215</v>
      </c>
      <c r="C261">
        <v>147.12142900000001</v>
      </c>
      <c r="D261">
        <f t="shared" si="4"/>
        <v>2.295654537309269E-2</v>
      </c>
    </row>
    <row r="262" spans="2:13">
      <c r="B262" s="18">
        <v>45222</v>
      </c>
      <c r="C262">
        <v>147.16000399999999</v>
      </c>
      <c r="D262">
        <f t="shared" si="4"/>
        <v>2.6216400965348033E-4</v>
      </c>
    </row>
    <row r="263" spans="2:13">
      <c r="B263" s="18">
        <v>45226</v>
      </c>
      <c r="C263">
        <v>147.16000399999999</v>
      </c>
      <c r="D263">
        <f>LN(C263/C262)</f>
        <v>0</v>
      </c>
    </row>
    <row r="264" spans="2:13">
      <c r="B264" t="s">
        <v>17</v>
      </c>
      <c r="C264">
        <f ca="1">C263*EXP($E$6+$G$4*NORMSINV(RAND()))</f>
        <v>152.9213217287151</v>
      </c>
    </row>
    <row r="265" spans="2:13">
      <c r="B265">
        <v>1</v>
      </c>
      <c r="C265">
        <f t="shared" ref="C265:C288" ca="1" si="5">C264*EXP($E$6+$G$4*NORMSINV(RAND()))</f>
        <v>148.75420266834541</v>
      </c>
    </row>
    <row r="266" spans="2:13">
      <c r="B266">
        <v>2</v>
      </c>
      <c r="C266">
        <f t="shared" ca="1" si="5"/>
        <v>152.52771240840113</v>
      </c>
    </row>
    <row r="267" spans="2:13">
      <c r="B267">
        <v>3</v>
      </c>
      <c r="C267">
        <f t="shared" ca="1" si="5"/>
        <v>149.46370177390483</v>
      </c>
    </row>
    <row r="268" spans="2:13">
      <c r="B268">
        <v>4</v>
      </c>
      <c r="C268">
        <f t="shared" ca="1" si="5"/>
        <v>151.35097695434985</v>
      </c>
    </row>
    <row r="269" spans="2:13">
      <c r="B269">
        <v>5</v>
      </c>
      <c r="C269">
        <f t="shared" ca="1" si="5"/>
        <v>144.09727655090435</v>
      </c>
    </row>
    <row r="270" spans="2:13">
      <c r="B270">
        <v>6</v>
      </c>
      <c r="C270">
        <f t="shared" ca="1" si="5"/>
        <v>151.29744023643303</v>
      </c>
    </row>
    <row r="271" spans="2:13" ht="15.75" customHeight="1">
      <c r="B271">
        <v>7</v>
      </c>
      <c r="C271">
        <f t="shared" ca="1" si="5"/>
        <v>150.22794408653508</v>
      </c>
      <c r="F271" s="26" t="s">
        <v>45</v>
      </c>
      <c r="G271" s="26"/>
      <c r="H271" s="26"/>
      <c r="I271" s="26"/>
      <c r="J271" s="26"/>
      <c r="K271" s="26"/>
      <c r="L271" s="26"/>
      <c r="M271" s="26"/>
    </row>
    <row r="272" spans="2:13">
      <c r="B272">
        <v>8</v>
      </c>
      <c r="C272">
        <f t="shared" ca="1" si="5"/>
        <v>153.70878520268022</v>
      </c>
      <c r="F272" s="26"/>
      <c r="G272" s="26"/>
      <c r="H272" s="26"/>
      <c r="I272" s="26"/>
      <c r="J272" s="26"/>
      <c r="K272" s="26"/>
      <c r="L272" s="26"/>
      <c r="M272" s="26"/>
    </row>
    <row r="273" spans="2:13">
      <c r="B273">
        <v>9</v>
      </c>
      <c r="C273">
        <f t="shared" ca="1" si="5"/>
        <v>163.82418551003732</v>
      </c>
      <c r="F273" s="26"/>
      <c r="G273" s="26"/>
      <c r="H273" s="26"/>
      <c r="I273" s="26"/>
      <c r="J273" s="26"/>
      <c r="K273" s="26"/>
      <c r="L273" s="26"/>
      <c r="M273" s="26"/>
    </row>
    <row r="274" spans="2:13">
      <c r="B274">
        <v>10</v>
      </c>
      <c r="C274">
        <f t="shared" ca="1" si="5"/>
        <v>174.49443819498887</v>
      </c>
      <c r="F274" s="26"/>
      <c r="G274" s="26"/>
      <c r="H274" s="26"/>
      <c r="I274" s="26"/>
      <c r="J274" s="26"/>
      <c r="K274" s="26"/>
      <c r="L274" s="26"/>
      <c r="M274" s="26"/>
    </row>
    <row r="275" spans="2:13">
      <c r="B275">
        <v>11</v>
      </c>
      <c r="C275">
        <f t="shared" ca="1" si="5"/>
        <v>171.52448537991361</v>
      </c>
      <c r="F275" s="26"/>
      <c r="G275" s="26"/>
      <c r="H275" s="26"/>
      <c r="I275" s="26"/>
      <c r="J275" s="26"/>
      <c r="K275" s="26"/>
      <c r="L275" s="26"/>
      <c r="M275" s="26"/>
    </row>
    <row r="276" spans="2:13">
      <c r="B276">
        <v>12</v>
      </c>
      <c r="C276">
        <f t="shared" ca="1" si="5"/>
        <v>161.33990455375968</v>
      </c>
      <c r="F276" s="26"/>
      <c r="G276" s="26"/>
      <c r="H276" s="26"/>
      <c r="I276" s="26"/>
      <c r="J276" s="26"/>
      <c r="K276" s="26"/>
      <c r="L276" s="26"/>
      <c r="M276" s="26"/>
    </row>
    <row r="277" spans="2:13">
      <c r="B277">
        <v>13</v>
      </c>
      <c r="C277">
        <f t="shared" ca="1" si="5"/>
        <v>156.19668600359174</v>
      </c>
      <c r="F277" s="26"/>
      <c r="G277" s="26"/>
      <c r="H277" s="26"/>
      <c r="I277" s="26"/>
      <c r="J277" s="26"/>
      <c r="K277" s="26"/>
      <c r="L277" s="26"/>
      <c r="M277" s="26"/>
    </row>
    <row r="278" spans="2:13">
      <c r="B278">
        <v>14</v>
      </c>
      <c r="C278">
        <f t="shared" ca="1" si="5"/>
        <v>150.6267129457575</v>
      </c>
      <c r="F278" s="26"/>
      <c r="G278" s="26"/>
      <c r="H278" s="26"/>
      <c r="I278" s="26"/>
      <c r="J278" s="26"/>
      <c r="K278" s="26"/>
      <c r="L278" s="26"/>
      <c r="M278" s="26"/>
    </row>
    <row r="279" spans="2:13">
      <c r="B279">
        <v>15</v>
      </c>
      <c r="C279">
        <f t="shared" ca="1" si="5"/>
        <v>147.01399312954223</v>
      </c>
      <c r="F279" s="26"/>
      <c r="G279" s="26"/>
      <c r="H279" s="26"/>
      <c r="I279" s="26"/>
      <c r="J279" s="26"/>
      <c r="K279" s="26"/>
      <c r="L279" s="26"/>
      <c r="M279" s="26"/>
    </row>
    <row r="280" spans="2:13">
      <c r="B280">
        <v>16</v>
      </c>
      <c r="C280">
        <f t="shared" ca="1" si="5"/>
        <v>142.82456804575506</v>
      </c>
      <c r="F280" s="26"/>
      <c r="G280" s="26"/>
      <c r="H280" s="26"/>
      <c r="I280" s="26"/>
      <c r="J280" s="26"/>
      <c r="K280" s="26"/>
      <c r="L280" s="26"/>
      <c r="M280" s="26"/>
    </row>
    <row r="281" spans="2:13">
      <c r="B281">
        <v>17</v>
      </c>
      <c r="C281">
        <f t="shared" ca="1" si="5"/>
        <v>143.09421434071893</v>
      </c>
      <c r="F281" s="26"/>
      <c r="G281" s="26"/>
      <c r="H281" s="26"/>
      <c r="I281" s="26"/>
      <c r="J281" s="26"/>
      <c r="K281" s="26"/>
      <c r="L281" s="26"/>
      <c r="M281" s="26"/>
    </row>
    <row r="282" spans="2:13">
      <c r="B282">
        <v>18</v>
      </c>
      <c r="C282">
        <f t="shared" ca="1" si="5"/>
        <v>146.81873829053649</v>
      </c>
      <c r="F282" s="26"/>
      <c r="G282" s="26"/>
      <c r="H282" s="26"/>
      <c r="I282" s="26"/>
      <c r="J282" s="26"/>
      <c r="K282" s="26"/>
      <c r="L282" s="26"/>
      <c r="M282" s="26"/>
    </row>
    <row r="283" spans="2:13">
      <c r="B283">
        <v>19</v>
      </c>
      <c r="C283">
        <f t="shared" ca="1" si="5"/>
        <v>149.27094468299535</v>
      </c>
      <c r="F283" s="26"/>
      <c r="G283" s="26"/>
      <c r="H283" s="26"/>
      <c r="I283" s="26"/>
      <c r="J283" s="26"/>
      <c r="K283" s="26"/>
      <c r="L283" s="26"/>
      <c r="M283" s="26"/>
    </row>
    <row r="284" spans="2:13">
      <c r="B284">
        <v>20</v>
      </c>
      <c r="C284">
        <f t="shared" ca="1" si="5"/>
        <v>147.77734606860892</v>
      </c>
      <c r="F284" s="26"/>
      <c r="G284" s="26"/>
      <c r="H284" s="26"/>
      <c r="I284" s="26"/>
      <c r="J284" s="26"/>
      <c r="K284" s="26"/>
      <c r="L284" s="26"/>
      <c r="M284" s="26"/>
    </row>
    <row r="285" spans="2:13">
      <c r="B285">
        <v>21</v>
      </c>
      <c r="C285">
        <f t="shared" ca="1" si="5"/>
        <v>146.42801557503077</v>
      </c>
      <c r="F285" s="26"/>
      <c r="G285" s="26"/>
      <c r="H285" s="26"/>
      <c r="I285" s="26"/>
      <c r="J285" s="26"/>
      <c r="K285" s="26"/>
      <c r="L285" s="26"/>
      <c r="M285" s="26"/>
    </row>
    <row r="286" spans="2:13">
      <c r="B286">
        <v>22</v>
      </c>
      <c r="C286">
        <f t="shared" ca="1" si="5"/>
        <v>154.53473641347495</v>
      </c>
    </row>
    <row r="287" spans="2:13">
      <c r="B287">
        <v>23</v>
      </c>
      <c r="C287">
        <f t="shared" ca="1" si="5"/>
        <v>156.09560481462788</v>
      </c>
    </row>
    <row r="288" spans="2:13">
      <c r="B288">
        <v>24</v>
      </c>
      <c r="C288">
        <f t="shared" ca="1" si="5"/>
        <v>156.5477886743931</v>
      </c>
    </row>
    <row r="290" spans="1:13">
      <c r="C290" t="s">
        <v>41</v>
      </c>
      <c r="I290" s="25" t="s">
        <v>42</v>
      </c>
      <c r="J290" s="25"/>
      <c r="L290" s="25" t="s">
        <v>44</v>
      </c>
      <c r="M290" s="25"/>
    </row>
    <row r="291" spans="1:13">
      <c r="A291" t="s">
        <v>25</v>
      </c>
      <c r="B291">
        <v>1</v>
      </c>
      <c r="C291">
        <f ca="1">C288</f>
        <v>156.5477886743931</v>
      </c>
      <c r="D291" t="s">
        <v>40</v>
      </c>
      <c r="E291" t="s">
        <v>34</v>
      </c>
      <c r="F291">
        <f ca="1">AVERAGE(C291:C1290)</f>
        <v>155.22911255345997</v>
      </c>
      <c r="I291" t="s">
        <v>34</v>
      </c>
      <c r="J291">
        <v>155.41764295332246</v>
      </c>
      <c r="L291" t="s">
        <v>34</v>
      </c>
      <c r="M291">
        <v>151.08006997711874</v>
      </c>
    </row>
    <row r="292" spans="1:13">
      <c r="B292">
        <v>2</v>
      </c>
      <c r="C292">
        <f t="dataTable" ref="C292:C1290" dt2D="0" dtr="0" r1="G282" ca="1"/>
        <v>130.49633891664178</v>
      </c>
      <c r="E292" t="s">
        <v>38</v>
      </c>
      <c r="F292">
        <f ca="1">_xlfn.STDEV.S(C291:C1290)</f>
        <v>21.166937189025557</v>
      </c>
      <c r="I292" t="s">
        <v>38</v>
      </c>
      <c r="J292">
        <v>21.314998477532367</v>
      </c>
      <c r="L292" t="s">
        <v>38</v>
      </c>
      <c r="M292">
        <v>14.772153790281354</v>
      </c>
    </row>
    <row r="293" spans="1:13">
      <c r="B293">
        <v>3</v>
      </c>
      <c r="C293">
        <v>122.67927622100797</v>
      </c>
      <c r="D293" t="s">
        <v>39</v>
      </c>
      <c r="E293" s="24">
        <v>0.9</v>
      </c>
      <c r="F293">
        <f t="shared" ref="F293:F298" ca="1" si="6">_xlfn.PERCENTILE.INC($C$291:$C$1290,1-E293)</f>
        <v>130.1339997053808</v>
      </c>
      <c r="I293">
        <v>0.9</v>
      </c>
      <c r="J293">
        <v>129.72581900905817</v>
      </c>
      <c r="K293" s="24"/>
      <c r="L293">
        <v>0.9</v>
      </c>
      <c r="M293">
        <v>132.92267151258858</v>
      </c>
    </row>
    <row r="294" spans="1:13">
      <c r="B294">
        <v>4</v>
      </c>
      <c r="C294">
        <v>158.64998822230672</v>
      </c>
      <c r="E294" s="24">
        <v>0.8</v>
      </c>
      <c r="F294">
        <f t="shared" ca="1" si="6"/>
        <v>137.47750500939452</v>
      </c>
      <c r="I294">
        <v>0.8</v>
      </c>
      <c r="J294">
        <v>137.47657851395172</v>
      </c>
      <c r="K294" s="24"/>
      <c r="L294">
        <v>0.8</v>
      </c>
      <c r="M294">
        <v>138.66351053926894</v>
      </c>
    </row>
    <row r="295" spans="1:13">
      <c r="B295">
        <v>5</v>
      </c>
      <c r="C295">
        <v>108.42376497197503</v>
      </c>
      <c r="E295" s="24">
        <v>0.7</v>
      </c>
      <c r="F295">
        <f t="shared" ca="1" si="6"/>
        <v>142.54150914428266</v>
      </c>
      <c r="I295">
        <v>0.7</v>
      </c>
      <c r="J295">
        <v>143.3150196304467</v>
      </c>
      <c r="K295" s="24"/>
      <c r="L295">
        <v>0.7</v>
      </c>
      <c r="M295">
        <v>142.45681079254138</v>
      </c>
    </row>
    <row r="296" spans="1:13">
      <c r="B296">
        <v>6</v>
      </c>
      <c r="C296">
        <v>175.33990606649539</v>
      </c>
      <c r="E296" s="24">
        <v>0.6</v>
      </c>
      <c r="F296">
        <f t="shared" ca="1" si="6"/>
        <v>148.69281307621787</v>
      </c>
      <c r="I296">
        <v>0.6</v>
      </c>
      <c r="J296">
        <v>148.85110269080769</v>
      </c>
      <c r="K296" s="24"/>
      <c r="L296">
        <v>0.6</v>
      </c>
      <c r="M296">
        <v>147.22924786669486</v>
      </c>
    </row>
    <row r="297" spans="1:13">
      <c r="B297">
        <v>7</v>
      </c>
      <c r="C297">
        <v>160.54061521558043</v>
      </c>
      <c r="E297" s="24">
        <v>0.5</v>
      </c>
      <c r="F297">
        <f t="shared" ca="1" si="6"/>
        <v>153.47198988833838</v>
      </c>
      <c r="I297">
        <v>0.5</v>
      </c>
      <c r="J297">
        <v>153.57894690007944</v>
      </c>
      <c r="K297" s="24"/>
      <c r="L297">
        <v>0.5</v>
      </c>
      <c r="M297">
        <v>150.77912988439988</v>
      </c>
    </row>
    <row r="298" spans="1:13">
      <c r="B298">
        <v>8</v>
      </c>
      <c r="C298">
        <v>145.8251214834479</v>
      </c>
      <c r="E298" s="24">
        <v>0.4</v>
      </c>
      <c r="F298">
        <f t="shared" ca="1" si="6"/>
        <v>158.80410640466971</v>
      </c>
      <c r="I298">
        <v>0.4</v>
      </c>
      <c r="J298">
        <v>159.52179994575246</v>
      </c>
      <c r="K298" s="24"/>
      <c r="L298">
        <v>0.4</v>
      </c>
      <c r="M298">
        <v>154.8474906944781</v>
      </c>
    </row>
    <row r="299" spans="1:13">
      <c r="B299">
        <v>9</v>
      </c>
      <c r="C299">
        <v>145.9877088666147</v>
      </c>
    </row>
    <row r="300" spans="1:13">
      <c r="B300">
        <v>10</v>
      </c>
      <c r="C300">
        <v>147.38199540135602</v>
      </c>
      <c r="I300" s="25" t="s">
        <v>43</v>
      </c>
      <c r="J300" s="25"/>
    </row>
    <row r="301" spans="1:13">
      <c r="B301">
        <v>11</v>
      </c>
      <c r="C301">
        <v>149.35479170166366</v>
      </c>
      <c r="I301" t="s">
        <v>34</v>
      </c>
      <c r="J301">
        <v>148.53819555498285</v>
      </c>
    </row>
    <row r="302" spans="1:13">
      <c r="B302">
        <v>12</v>
      </c>
      <c r="C302">
        <v>175.1684297291385</v>
      </c>
      <c r="I302" t="s">
        <v>38</v>
      </c>
      <c r="J302">
        <v>8.9263231145511348</v>
      </c>
    </row>
    <row r="303" spans="1:13">
      <c r="B303">
        <v>13</v>
      </c>
      <c r="C303">
        <v>156.36632221736065</v>
      </c>
      <c r="I303">
        <v>0.9</v>
      </c>
      <c r="J303">
        <v>137.21366054685365</v>
      </c>
    </row>
    <row r="304" spans="1:13">
      <c r="B304">
        <v>14</v>
      </c>
      <c r="C304">
        <v>168.66557868825484</v>
      </c>
      <c r="I304">
        <v>0.8</v>
      </c>
      <c r="J304">
        <v>140.78016103585762</v>
      </c>
    </row>
    <row r="305" spans="2:10">
      <c r="B305">
        <v>15</v>
      </c>
      <c r="C305">
        <v>131.41795299348675</v>
      </c>
      <c r="I305">
        <v>0.7</v>
      </c>
      <c r="J305">
        <v>143.51998894107061</v>
      </c>
    </row>
    <row r="306" spans="2:10">
      <c r="B306">
        <v>16</v>
      </c>
      <c r="C306">
        <v>181.18024213193235</v>
      </c>
      <c r="I306">
        <v>0.6</v>
      </c>
      <c r="J306">
        <v>145.79662703188836</v>
      </c>
    </row>
    <row r="307" spans="2:10">
      <c r="B307">
        <v>17</v>
      </c>
      <c r="C307">
        <v>164.55015490851119</v>
      </c>
      <c r="I307">
        <v>0.5</v>
      </c>
      <c r="J307">
        <v>148.29800191825365</v>
      </c>
    </row>
    <row r="308" spans="2:10">
      <c r="B308">
        <v>18</v>
      </c>
      <c r="C308">
        <v>162.42037745158461</v>
      </c>
      <c r="I308">
        <v>0.4</v>
      </c>
      <c r="J308">
        <v>150.62221535681445</v>
      </c>
    </row>
    <row r="309" spans="2:10">
      <c r="B309">
        <v>19</v>
      </c>
      <c r="C309">
        <v>172.23190985514785</v>
      </c>
    </row>
    <row r="310" spans="2:10">
      <c r="B310">
        <v>20</v>
      </c>
      <c r="C310">
        <v>179.14219393521014</v>
      </c>
    </row>
    <row r="311" spans="2:10">
      <c r="B311">
        <v>21</v>
      </c>
      <c r="C311">
        <v>130.38731111553781</v>
      </c>
    </row>
    <row r="312" spans="2:10">
      <c r="B312">
        <v>22</v>
      </c>
      <c r="C312">
        <v>135.20354760810895</v>
      </c>
    </row>
    <row r="313" spans="2:10">
      <c r="B313">
        <v>23</v>
      </c>
      <c r="C313">
        <v>166.54297210763229</v>
      </c>
    </row>
    <row r="314" spans="2:10">
      <c r="B314">
        <v>24</v>
      </c>
      <c r="C314">
        <v>180.66235551564068</v>
      </c>
    </row>
    <row r="315" spans="2:10">
      <c r="B315">
        <v>25</v>
      </c>
      <c r="C315">
        <v>155.08969955950647</v>
      </c>
    </row>
    <row r="316" spans="2:10">
      <c r="B316">
        <v>26</v>
      </c>
      <c r="C316">
        <v>154.50576391048335</v>
      </c>
    </row>
    <row r="317" spans="2:10">
      <c r="B317">
        <v>27</v>
      </c>
      <c r="C317">
        <v>117.22191133271455</v>
      </c>
    </row>
    <row r="318" spans="2:10">
      <c r="B318">
        <v>28</v>
      </c>
      <c r="C318">
        <v>148.98815312852989</v>
      </c>
    </row>
    <row r="319" spans="2:10">
      <c r="B319">
        <v>29</v>
      </c>
      <c r="C319">
        <v>177.29392070702389</v>
      </c>
    </row>
    <row r="320" spans="2:10">
      <c r="B320">
        <v>30</v>
      </c>
      <c r="C320">
        <v>184.92002210086696</v>
      </c>
    </row>
    <row r="321" spans="2:3">
      <c r="B321">
        <v>31</v>
      </c>
      <c r="C321">
        <v>159.93959241958004</v>
      </c>
    </row>
    <row r="322" spans="2:3">
      <c r="B322">
        <v>32</v>
      </c>
      <c r="C322">
        <v>142.0779475103657</v>
      </c>
    </row>
    <row r="323" spans="2:3">
      <c r="B323">
        <v>33</v>
      </c>
      <c r="C323">
        <v>162.05055026520645</v>
      </c>
    </row>
    <row r="324" spans="2:3">
      <c r="B324">
        <v>34</v>
      </c>
      <c r="C324">
        <v>171.170495896999</v>
      </c>
    </row>
    <row r="325" spans="2:3">
      <c r="B325">
        <v>35</v>
      </c>
      <c r="C325">
        <v>120.99736580061547</v>
      </c>
    </row>
    <row r="326" spans="2:3">
      <c r="B326">
        <v>36</v>
      </c>
      <c r="C326">
        <v>142.03269463574324</v>
      </c>
    </row>
    <row r="327" spans="2:3">
      <c r="B327">
        <v>37</v>
      </c>
      <c r="C327">
        <v>175.07214462914447</v>
      </c>
    </row>
    <row r="328" spans="2:3">
      <c r="B328">
        <v>38</v>
      </c>
      <c r="C328">
        <v>180.28236251911804</v>
      </c>
    </row>
    <row r="329" spans="2:3">
      <c r="B329">
        <v>39</v>
      </c>
      <c r="C329">
        <v>141.70706752815207</v>
      </c>
    </row>
    <row r="330" spans="2:3">
      <c r="B330">
        <v>40</v>
      </c>
      <c r="C330">
        <v>154.25151378628524</v>
      </c>
    </row>
    <row r="331" spans="2:3">
      <c r="B331">
        <v>41</v>
      </c>
      <c r="C331">
        <v>145.33782372296471</v>
      </c>
    </row>
    <row r="332" spans="2:3">
      <c r="B332">
        <v>42</v>
      </c>
      <c r="C332">
        <v>137.33188068686343</v>
      </c>
    </row>
    <row r="333" spans="2:3">
      <c r="B333">
        <v>43</v>
      </c>
      <c r="C333">
        <v>179.94424424662643</v>
      </c>
    </row>
    <row r="334" spans="2:3">
      <c r="B334">
        <v>44</v>
      </c>
      <c r="C334">
        <v>145.68242127806678</v>
      </c>
    </row>
    <row r="335" spans="2:3">
      <c r="B335">
        <v>45</v>
      </c>
      <c r="C335">
        <v>145.18278384153828</v>
      </c>
    </row>
    <row r="336" spans="2:3">
      <c r="B336">
        <v>46</v>
      </c>
      <c r="C336">
        <v>132.641978306721</v>
      </c>
    </row>
    <row r="337" spans="2:3">
      <c r="B337">
        <v>47</v>
      </c>
      <c r="C337">
        <v>164.71518746704288</v>
      </c>
    </row>
    <row r="338" spans="2:3">
      <c r="B338">
        <v>48</v>
      </c>
      <c r="C338">
        <v>186.6628240435914</v>
      </c>
    </row>
    <row r="339" spans="2:3">
      <c r="B339">
        <v>49</v>
      </c>
      <c r="C339">
        <v>106.83537693158144</v>
      </c>
    </row>
    <row r="340" spans="2:3">
      <c r="B340">
        <v>50</v>
      </c>
      <c r="C340">
        <v>133.64762425105502</v>
      </c>
    </row>
    <row r="341" spans="2:3">
      <c r="B341">
        <v>51</v>
      </c>
      <c r="C341">
        <v>220.62409863490976</v>
      </c>
    </row>
    <row r="342" spans="2:3">
      <c r="B342">
        <v>52</v>
      </c>
      <c r="C342">
        <v>155.00874745461223</v>
      </c>
    </row>
    <row r="343" spans="2:3">
      <c r="B343">
        <v>53</v>
      </c>
      <c r="C343">
        <v>153.48025203811878</v>
      </c>
    </row>
    <row r="344" spans="2:3">
      <c r="B344">
        <v>54</v>
      </c>
      <c r="C344">
        <v>140.0767165402836</v>
      </c>
    </row>
    <row r="345" spans="2:3">
      <c r="B345">
        <v>55</v>
      </c>
      <c r="C345">
        <v>113.93012245770294</v>
      </c>
    </row>
    <row r="346" spans="2:3">
      <c r="B346">
        <v>56</v>
      </c>
      <c r="C346">
        <v>170.11481541017068</v>
      </c>
    </row>
    <row r="347" spans="2:3">
      <c r="B347">
        <v>57</v>
      </c>
      <c r="C347">
        <v>182.90132555085088</v>
      </c>
    </row>
    <row r="348" spans="2:3">
      <c r="B348">
        <v>58</v>
      </c>
      <c r="C348">
        <v>175.53844027374913</v>
      </c>
    </row>
    <row r="349" spans="2:3">
      <c r="B349">
        <v>59</v>
      </c>
      <c r="C349">
        <v>176.54956932359192</v>
      </c>
    </row>
    <row r="350" spans="2:3">
      <c r="B350">
        <v>60</v>
      </c>
      <c r="C350">
        <v>159.91103515425738</v>
      </c>
    </row>
    <row r="351" spans="2:3">
      <c r="B351">
        <v>61</v>
      </c>
      <c r="C351">
        <v>139.66395754628337</v>
      </c>
    </row>
    <row r="352" spans="2:3">
      <c r="B352">
        <v>62</v>
      </c>
      <c r="C352">
        <v>137.33470799889528</v>
      </c>
    </row>
    <row r="353" spans="2:3">
      <c r="B353">
        <v>63</v>
      </c>
      <c r="C353">
        <v>136.5278902718434</v>
      </c>
    </row>
    <row r="354" spans="2:3">
      <c r="B354">
        <v>64</v>
      </c>
      <c r="C354">
        <v>137.73159479088719</v>
      </c>
    </row>
    <row r="355" spans="2:3">
      <c r="B355">
        <v>65</v>
      </c>
      <c r="C355">
        <v>156.4170336063502</v>
      </c>
    </row>
    <row r="356" spans="2:3">
      <c r="B356">
        <v>66</v>
      </c>
      <c r="C356">
        <v>158.65260800182827</v>
      </c>
    </row>
    <row r="357" spans="2:3">
      <c r="B357">
        <v>67</v>
      </c>
      <c r="C357">
        <v>141.12069753592715</v>
      </c>
    </row>
    <row r="358" spans="2:3">
      <c r="B358">
        <v>68</v>
      </c>
      <c r="C358">
        <v>134.400027795249</v>
      </c>
    </row>
    <row r="359" spans="2:3">
      <c r="B359">
        <v>69</v>
      </c>
      <c r="C359">
        <v>192.06554876624824</v>
      </c>
    </row>
    <row r="360" spans="2:3">
      <c r="B360">
        <v>70</v>
      </c>
      <c r="C360">
        <v>133.07357592562289</v>
      </c>
    </row>
    <row r="361" spans="2:3">
      <c r="B361">
        <v>71</v>
      </c>
      <c r="C361">
        <v>177.92564454526391</v>
      </c>
    </row>
    <row r="362" spans="2:3">
      <c r="B362">
        <v>72</v>
      </c>
      <c r="C362">
        <v>145.4648399671263</v>
      </c>
    </row>
    <row r="363" spans="2:3">
      <c r="B363">
        <v>73</v>
      </c>
      <c r="C363">
        <v>137.70552247153913</v>
      </c>
    </row>
    <row r="364" spans="2:3">
      <c r="B364">
        <v>74</v>
      </c>
      <c r="C364">
        <v>126.16506328723221</v>
      </c>
    </row>
    <row r="365" spans="2:3">
      <c r="B365">
        <v>75</v>
      </c>
      <c r="C365">
        <v>152.96730387105268</v>
      </c>
    </row>
    <row r="366" spans="2:3">
      <c r="B366">
        <v>76</v>
      </c>
      <c r="C366">
        <v>158.30591186354798</v>
      </c>
    </row>
    <row r="367" spans="2:3">
      <c r="B367">
        <v>77</v>
      </c>
      <c r="C367">
        <v>135.90164985774271</v>
      </c>
    </row>
    <row r="368" spans="2:3">
      <c r="B368">
        <v>78</v>
      </c>
      <c r="C368">
        <v>157.01248037740675</v>
      </c>
    </row>
    <row r="369" spans="2:3">
      <c r="B369">
        <v>79</v>
      </c>
      <c r="C369">
        <v>168.21942221434301</v>
      </c>
    </row>
    <row r="370" spans="2:3">
      <c r="B370">
        <v>80</v>
      </c>
      <c r="C370">
        <v>176.76975594669224</v>
      </c>
    </row>
    <row r="371" spans="2:3">
      <c r="B371">
        <v>81</v>
      </c>
      <c r="C371">
        <v>143.55078069778122</v>
      </c>
    </row>
    <row r="372" spans="2:3">
      <c r="B372">
        <v>82</v>
      </c>
      <c r="C372">
        <v>161.30689427986195</v>
      </c>
    </row>
    <row r="373" spans="2:3">
      <c r="B373">
        <v>83</v>
      </c>
      <c r="C373">
        <v>167.62362330067043</v>
      </c>
    </row>
    <row r="374" spans="2:3">
      <c r="B374">
        <v>84</v>
      </c>
      <c r="C374">
        <v>124.77820381582514</v>
      </c>
    </row>
    <row r="375" spans="2:3">
      <c r="B375">
        <v>85</v>
      </c>
      <c r="C375">
        <v>160.55554233097124</v>
      </c>
    </row>
    <row r="376" spans="2:3">
      <c r="B376">
        <v>86</v>
      </c>
      <c r="C376">
        <v>152.92486667151377</v>
      </c>
    </row>
    <row r="377" spans="2:3">
      <c r="B377">
        <v>87</v>
      </c>
      <c r="C377">
        <v>130.45762726978168</v>
      </c>
    </row>
    <row r="378" spans="2:3">
      <c r="B378">
        <v>88</v>
      </c>
      <c r="C378">
        <v>162.69899600277935</v>
      </c>
    </row>
    <row r="379" spans="2:3">
      <c r="B379">
        <v>89</v>
      </c>
      <c r="C379">
        <v>152.48451998707017</v>
      </c>
    </row>
    <row r="380" spans="2:3">
      <c r="B380">
        <v>90</v>
      </c>
      <c r="C380">
        <v>137.48396037860618</v>
      </c>
    </row>
    <row r="381" spans="2:3">
      <c r="B381">
        <v>91</v>
      </c>
      <c r="C381">
        <v>125.01281743633821</v>
      </c>
    </row>
    <row r="382" spans="2:3">
      <c r="B382">
        <v>92</v>
      </c>
      <c r="C382">
        <v>193.04677072013249</v>
      </c>
    </row>
    <row r="383" spans="2:3">
      <c r="B383">
        <v>93</v>
      </c>
      <c r="C383">
        <v>162.28775353975144</v>
      </c>
    </row>
    <row r="384" spans="2:3">
      <c r="B384">
        <v>94</v>
      </c>
      <c r="C384">
        <v>150.82046722330765</v>
      </c>
    </row>
    <row r="385" spans="2:3">
      <c r="B385">
        <v>95</v>
      </c>
      <c r="C385">
        <v>183.54334548892021</v>
      </c>
    </row>
    <row r="386" spans="2:3">
      <c r="B386">
        <v>96</v>
      </c>
      <c r="C386">
        <v>189.03524803926786</v>
      </c>
    </row>
    <row r="387" spans="2:3">
      <c r="B387">
        <v>97</v>
      </c>
      <c r="C387">
        <v>160.36399614099162</v>
      </c>
    </row>
    <row r="388" spans="2:3">
      <c r="B388">
        <v>98</v>
      </c>
      <c r="C388">
        <v>137.52730399404567</v>
      </c>
    </row>
    <row r="389" spans="2:3">
      <c r="B389">
        <v>99</v>
      </c>
      <c r="C389">
        <v>156.28502882808763</v>
      </c>
    </row>
    <row r="390" spans="2:3">
      <c r="B390">
        <v>100</v>
      </c>
      <c r="C390">
        <v>177.00054047340731</v>
      </c>
    </row>
    <row r="391" spans="2:3">
      <c r="B391">
        <v>101</v>
      </c>
      <c r="C391">
        <v>181.2856439848301</v>
      </c>
    </row>
    <row r="392" spans="2:3">
      <c r="B392">
        <v>102</v>
      </c>
      <c r="C392">
        <v>176.15684932062254</v>
      </c>
    </row>
    <row r="393" spans="2:3">
      <c r="B393">
        <v>103</v>
      </c>
      <c r="C393">
        <v>162.06116047879379</v>
      </c>
    </row>
    <row r="394" spans="2:3">
      <c r="B394">
        <v>104</v>
      </c>
      <c r="C394">
        <v>159.38974745333928</v>
      </c>
    </row>
    <row r="395" spans="2:3">
      <c r="B395">
        <v>105</v>
      </c>
      <c r="C395">
        <v>139.71627844116367</v>
      </c>
    </row>
    <row r="396" spans="2:3">
      <c r="B396">
        <v>106</v>
      </c>
      <c r="C396">
        <v>156.18396870294561</v>
      </c>
    </row>
    <row r="397" spans="2:3">
      <c r="B397">
        <v>107</v>
      </c>
      <c r="C397">
        <v>150.08493511591021</v>
      </c>
    </row>
    <row r="398" spans="2:3">
      <c r="B398">
        <v>108</v>
      </c>
      <c r="C398">
        <v>155.72346306873126</v>
      </c>
    </row>
    <row r="399" spans="2:3">
      <c r="B399">
        <v>109</v>
      </c>
      <c r="C399">
        <v>169.50749099625503</v>
      </c>
    </row>
    <row r="400" spans="2:3">
      <c r="B400">
        <v>110</v>
      </c>
      <c r="C400">
        <v>143.59647057909891</v>
      </c>
    </row>
    <row r="401" spans="2:3">
      <c r="B401">
        <v>111</v>
      </c>
      <c r="C401">
        <v>183.91074555342396</v>
      </c>
    </row>
    <row r="402" spans="2:3">
      <c r="B402">
        <v>112</v>
      </c>
      <c r="C402">
        <v>164.9092873319496</v>
      </c>
    </row>
    <row r="403" spans="2:3">
      <c r="B403">
        <v>113</v>
      </c>
      <c r="C403">
        <v>176.45632269711447</v>
      </c>
    </row>
    <row r="404" spans="2:3">
      <c r="B404">
        <v>114</v>
      </c>
      <c r="C404">
        <v>184.07180842606704</v>
      </c>
    </row>
    <row r="405" spans="2:3">
      <c r="B405">
        <v>115</v>
      </c>
      <c r="C405">
        <v>157.09966917472158</v>
      </c>
    </row>
    <row r="406" spans="2:3">
      <c r="B406">
        <v>116</v>
      </c>
      <c r="C406">
        <v>166.15129174695491</v>
      </c>
    </row>
    <row r="407" spans="2:3">
      <c r="B407">
        <v>117</v>
      </c>
      <c r="C407">
        <v>140.17758456954496</v>
      </c>
    </row>
    <row r="408" spans="2:3">
      <c r="B408">
        <v>118</v>
      </c>
      <c r="C408">
        <v>115.43081824865538</v>
      </c>
    </row>
    <row r="409" spans="2:3">
      <c r="B409">
        <v>119</v>
      </c>
      <c r="C409">
        <v>139.4914068190341</v>
      </c>
    </row>
    <row r="410" spans="2:3">
      <c r="B410">
        <v>120</v>
      </c>
      <c r="C410">
        <v>183.47291098005252</v>
      </c>
    </row>
    <row r="411" spans="2:3">
      <c r="B411">
        <v>121</v>
      </c>
      <c r="C411">
        <v>191.51723746941741</v>
      </c>
    </row>
    <row r="412" spans="2:3">
      <c r="B412">
        <v>122</v>
      </c>
      <c r="C412">
        <v>149.1789562005896</v>
      </c>
    </row>
    <row r="413" spans="2:3">
      <c r="B413">
        <v>123</v>
      </c>
      <c r="C413">
        <v>182.63137485589868</v>
      </c>
    </row>
    <row r="414" spans="2:3">
      <c r="B414">
        <v>124</v>
      </c>
      <c r="C414">
        <v>150.30121879540761</v>
      </c>
    </row>
    <row r="415" spans="2:3">
      <c r="B415">
        <v>125</v>
      </c>
      <c r="C415">
        <v>176.11292945293047</v>
      </c>
    </row>
    <row r="416" spans="2:3">
      <c r="B416">
        <v>126</v>
      </c>
      <c r="C416">
        <v>115.1416368682607</v>
      </c>
    </row>
    <row r="417" spans="2:3">
      <c r="B417">
        <v>127</v>
      </c>
      <c r="C417">
        <v>143.91968451674293</v>
      </c>
    </row>
    <row r="418" spans="2:3">
      <c r="B418">
        <v>128</v>
      </c>
      <c r="C418">
        <v>200.23567503425664</v>
      </c>
    </row>
    <row r="419" spans="2:3">
      <c r="B419">
        <v>129</v>
      </c>
      <c r="C419">
        <v>142.12978742392008</v>
      </c>
    </row>
    <row r="420" spans="2:3">
      <c r="B420">
        <v>130</v>
      </c>
      <c r="C420">
        <v>160.80173769364035</v>
      </c>
    </row>
    <row r="421" spans="2:3">
      <c r="B421">
        <v>131</v>
      </c>
      <c r="C421">
        <v>193.8388251307411</v>
      </c>
    </row>
    <row r="422" spans="2:3">
      <c r="B422">
        <v>132</v>
      </c>
      <c r="C422">
        <v>141.07176149414906</v>
      </c>
    </row>
    <row r="423" spans="2:3">
      <c r="B423">
        <v>133</v>
      </c>
      <c r="C423">
        <v>137.53384871613184</v>
      </c>
    </row>
    <row r="424" spans="2:3">
      <c r="B424">
        <v>134</v>
      </c>
      <c r="C424">
        <v>195.87295576552981</v>
      </c>
    </row>
    <row r="425" spans="2:3">
      <c r="B425">
        <v>135</v>
      </c>
      <c r="C425">
        <v>149.54498832553372</v>
      </c>
    </row>
    <row r="426" spans="2:3">
      <c r="B426">
        <v>136</v>
      </c>
      <c r="C426">
        <v>131.89336400286237</v>
      </c>
    </row>
    <row r="427" spans="2:3">
      <c r="B427">
        <v>137</v>
      </c>
      <c r="C427">
        <v>137.90488830818043</v>
      </c>
    </row>
    <row r="428" spans="2:3">
      <c r="B428">
        <v>138</v>
      </c>
      <c r="C428">
        <v>132.94365170545476</v>
      </c>
    </row>
    <row r="429" spans="2:3">
      <c r="B429">
        <v>139</v>
      </c>
      <c r="C429">
        <v>132.6545147341491</v>
      </c>
    </row>
    <row r="430" spans="2:3">
      <c r="B430">
        <v>140</v>
      </c>
      <c r="C430">
        <v>145.75722845025822</v>
      </c>
    </row>
    <row r="431" spans="2:3">
      <c r="B431">
        <v>141</v>
      </c>
      <c r="C431">
        <v>146.06790264355632</v>
      </c>
    </row>
    <row r="432" spans="2:3">
      <c r="B432">
        <v>142</v>
      </c>
      <c r="C432">
        <v>161.34285801609454</v>
      </c>
    </row>
    <row r="433" spans="2:3">
      <c r="B433">
        <v>143</v>
      </c>
      <c r="C433">
        <v>191.15754204191995</v>
      </c>
    </row>
    <row r="434" spans="2:3">
      <c r="B434">
        <v>144</v>
      </c>
      <c r="C434">
        <v>133.28498677392378</v>
      </c>
    </row>
    <row r="435" spans="2:3">
      <c r="B435">
        <v>145</v>
      </c>
      <c r="C435">
        <v>155.75721643544247</v>
      </c>
    </row>
    <row r="436" spans="2:3">
      <c r="B436">
        <v>146</v>
      </c>
      <c r="C436">
        <v>165.63620682168101</v>
      </c>
    </row>
    <row r="437" spans="2:3">
      <c r="B437">
        <v>147</v>
      </c>
      <c r="C437">
        <v>176.72876597681241</v>
      </c>
    </row>
    <row r="438" spans="2:3">
      <c r="B438">
        <v>148</v>
      </c>
      <c r="C438">
        <v>167.80327679185012</v>
      </c>
    </row>
    <row r="439" spans="2:3">
      <c r="B439">
        <v>149</v>
      </c>
      <c r="C439">
        <v>136.07496623802996</v>
      </c>
    </row>
    <row r="440" spans="2:3">
      <c r="B440">
        <v>150</v>
      </c>
      <c r="C440">
        <v>169.49739798410275</v>
      </c>
    </row>
    <row r="441" spans="2:3">
      <c r="B441">
        <v>151</v>
      </c>
      <c r="C441">
        <v>181.85212965348941</v>
      </c>
    </row>
    <row r="442" spans="2:3">
      <c r="B442">
        <v>152</v>
      </c>
      <c r="C442">
        <v>153.24940107905181</v>
      </c>
    </row>
    <row r="443" spans="2:3">
      <c r="B443">
        <v>153</v>
      </c>
      <c r="C443">
        <v>159.15420592721495</v>
      </c>
    </row>
    <row r="444" spans="2:3">
      <c r="B444">
        <v>154</v>
      </c>
      <c r="C444">
        <v>133.89454804665661</v>
      </c>
    </row>
    <row r="445" spans="2:3">
      <c r="B445">
        <v>155</v>
      </c>
      <c r="C445">
        <v>165.59237055331999</v>
      </c>
    </row>
    <row r="446" spans="2:3">
      <c r="B446">
        <v>156</v>
      </c>
      <c r="C446">
        <v>114.94865861586457</v>
      </c>
    </row>
    <row r="447" spans="2:3">
      <c r="B447">
        <v>157</v>
      </c>
      <c r="C447">
        <v>166.68808440934967</v>
      </c>
    </row>
    <row r="448" spans="2:3">
      <c r="B448">
        <v>158</v>
      </c>
      <c r="C448">
        <v>190.4040648575961</v>
      </c>
    </row>
    <row r="449" spans="2:3">
      <c r="B449">
        <v>159</v>
      </c>
      <c r="C449">
        <v>148.16900369451776</v>
      </c>
    </row>
    <row r="450" spans="2:3">
      <c r="B450">
        <v>160</v>
      </c>
      <c r="C450">
        <v>177.25916400581332</v>
      </c>
    </row>
    <row r="451" spans="2:3">
      <c r="B451">
        <v>161</v>
      </c>
      <c r="C451">
        <v>157.57789152465293</v>
      </c>
    </row>
    <row r="452" spans="2:3">
      <c r="B452">
        <v>162</v>
      </c>
      <c r="C452">
        <v>205.84720346736063</v>
      </c>
    </row>
    <row r="453" spans="2:3">
      <c r="B453">
        <v>163</v>
      </c>
      <c r="C453">
        <v>166.460541348226</v>
      </c>
    </row>
    <row r="454" spans="2:3">
      <c r="B454">
        <v>164</v>
      </c>
      <c r="C454">
        <v>149.99558378145241</v>
      </c>
    </row>
    <row r="455" spans="2:3">
      <c r="B455">
        <v>165</v>
      </c>
      <c r="C455">
        <v>125.92975881044889</v>
      </c>
    </row>
    <row r="456" spans="2:3">
      <c r="B456">
        <v>166</v>
      </c>
      <c r="C456">
        <v>155.3452357559982</v>
      </c>
    </row>
    <row r="457" spans="2:3">
      <c r="B457">
        <v>167</v>
      </c>
      <c r="C457">
        <v>174.21246218167906</v>
      </c>
    </row>
    <row r="458" spans="2:3">
      <c r="B458">
        <v>168</v>
      </c>
      <c r="C458">
        <v>145.83791810184491</v>
      </c>
    </row>
    <row r="459" spans="2:3">
      <c r="B459">
        <v>169</v>
      </c>
      <c r="C459">
        <v>128.16908064666467</v>
      </c>
    </row>
    <row r="460" spans="2:3">
      <c r="B460">
        <v>170</v>
      </c>
      <c r="C460">
        <v>160.90627034428633</v>
      </c>
    </row>
    <row r="461" spans="2:3">
      <c r="B461">
        <v>171</v>
      </c>
      <c r="C461">
        <v>179.29374992214144</v>
      </c>
    </row>
    <row r="462" spans="2:3">
      <c r="B462">
        <v>172</v>
      </c>
      <c r="C462">
        <v>143.10880443758293</v>
      </c>
    </row>
    <row r="463" spans="2:3">
      <c r="B463">
        <v>173</v>
      </c>
      <c r="C463">
        <v>157.47059981001533</v>
      </c>
    </row>
    <row r="464" spans="2:3">
      <c r="B464">
        <v>174</v>
      </c>
      <c r="C464">
        <v>165.30871981373983</v>
      </c>
    </row>
    <row r="465" spans="2:3">
      <c r="B465">
        <v>175</v>
      </c>
      <c r="C465">
        <v>124.00861536401477</v>
      </c>
    </row>
    <row r="466" spans="2:3">
      <c r="B466">
        <v>176</v>
      </c>
      <c r="C466">
        <v>148.94505777403273</v>
      </c>
    </row>
    <row r="467" spans="2:3">
      <c r="B467">
        <v>177</v>
      </c>
      <c r="C467">
        <v>178.68232417785174</v>
      </c>
    </row>
    <row r="468" spans="2:3">
      <c r="B468">
        <v>178</v>
      </c>
      <c r="C468">
        <v>148.74114401083105</v>
      </c>
    </row>
    <row r="469" spans="2:3">
      <c r="B469">
        <v>179</v>
      </c>
      <c r="C469">
        <v>158.40367712401567</v>
      </c>
    </row>
    <row r="470" spans="2:3">
      <c r="B470">
        <v>180</v>
      </c>
      <c r="C470">
        <v>129.20653525528951</v>
      </c>
    </row>
    <row r="471" spans="2:3">
      <c r="B471">
        <v>181</v>
      </c>
      <c r="C471">
        <v>155.85972327341966</v>
      </c>
    </row>
    <row r="472" spans="2:3">
      <c r="B472">
        <v>182</v>
      </c>
      <c r="C472">
        <v>155.44600424812734</v>
      </c>
    </row>
    <row r="473" spans="2:3">
      <c r="B473">
        <v>183</v>
      </c>
      <c r="C473">
        <v>131.12033394709752</v>
      </c>
    </row>
    <row r="474" spans="2:3">
      <c r="B474">
        <v>184</v>
      </c>
      <c r="C474">
        <v>139.99058610483542</v>
      </c>
    </row>
    <row r="475" spans="2:3">
      <c r="B475">
        <v>185</v>
      </c>
      <c r="C475">
        <v>137.47861082100351</v>
      </c>
    </row>
    <row r="476" spans="2:3">
      <c r="B476">
        <v>186</v>
      </c>
      <c r="C476">
        <v>157.87068136359775</v>
      </c>
    </row>
    <row r="477" spans="2:3">
      <c r="B477">
        <v>187</v>
      </c>
      <c r="C477">
        <v>178.38017568535778</v>
      </c>
    </row>
    <row r="478" spans="2:3">
      <c r="B478">
        <v>188</v>
      </c>
      <c r="C478">
        <v>166.944741591895</v>
      </c>
    </row>
    <row r="479" spans="2:3">
      <c r="B479">
        <v>189</v>
      </c>
      <c r="C479">
        <v>145.03118141637947</v>
      </c>
    </row>
    <row r="480" spans="2:3">
      <c r="B480">
        <v>190</v>
      </c>
      <c r="C480">
        <v>155.17473611859091</v>
      </c>
    </row>
    <row r="481" spans="2:3">
      <c r="B481">
        <v>191</v>
      </c>
      <c r="C481">
        <v>154.50474886014536</v>
      </c>
    </row>
    <row r="482" spans="2:3">
      <c r="B482">
        <v>192</v>
      </c>
      <c r="C482">
        <v>149.6980247027364</v>
      </c>
    </row>
    <row r="483" spans="2:3">
      <c r="B483">
        <v>193</v>
      </c>
      <c r="C483">
        <v>217.15985806506055</v>
      </c>
    </row>
    <row r="484" spans="2:3">
      <c r="B484">
        <v>194</v>
      </c>
      <c r="C484">
        <v>142.69149777791517</v>
      </c>
    </row>
    <row r="485" spans="2:3">
      <c r="B485">
        <v>195</v>
      </c>
      <c r="C485">
        <v>155.90055818911551</v>
      </c>
    </row>
    <row r="486" spans="2:3">
      <c r="B486">
        <v>196</v>
      </c>
      <c r="C486">
        <v>175.30861878432242</v>
      </c>
    </row>
    <row r="487" spans="2:3">
      <c r="B487">
        <v>197</v>
      </c>
      <c r="C487">
        <v>151.55849434184864</v>
      </c>
    </row>
    <row r="488" spans="2:3">
      <c r="B488">
        <v>198</v>
      </c>
      <c r="C488">
        <v>153.51543115498671</v>
      </c>
    </row>
    <row r="489" spans="2:3">
      <c r="B489">
        <v>199</v>
      </c>
      <c r="C489">
        <v>156.74399264186519</v>
      </c>
    </row>
    <row r="490" spans="2:3">
      <c r="B490">
        <v>200</v>
      </c>
      <c r="C490">
        <v>126.50137604218318</v>
      </c>
    </row>
    <row r="491" spans="2:3">
      <c r="B491">
        <v>201</v>
      </c>
      <c r="C491">
        <v>140.44128374331916</v>
      </c>
    </row>
    <row r="492" spans="2:3">
      <c r="B492">
        <v>202</v>
      </c>
      <c r="C492">
        <v>176.05869251466075</v>
      </c>
    </row>
    <row r="493" spans="2:3">
      <c r="B493">
        <v>203</v>
      </c>
      <c r="C493">
        <v>127.42094825267959</v>
      </c>
    </row>
    <row r="494" spans="2:3">
      <c r="B494">
        <v>204</v>
      </c>
      <c r="C494">
        <v>137.49131353004938</v>
      </c>
    </row>
    <row r="495" spans="2:3">
      <c r="B495">
        <v>205</v>
      </c>
      <c r="C495">
        <v>176.22078482627063</v>
      </c>
    </row>
    <row r="496" spans="2:3">
      <c r="B496">
        <v>206</v>
      </c>
      <c r="C496">
        <v>150.08287030918697</v>
      </c>
    </row>
    <row r="497" spans="2:3">
      <c r="B497">
        <v>207</v>
      </c>
      <c r="C497">
        <v>146.29453192765294</v>
      </c>
    </row>
    <row r="498" spans="2:3">
      <c r="B498">
        <v>208</v>
      </c>
      <c r="C498">
        <v>139.73545232092431</v>
      </c>
    </row>
    <row r="499" spans="2:3">
      <c r="B499">
        <v>209</v>
      </c>
      <c r="C499">
        <v>131.09702328501029</v>
      </c>
    </row>
    <row r="500" spans="2:3">
      <c r="B500">
        <v>210</v>
      </c>
      <c r="C500">
        <v>164.549598280135</v>
      </c>
    </row>
    <row r="501" spans="2:3">
      <c r="B501">
        <v>211</v>
      </c>
      <c r="C501">
        <v>169.22394186037945</v>
      </c>
    </row>
    <row r="502" spans="2:3">
      <c r="B502">
        <v>212</v>
      </c>
      <c r="C502">
        <v>165.00363279770497</v>
      </c>
    </row>
    <row r="503" spans="2:3">
      <c r="B503">
        <v>213</v>
      </c>
      <c r="C503">
        <v>124.97510262617988</v>
      </c>
    </row>
    <row r="504" spans="2:3">
      <c r="B504">
        <v>214</v>
      </c>
      <c r="C504">
        <v>158.78104955971375</v>
      </c>
    </row>
    <row r="505" spans="2:3">
      <c r="B505">
        <v>215</v>
      </c>
      <c r="C505">
        <v>182.34957419545518</v>
      </c>
    </row>
    <row r="506" spans="2:3">
      <c r="B506">
        <v>216</v>
      </c>
      <c r="C506">
        <v>161.05629639184161</v>
      </c>
    </row>
    <row r="507" spans="2:3">
      <c r="B507">
        <v>217</v>
      </c>
      <c r="C507">
        <v>152.44763534593429</v>
      </c>
    </row>
    <row r="508" spans="2:3">
      <c r="B508">
        <v>218</v>
      </c>
      <c r="C508">
        <v>140.64396485776257</v>
      </c>
    </row>
    <row r="509" spans="2:3">
      <c r="B509">
        <v>219</v>
      </c>
      <c r="C509">
        <v>162.92120175292285</v>
      </c>
    </row>
    <row r="510" spans="2:3">
      <c r="B510">
        <v>220</v>
      </c>
      <c r="C510">
        <v>165.06548881222642</v>
      </c>
    </row>
    <row r="511" spans="2:3">
      <c r="B511">
        <v>221</v>
      </c>
      <c r="C511">
        <v>110.2346216254208</v>
      </c>
    </row>
    <row r="512" spans="2:3">
      <c r="B512">
        <v>222</v>
      </c>
      <c r="C512">
        <v>159.41679882549096</v>
      </c>
    </row>
    <row r="513" spans="2:3">
      <c r="B513">
        <v>223</v>
      </c>
      <c r="C513">
        <v>143.51730397555826</v>
      </c>
    </row>
    <row r="514" spans="2:3">
      <c r="B514">
        <v>224</v>
      </c>
      <c r="C514">
        <v>129.88453081287631</v>
      </c>
    </row>
    <row r="515" spans="2:3">
      <c r="B515">
        <v>225</v>
      </c>
      <c r="C515">
        <v>139.8777917350628</v>
      </c>
    </row>
    <row r="516" spans="2:3">
      <c r="B516">
        <v>226</v>
      </c>
      <c r="C516">
        <v>186.57282784011568</v>
      </c>
    </row>
    <row r="517" spans="2:3">
      <c r="B517">
        <v>227</v>
      </c>
      <c r="C517">
        <v>127.1850625285019</v>
      </c>
    </row>
    <row r="518" spans="2:3">
      <c r="B518">
        <v>228</v>
      </c>
      <c r="C518">
        <v>167.40480429298924</v>
      </c>
    </row>
    <row r="519" spans="2:3">
      <c r="B519">
        <v>229</v>
      </c>
      <c r="C519">
        <v>215.51039669941753</v>
      </c>
    </row>
    <row r="520" spans="2:3">
      <c r="B520">
        <v>230</v>
      </c>
      <c r="C520">
        <v>146.28425531692957</v>
      </c>
    </row>
    <row r="521" spans="2:3">
      <c r="B521">
        <v>231</v>
      </c>
      <c r="C521">
        <v>152.63391716946813</v>
      </c>
    </row>
    <row r="522" spans="2:3">
      <c r="B522">
        <v>232</v>
      </c>
      <c r="C522">
        <v>167.37666903532181</v>
      </c>
    </row>
    <row r="523" spans="2:3">
      <c r="B523">
        <v>233</v>
      </c>
      <c r="C523">
        <v>138.55222223034227</v>
      </c>
    </row>
    <row r="524" spans="2:3">
      <c r="B524">
        <v>234</v>
      </c>
      <c r="C524">
        <v>190.40106872337012</v>
      </c>
    </row>
    <row r="525" spans="2:3">
      <c r="B525">
        <v>235</v>
      </c>
      <c r="C525">
        <v>125.99348659283028</v>
      </c>
    </row>
    <row r="526" spans="2:3">
      <c r="B526">
        <v>236</v>
      </c>
      <c r="C526">
        <v>140.20675675158549</v>
      </c>
    </row>
    <row r="527" spans="2:3">
      <c r="B527">
        <v>237</v>
      </c>
      <c r="C527">
        <v>134.17718249791085</v>
      </c>
    </row>
    <row r="528" spans="2:3">
      <c r="B528">
        <v>238</v>
      </c>
      <c r="C528">
        <v>177.35784895352316</v>
      </c>
    </row>
    <row r="529" spans="2:3">
      <c r="B529">
        <v>239</v>
      </c>
      <c r="C529">
        <v>185.10537054892609</v>
      </c>
    </row>
    <row r="530" spans="2:3">
      <c r="B530">
        <v>240</v>
      </c>
      <c r="C530">
        <v>141.70014357483106</v>
      </c>
    </row>
    <row r="531" spans="2:3">
      <c r="B531">
        <v>241</v>
      </c>
      <c r="C531">
        <v>158.85939455462739</v>
      </c>
    </row>
    <row r="532" spans="2:3">
      <c r="B532">
        <v>242</v>
      </c>
      <c r="C532">
        <v>179.00952667470759</v>
      </c>
    </row>
    <row r="533" spans="2:3">
      <c r="B533">
        <v>243</v>
      </c>
      <c r="C533">
        <v>119.09799963696784</v>
      </c>
    </row>
    <row r="534" spans="2:3">
      <c r="B534">
        <v>244</v>
      </c>
      <c r="C534">
        <v>150.73571277784964</v>
      </c>
    </row>
    <row r="535" spans="2:3">
      <c r="B535">
        <v>245</v>
      </c>
      <c r="C535">
        <v>178.716773341665</v>
      </c>
    </row>
    <row r="536" spans="2:3">
      <c r="B536">
        <v>246</v>
      </c>
      <c r="C536">
        <v>142.96950023104608</v>
      </c>
    </row>
    <row r="537" spans="2:3">
      <c r="B537">
        <v>247</v>
      </c>
      <c r="C537">
        <v>191.57749232122123</v>
      </c>
    </row>
    <row r="538" spans="2:3">
      <c r="B538">
        <v>248</v>
      </c>
      <c r="C538">
        <v>130.57922679973848</v>
      </c>
    </row>
    <row r="539" spans="2:3">
      <c r="B539">
        <v>249</v>
      </c>
      <c r="C539">
        <v>138.4641377931957</v>
      </c>
    </row>
    <row r="540" spans="2:3">
      <c r="B540">
        <v>250</v>
      </c>
      <c r="C540">
        <v>123.20926097514163</v>
      </c>
    </row>
    <row r="541" spans="2:3">
      <c r="B541">
        <v>251</v>
      </c>
      <c r="C541">
        <v>175.0946953950529</v>
      </c>
    </row>
    <row r="542" spans="2:3">
      <c r="B542">
        <v>252</v>
      </c>
      <c r="C542">
        <v>129.58962774839992</v>
      </c>
    </row>
    <row r="543" spans="2:3">
      <c r="B543">
        <v>253</v>
      </c>
      <c r="C543">
        <v>165.95799314935766</v>
      </c>
    </row>
    <row r="544" spans="2:3">
      <c r="B544">
        <v>254</v>
      </c>
      <c r="C544">
        <v>138.84166682163331</v>
      </c>
    </row>
    <row r="545" spans="2:3">
      <c r="B545">
        <v>255</v>
      </c>
      <c r="C545">
        <v>156.78657980645133</v>
      </c>
    </row>
    <row r="546" spans="2:3">
      <c r="B546">
        <v>256</v>
      </c>
      <c r="C546">
        <v>139.05226486714807</v>
      </c>
    </row>
    <row r="547" spans="2:3">
      <c r="B547">
        <v>257</v>
      </c>
      <c r="C547">
        <v>163.47768803496589</v>
      </c>
    </row>
    <row r="548" spans="2:3">
      <c r="B548">
        <v>258</v>
      </c>
      <c r="C548">
        <v>153.55258786069496</v>
      </c>
    </row>
    <row r="549" spans="2:3">
      <c r="B549">
        <v>259</v>
      </c>
      <c r="C549">
        <v>147.12230604947675</v>
      </c>
    </row>
    <row r="550" spans="2:3">
      <c r="B550">
        <v>260</v>
      </c>
      <c r="C550">
        <v>153.80448612524964</v>
      </c>
    </row>
    <row r="551" spans="2:3">
      <c r="B551">
        <v>261</v>
      </c>
      <c r="C551">
        <v>141.5238633548303</v>
      </c>
    </row>
    <row r="552" spans="2:3">
      <c r="B552">
        <v>262</v>
      </c>
      <c r="C552">
        <v>151.9199604918594</v>
      </c>
    </row>
    <row r="553" spans="2:3">
      <c r="B553">
        <v>263</v>
      </c>
      <c r="C553">
        <v>152.19623563214432</v>
      </c>
    </row>
    <row r="554" spans="2:3">
      <c r="B554">
        <v>264</v>
      </c>
      <c r="C554">
        <v>119.75411778893273</v>
      </c>
    </row>
    <row r="555" spans="2:3">
      <c r="B555">
        <v>265</v>
      </c>
      <c r="C555">
        <v>147.85444030318877</v>
      </c>
    </row>
    <row r="556" spans="2:3">
      <c r="B556">
        <v>266</v>
      </c>
      <c r="C556">
        <v>137.33097302514958</v>
      </c>
    </row>
    <row r="557" spans="2:3">
      <c r="B557">
        <v>267</v>
      </c>
      <c r="C557">
        <v>179.67397678167936</v>
      </c>
    </row>
    <row r="558" spans="2:3">
      <c r="B558">
        <v>268</v>
      </c>
      <c r="C558">
        <v>150.79940930002647</v>
      </c>
    </row>
    <row r="559" spans="2:3">
      <c r="B559">
        <v>269</v>
      </c>
      <c r="C559">
        <v>180.76602391553297</v>
      </c>
    </row>
    <row r="560" spans="2:3">
      <c r="B560">
        <v>270</v>
      </c>
      <c r="C560">
        <v>137.07161940408218</v>
      </c>
    </row>
    <row r="561" spans="2:3">
      <c r="B561">
        <v>271</v>
      </c>
      <c r="C561">
        <v>183.38418631828239</v>
      </c>
    </row>
    <row r="562" spans="2:3">
      <c r="B562">
        <v>272</v>
      </c>
      <c r="C562">
        <v>133.62961692141735</v>
      </c>
    </row>
    <row r="563" spans="2:3">
      <c r="B563">
        <v>273</v>
      </c>
      <c r="C563">
        <v>191.53509874694444</v>
      </c>
    </row>
    <row r="564" spans="2:3">
      <c r="B564">
        <v>274</v>
      </c>
      <c r="C564">
        <v>134.73653468636712</v>
      </c>
    </row>
    <row r="565" spans="2:3">
      <c r="B565">
        <v>275</v>
      </c>
      <c r="C565">
        <v>179.98361239969367</v>
      </c>
    </row>
    <row r="566" spans="2:3">
      <c r="B566">
        <v>276</v>
      </c>
      <c r="C566">
        <v>179.05743888260778</v>
      </c>
    </row>
    <row r="567" spans="2:3">
      <c r="B567">
        <v>277</v>
      </c>
      <c r="C567">
        <v>121.39229166542034</v>
      </c>
    </row>
    <row r="568" spans="2:3">
      <c r="B568">
        <v>278</v>
      </c>
      <c r="C568">
        <v>168.32799369401167</v>
      </c>
    </row>
    <row r="569" spans="2:3">
      <c r="B569">
        <v>279</v>
      </c>
      <c r="C569">
        <v>118.84948375067697</v>
      </c>
    </row>
    <row r="570" spans="2:3">
      <c r="B570">
        <v>280</v>
      </c>
      <c r="C570">
        <v>167.31956313367701</v>
      </c>
    </row>
    <row r="571" spans="2:3">
      <c r="B571">
        <v>281</v>
      </c>
      <c r="C571">
        <v>134.5337236366293</v>
      </c>
    </row>
    <row r="572" spans="2:3">
      <c r="B572">
        <v>282</v>
      </c>
      <c r="C572">
        <v>137.4730817629586</v>
      </c>
    </row>
    <row r="573" spans="2:3">
      <c r="B573">
        <v>283</v>
      </c>
      <c r="C573">
        <v>161.23632225935282</v>
      </c>
    </row>
    <row r="574" spans="2:3">
      <c r="B574">
        <v>284</v>
      </c>
      <c r="C574">
        <v>132.0402595680562</v>
      </c>
    </row>
    <row r="575" spans="2:3">
      <c r="B575">
        <v>285</v>
      </c>
      <c r="C575">
        <v>170.53506979457114</v>
      </c>
    </row>
    <row r="576" spans="2:3">
      <c r="B576">
        <v>286</v>
      </c>
      <c r="C576">
        <v>136.30750239065691</v>
      </c>
    </row>
    <row r="577" spans="2:3">
      <c r="B577">
        <v>287</v>
      </c>
      <c r="C577">
        <v>163.74777909994643</v>
      </c>
    </row>
    <row r="578" spans="2:3">
      <c r="B578">
        <v>288</v>
      </c>
      <c r="C578">
        <v>141.51134814382996</v>
      </c>
    </row>
    <row r="579" spans="2:3">
      <c r="B579">
        <v>289</v>
      </c>
      <c r="C579">
        <v>131.84738809987962</v>
      </c>
    </row>
    <row r="580" spans="2:3">
      <c r="B580">
        <v>290</v>
      </c>
      <c r="C580">
        <v>155.096490084186</v>
      </c>
    </row>
    <row r="581" spans="2:3">
      <c r="B581">
        <v>291</v>
      </c>
      <c r="C581">
        <v>197.7070685870718</v>
      </c>
    </row>
    <row r="582" spans="2:3">
      <c r="B582">
        <v>292</v>
      </c>
      <c r="C582">
        <v>172.3401869634464</v>
      </c>
    </row>
    <row r="583" spans="2:3">
      <c r="B583">
        <v>293</v>
      </c>
      <c r="C583">
        <v>148.76950108316802</v>
      </c>
    </row>
    <row r="584" spans="2:3">
      <c r="B584">
        <v>294</v>
      </c>
      <c r="C584">
        <v>130.87089832144213</v>
      </c>
    </row>
    <row r="585" spans="2:3">
      <c r="B585">
        <v>295</v>
      </c>
      <c r="C585">
        <v>165.26634587851638</v>
      </c>
    </row>
    <row r="586" spans="2:3">
      <c r="B586">
        <v>296</v>
      </c>
      <c r="C586">
        <v>142.35826387071043</v>
      </c>
    </row>
    <row r="587" spans="2:3">
      <c r="B587">
        <v>297</v>
      </c>
      <c r="C587">
        <v>139.45474249390614</v>
      </c>
    </row>
    <row r="588" spans="2:3">
      <c r="B588">
        <v>298</v>
      </c>
      <c r="C588">
        <v>153.41603098462372</v>
      </c>
    </row>
    <row r="589" spans="2:3">
      <c r="B589">
        <v>299</v>
      </c>
      <c r="C589">
        <v>172.63974934889802</v>
      </c>
    </row>
    <row r="590" spans="2:3">
      <c r="B590">
        <v>300</v>
      </c>
      <c r="C590">
        <v>167.18056456017561</v>
      </c>
    </row>
    <row r="591" spans="2:3">
      <c r="B591">
        <v>301</v>
      </c>
      <c r="C591">
        <v>167.59240205645884</v>
      </c>
    </row>
    <row r="592" spans="2:3">
      <c r="B592">
        <v>302</v>
      </c>
      <c r="C592">
        <v>160.50046964395784</v>
      </c>
    </row>
    <row r="593" spans="2:3">
      <c r="B593">
        <v>303</v>
      </c>
      <c r="C593">
        <v>166.55060521312092</v>
      </c>
    </row>
    <row r="594" spans="2:3">
      <c r="B594">
        <v>304</v>
      </c>
      <c r="C594">
        <v>155.27701917832297</v>
      </c>
    </row>
    <row r="595" spans="2:3">
      <c r="B595">
        <v>305</v>
      </c>
      <c r="C595">
        <v>174.77295349416073</v>
      </c>
    </row>
    <row r="596" spans="2:3">
      <c r="B596">
        <v>306</v>
      </c>
      <c r="C596">
        <v>153.94213629351481</v>
      </c>
    </row>
    <row r="597" spans="2:3">
      <c r="B597">
        <v>307</v>
      </c>
      <c r="C597">
        <v>130.95096316644489</v>
      </c>
    </row>
    <row r="598" spans="2:3">
      <c r="B598">
        <v>308</v>
      </c>
      <c r="C598">
        <v>146.18788207925078</v>
      </c>
    </row>
    <row r="599" spans="2:3">
      <c r="B599">
        <v>309</v>
      </c>
      <c r="C599">
        <v>154.36551007698387</v>
      </c>
    </row>
    <row r="600" spans="2:3">
      <c r="B600">
        <v>310</v>
      </c>
      <c r="C600">
        <v>130.90532484840531</v>
      </c>
    </row>
    <row r="601" spans="2:3">
      <c r="B601">
        <v>311</v>
      </c>
      <c r="C601">
        <v>155.08379780752216</v>
      </c>
    </row>
    <row r="602" spans="2:3">
      <c r="B602">
        <v>312</v>
      </c>
      <c r="C602">
        <v>185.68605556536903</v>
      </c>
    </row>
    <row r="603" spans="2:3">
      <c r="B603">
        <v>313</v>
      </c>
      <c r="C603">
        <v>141.76364001141494</v>
      </c>
    </row>
    <row r="604" spans="2:3">
      <c r="B604">
        <v>314</v>
      </c>
      <c r="C604">
        <v>124.23794547563354</v>
      </c>
    </row>
    <row r="605" spans="2:3">
      <c r="B605">
        <v>315</v>
      </c>
      <c r="C605">
        <v>185.03546946245984</v>
      </c>
    </row>
    <row r="606" spans="2:3">
      <c r="B606">
        <v>316</v>
      </c>
      <c r="C606">
        <v>150.65349717030216</v>
      </c>
    </row>
    <row r="607" spans="2:3">
      <c r="B607">
        <v>317</v>
      </c>
      <c r="C607">
        <v>153.5388525676149</v>
      </c>
    </row>
    <row r="608" spans="2:3">
      <c r="B608">
        <v>318</v>
      </c>
      <c r="C608">
        <v>122.92910270229352</v>
      </c>
    </row>
    <row r="609" spans="2:3">
      <c r="B609">
        <v>319</v>
      </c>
      <c r="C609">
        <v>150.64423537570752</v>
      </c>
    </row>
    <row r="610" spans="2:3">
      <c r="B610">
        <v>320</v>
      </c>
      <c r="C610">
        <v>132.26175476401653</v>
      </c>
    </row>
    <row r="611" spans="2:3">
      <c r="B611">
        <v>321</v>
      </c>
      <c r="C611">
        <v>147.55073241903881</v>
      </c>
    </row>
    <row r="612" spans="2:3">
      <c r="B612">
        <v>322</v>
      </c>
      <c r="C612">
        <v>151.10808993226186</v>
      </c>
    </row>
    <row r="613" spans="2:3">
      <c r="B613">
        <v>323</v>
      </c>
      <c r="C613">
        <v>134.83906121280859</v>
      </c>
    </row>
    <row r="614" spans="2:3">
      <c r="B614">
        <v>324</v>
      </c>
      <c r="C614">
        <v>161.39162474766187</v>
      </c>
    </row>
    <row r="615" spans="2:3">
      <c r="B615">
        <v>325</v>
      </c>
      <c r="C615">
        <v>142.43490910065449</v>
      </c>
    </row>
    <row r="616" spans="2:3">
      <c r="B616">
        <v>326</v>
      </c>
      <c r="C616">
        <v>191.12394385607553</v>
      </c>
    </row>
    <row r="617" spans="2:3">
      <c r="B617">
        <v>327</v>
      </c>
      <c r="C617">
        <v>157.03991839859054</v>
      </c>
    </row>
    <row r="618" spans="2:3">
      <c r="B618">
        <v>328</v>
      </c>
      <c r="C618">
        <v>156.91605395553799</v>
      </c>
    </row>
    <row r="619" spans="2:3">
      <c r="B619">
        <v>329</v>
      </c>
      <c r="C619">
        <v>164.29488885819515</v>
      </c>
    </row>
    <row r="620" spans="2:3">
      <c r="B620">
        <v>330</v>
      </c>
      <c r="C620">
        <v>151.29090638109204</v>
      </c>
    </row>
    <row r="621" spans="2:3">
      <c r="B621">
        <v>331</v>
      </c>
      <c r="C621">
        <v>153.36158247197974</v>
      </c>
    </row>
    <row r="622" spans="2:3">
      <c r="B622">
        <v>332</v>
      </c>
      <c r="C622">
        <v>139.42599747272223</v>
      </c>
    </row>
    <row r="623" spans="2:3">
      <c r="B623">
        <v>333</v>
      </c>
      <c r="C623">
        <v>163.80733286673652</v>
      </c>
    </row>
    <row r="624" spans="2:3">
      <c r="B624">
        <v>334</v>
      </c>
      <c r="C624">
        <v>175.08150861215481</v>
      </c>
    </row>
    <row r="625" spans="2:3">
      <c r="B625">
        <v>335</v>
      </c>
      <c r="C625">
        <v>151.87178815279339</v>
      </c>
    </row>
    <row r="626" spans="2:3">
      <c r="B626">
        <v>336</v>
      </c>
      <c r="C626">
        <v>158.87497113774356</v>
      </c>
    </row>
    <row r="627" spans="2:3">
      <c r="B627">
        <v>337</v>
      </c>
      <c r="C627">
        <v>169.95346026736584</v>
      </c>
    </row>
    <row r="628" spans="2:3">
      <c r="B628">
        <v>338</v>
      </c>
      <c r="C628">
        <v>141.44459026697942</v>
      </c>
    </row>
    <row r="629" spans="2:3">
      <c r="B629">
        <v>339</v>
      </c>
      <c r="C629">
        <v>113.51990764011053</v>
      </c>
    </row>
    <row r="630" spans="2:3">
      <c r="B630">
        <v>340</v>
      </c>
      <c r="C630">
        <v>160.61548374315643</v>
      </c>
    </row>
    <row r="631" spans="2:3">
      <c r="B631">
        <v>341</v>
      </c>
      <c r="C631">
        <v>154.33699943760092</v>
      </c>
    </row>
    <row r="632" spans="2:3">
      <c r="B632">
        <v>342</v>
      </c>
      <c r="C632">
        <v>207.1739825995983</v>
      </c>
    </row>
    <row r="633" spans="2:3">
      <c r="B633">
        <v>343</v>
      </c>
      <c r="C633">
        <v>191.60593231830558</v>
      </c>
    </row>
    <row r="634" spans="2:3">
      <c r="B634">
        <v>344</v>
      </c>
      <c r="C634">
        <v>183.75651108195973</v>
      </c>
    </row>
    <row r="635" spans="2:3">
      <c r="B635">
        <v>345</v>
      </c>
      <c r="C635">
        <v>192.23029630719896</v>
      </c>
    </row>
    <row r="636" spans="2:3">
      <c r="B636">
        <v>346</v>
      </c>
      <c r="C636">
        <v>151.64576553801416</v>
      </c>
    </row>
    <row r="637" spans="2:3">
      <c r="B637">
        <v>347</v>
      </c>
      <c r="C637">
        <v>162.50563628329232</v>
      </c>
    </row>
    <row r="638" spans="2:3">
      <c r="B638">
        <v>348</v>
      </c>
      <c r="C638">
        <v>157.83645025431221</v>
      </c>
    </row>
    <row r="639" spans="2:3">
      <c r="B639">
        <v>349</v>
      </c>
      <c r="C639">
        <v>156.40541780311727</v>
      </c>
    </row>
    <row r="640" spans="2:3">
      <c r="B640">
        <v>350</v>
      </c>
      <c r="C640">
        <v>176.26026062788105</v>
      </c>
    </row>
    <row r="641" spans="2:3">
      <c r="B641">
        <v>351</v>
      </c>
      <c r="C641">
        <v>147.54804376536507</v>
      </c>
    </row>
    <row r="642" spans="2:3">
      <c r="B642">
        <v>352</v>
      </c>
      <c r="C642">
        <v>140.65393417395435</v>
      </c>
    </row>
    <row r="643" spans="2:3">
      <c r="B643">
        <v>353</v>
      </c>
      <c r="C643">
        <v>135.56149105912237</v>
      </c>
    </row>
    <row r="644" spans="2:3">
      <c r="B644">
        <v>354</v>
      </c>
      <c r="C644">
        <v>159.22439609423702</v>
      </c>
    </row>
    <row r="645" spans="2:3">
      <c r="B645">
        <v>355</v>
      </c>
      <c r="C645">
        <v>156.01989900373613</v>
      </c>
    </row>
    <row r="646" spans="2:3">
      <c r="B646">
        <v>356</v>
      </c>
      <c r="C646">
        <v>173.6197051904187</v>
      </c>
    </row>
    <row r="647" spans="2:3">
      <c r="B647">
        <v>357</v>
      </c>
      <c r="C647">
        <v>198.36246433196402</v>
      </c>
    </row>
    <row r="648" spans="2:3">
      <c r="B648">
        <v>358</v>
      </c>
      <c r="C648">
        <v>116.79889122811899</v>
      </c>
    </row>
    <row r="649" spans="2:3">
      <c r="B649">
        <v>359</v>
      </c>
      <c r="C649">
        <v>193.71013574891174</v>
      </c>
    </row>
    <row r="650" spans="2:3">
      <c r="B650">
        <v>360</v>
      </c>
      <c r="C650">
        <v>171.36726402333974</v>
      </c>
    </row>
    <row r="651" spans="2:3">
      <c r="B651">
        <v>361</v>
      </c>
      <c r="C651">
        <v>139.39169314378071</v>
      </c>
    </row>
    <row r="652" spans="2:3">
      <c r="B652">
        <v>362</v>
      </c>
      <c r="C652">
        <v>152.65162125304013</v>
      </c>
    </row>
    <row r="653" spans="2:3">
      <c r="B653">
        <v>363</v>
      </c>
      <c r="C653">
        <v>146.21512958902198</v>
      </c>
    </row>
    <row r="654" spans="2:3">
      <c r="B654">
        <v>364</v>
      </c>
      <c r="C654">
        <v>180.75837556511479</v>
      </c>
    </row>
    <row r="655" spans="2:3">
      <c r="B655">
        <v>365</v>
      </c>
      <c r="C655">
        <v>138.14528346839739</v>
      </c>
    </row>
    <row r="656" spans="2:3">
      <c r="B656">
        <v>366</v>
      </c>
      <c r="C656">
        <v>171.33992657349637</v>
      </c>
    </row>
    <row r="657" spans="2:3">
      <c r="B657">
        <v>367</v>
      </c>
      <c r="C657">
        <v>141.42017513293237</v>
      </c>
    </row>
    <row r="658" spans="2:3">
      <c r="B658">
        <v>368</v>
      </c>
      <c r="C658">
        <v>127.17641570077646</v>
      </c>
    </row>
    <row r="659" spans="2:3">
      <c r="B659">
        <v>369</v>
      </c>
      <c r="C659">
        <v>130.94229403930947</v>
      </c>
    </row>
    <row r="660" spans="2:3">
      <c r="B660">
        <v>370</v>
      </c>
      <c r="C660">
        <v>166.10760438532444</v>
      </c>
    </row>
    <row r="661" spans="2:3">
      <c r="B661">
        <v>371</v>
      </c>
      <c r="C661">
        <v>138.41722221352677</v>
      </c>
    </row>
    <row r="662" spans="2:3">
      <c r="B662">
        <v>372</v>
      </c>
      <c r="C662">
        <v>137.59526405660404</v>
      </c>
    </row>
    <row r="663" spans="2:3">
      <c r="B663">
        <v>373</v>
      </c>
      <c r="C663">
        <v>138.93391544660287</v>
      </c>
    </row>
    <row r="664" spans="2:3">
      <c r="B664">
        <v>374</v>
      </c>
      <c r="C664">
        <v>130.7269938506156</v>
      </c>
    </row>
    <row r="665" spans="2:3">
      <c r="B665">
        <v>375</v>
      </c>
      <c r="C665">
        <v>133.83507767368974</v>
      </c>
    </row>
    <row r="666" spans="2:3">
      <c r="B666">
        <v>376</v>
      </c>
      <c r="C666">
        <v>159.2240736713982</v>
      </c>
    </row>
    <row r="667" spans="2:3">
      <c r="B667">
        <v>377</v>
      </c>
      <c r="C667">
        <v>153.43627158522827</v>
      </c>
    </row>
    <row r="668" spans="2:3">
      <c r="B668">
        <v>378</v>
      </c>
      <c r="C668">
        <v>198.88272987491027</v>
      </c>
    </row>
    <row r="669" spans="2:3">
      <c r="B669">
        <v>379</v>
      </c>
      <c r="C669">
        <v>197.27403494510912</v>
      </c>
    </row>
    <row r="670" spans="2:3">
      <c r="B670">
        <v>380</v>
      </c>
      <c r="C670">
        <v>142.83994952956508</v>
      </c>
    </row>
    <row r="671" spans="2:3">
      <c r="B671">
        <v>381</v>
      </c>
      <c r="C671">
        <v>172.4295404620878</v>
      </c>
    </row>
    <row r="672" spans="2:3">
      <c r="B672">
        <v>382</v>
      </c>
      <c r="C672">
        <v>144.48039748818746</v>
      </c>
    </row>
    <row r="673" spans="2:3">
      <c r="B673">
        <v>383</v>
      </c>
      <c r="C673">
        <v>128.30377205575564</v>
      </c>
    </row>
    <row r="674" spans="2:3">
      <c r="B674">
        <v>384</v>
      </c>
      <c r="C674">
        <v>149.58203172208823</v>
      </c>
    </row>
    <row r="675" spans="2:3">
      <c r="B675">
        <v>385</v>
      </c>
      <c r="C675">
        <v>148.72478513642895</v>
      </c>
    </row>
    <row r="676" spans="2:3">
      <c r="B676">
        <v>386</v>
      </c>
      <c r="C676">
        <v>138.6659303793073</v>
      </c>
    </row>
    <row r="677" spans="2:3">
      <c r="B677">
        <v>387</v>
      </c>
      <c r="C677">
        <v>151.41858418974277</v>
      </c>
    </row>
    <row r="678" spans="2:3">
      <c r="B678">
        <v>388</v>
      </c>
      <c r="C678">
        <v>140.38431477218177</v>
      </c>
    </row>
    <row r="679" spans="2:3">
      <c r="B679">
        <v>389</v>
      </c>
      <c r="C679">
        <v>152.56446049694222</v>
      </c>
    </row>
    <row r="680" spans="2:3">
      <c r="B680">
        <v>390</v>
      </c>
      <c r="C680">
        <v>149.09155885267364</v>
      </c>
    </row>
    <row r="681" spans="2:3">
      <c r="B681">
        <v>391</v>
      </c>
      <c r="C681">
        <v>190.21833087276499</v>
      </c>
    </row>
    <row r="682" spans="2:3">
      <c r="B682">
        <v>392</v>
      </c>
      <c r="C682">
        <v>182.93243041688186</v>
      </c>
    </row>
    <row r="683" spans="2:3">
      <c r="B683">
        <v>393</v>
      </c>
      <c r="C683">
        <v>134.14308516378821</v>
      </c>
    </row>
    <row r="684" spans="2:3">
      <c r="B684">
        <v>394</v>
      </c>
      <c r="C684">
        <v>126.33607770455681</v>
      </c>
    </row>
    <row r="685" spans="2:3">
      <c r="B685">
        <v>395</v>
      </c>
      <c r="C685">
        <v>177.96048249948635</v>
      </c>
    </row>
    <row r="686" spans="2:3">
      <c r="B686">
        <v>396</v>
      </c>
      <c r="C686">
        <v>154.35215327547485</v>
      </c>
    </row>
    <row r="687" spans="2:3">
      <c r="B687">
        <v>397</v>
      </c>
      <c r="C687">
        <v>184.93334943557551</v>
      </c>
    </row>
    <row r="688" spans="2:3">
      <c r="B688">
        <v>398</v>
      </c>
      <c r="C688">
        <v>166.62192548952487</v>
      </c>
    </row>
    <row r="689" spans="2:3">
      <c r="B689">
        <v>399</v>
      </c>
      <c r="C689">
        <v>191.57441019530708</v>
      </c>
    </row>
    <row r="690" spans="2:3">
      <c r="B690">
        <v>400</v>
      </c>
      <c r="C690">
        <v>140.19128663420793</v>
      </c>
    </row>
    <row r="691" spans="2:3">
      <c r="B691">
        <v>401</v>
      </c>
      <c r="C691">
        <v>143.59980195455174</v>
      </c>
    </row>
    <row r="692" spans="2:3">
      <c r="B692">
        <v>402</v>
      </c>
      <c r="C692">
        <v>113.49273691154835</v>
      </c>
    </row>
    <row r="693" spans="2:3">
      <c r="B693">
        <v>403</v>
      </c>
      <c r="C693">
        <v>159.88181754455957</v>
      </c>
    </row>
    <row r="694" spans="2:3">
      <c r="B694">
        <v>404</v>
      </c>
      <c r="C694">
        <v>148.07059772662515</v>
      </c>
    </row>
    <row r="695" spans="2:3">
      <c r="B695">
        <v>405</v>
      </c>
      <c r="C695">
        <v>127.41866174093678</v>
      </c>
    </row>
    <row r="696" spans="2:3">
      <c r="B696">
        <v>406</v>
      </c>
      <c r="C696">
        <v>135.46160146498781</v>
      </c>
    </row>
    <row r="697" spans="2:3">
      <c r="B697">
        <v>407</v>
      </c>
      <c r="C697">
        <v>128.28616371255956</v>
      </c>
    </row>
    <row r="698" spans="2:3">
      <c r="B698">
        <v>408</v>
      </c>
      <c r="C698">
        <v>166.90283071752296</v>
      </c>
    </row>
    <row r="699" spans="2:3">
      <c r="B699">
        <v>409</v>
      </c>
      <c r="C699">
        <v>151.42374765530394</v>
      </c>
    </row>
    <row r="700" spans="2:3">
      <c r="B700">
        <v>410</v>
      </c>
      <c r="C700">
        <v>111.40954872603707</v>
      </c>
    </row>
    <row r="701" spans="2:3">
      <c r="B701">
        <v>411</v>
      </c>
      <c r="C701">
        <v>169.92361324472472</v>
      </c>
    </row>
    <row r="702" spans="2:3">
      <c r="B702">
        <v>412</v>
      </c>
      <c r="C702">
        <v>142.29374682169882</v>
      </c>
    </row>
    <row r="703" spans="2:3">
      <c r="B703">
        <v>413</v>
      </c>
      <c r="C703">
        <v>119.1123973282845</v>
      </c>
    </row>
    <row r="704" spans="2:3">
      <c r="B704">
        <v>414</v>
      </c>
      <c r="C704">
        <v>151.0873505764371</v>
      </c>
    </row>
    <row r="705" spans="2:3">
      <c r="B705">
        <v>415</v>
      </c>
      <c r="C705">
        <v>136.01026438436793</v>
      </c>
    </row>
    <row r="706" spans="2:3">
      <c r="B706">
        <v>416</v>
      </c>
      <c r="C706">
        <v>170.85533207757734</v>
      </c>
    </row>
    <row r="707" spans="2:3">
      <c r="B707">
        <v>417</v>
      </c>
      <c r="C707">
        <v>192.1984284044799</v>
      </c>
    </row>
    <row r="708" spans="2:3">
      <c r="B708">
        <v>418</v>
      </c>
      <c r="C708">
        <v>186.90660929528346</v>
      </c>
    </row>
    <row r="709" spans="2:3">
      <c r="B709">
        <v>419</v>
      </c>
      <c r="C709">
        <v>140.89945750216404</v>
      </c>
    </row>
    <row r="710" spans="2:3">
      <c r="B710">
        <v>420</v>
      </c>
      <c r="C710">
        <v>135.93838270623903</v>
      </c>
    </row>
    <row r="711" spans="2:3">
      <c r="B711">
        <v>421</v>
      </c>
      <c r="C711">
        <v>168.4503646031491</v>
      </c>
    </row>
    <row r="712" spans="2:3">
      <c r="B712">
        <v>422</v>
      </c>
      <c r="C712">
        <v>139.75546915257874</v>
      </c>
    </row>
    <row r="713" spans="2:3">
      <c r="B713">
        <v>423</v>
      </c>
      <c r="C713">
        <v>107.68026652228606</v>
      </c>
    </row>
    <row r="714" spans="2:3">
      <c r="B714">
        <v>424</v>
      </c>
      <c r="C714">
        <v>134.54121759678489</v>
      </c>
    </row>
    <row r="715" spans="2:3">
      <c r="B715">
        <v>425</v>
      </c>
      <c r="C715">
        <v>190.06752384544669</v>
      </c>
    </row>
    <row r="716" spans="2:3">
      <c r="B716">
        <v>426</v>
      </c>
      <c r="C716">
        <v>137.66113910111261</v>
      </c>
    </row>
    <row r="717" spans="2:3">
      <c r="B717">
        <v>427</v>
      </c>
      <c r="C717">
        <v>173.02494525392385</v>
      </c>
    </row>
    <row r="718" spans="2:3">
      <c r="B718">
        <v>428</v>
      </c>
      <c r="C718">
        <v>167.98510915739254</v>
      </c>
    </row>
    <row r="719" spans="2:3">
      <c r="B719">
        <v>429</v>
      </c>
      <c r="C719">
        <v>154.43817175310002</v>
      </c>
    </row>
    <row r="720" spans="2:3">
      <c r="B720">
        <v>430</v>
      </c>
      <c r="C720">
        <v>160.0244422359213</v>
      </c>
    </row>
    <row r="721" spans="2:3">
      <c r="B721">
        <v>431</v>
      </c>
      <c r="C721">
        <v>152.10031478292049</v>
      </c>
    </row>
    <row r="722" spans="2:3">
      <c r="B722">
        <v>432</v>
      </c>
      <c r="C722">
        <v>139.99940078173699</v>
      </c>
    </row>
    <row r="723" spans="2:3">
      <c r="B723">
        <v>433</v>
      </c>
      <c r="C723">
        <v>154.60559727539265</v>
      </c>
    </row>
    <row r="724" spans="2:3">
      <c r="B724">
        <v>434</v>
      </c>
      <c r="C724">
        <v>116.28412085621368</v>
      </c>
    </row>
    <row r="725" spans="2:3">
      <c r="B725">
        <v>435</v>
      </c>
      <c r="C725">
        <v>164.53006271052232</v>
      </c>
    </row>
    <row r="726" spans="2:3">
      <c r="B726">
        <v>436</v>
      </c>
      <c r="C726">
        <v>172.83164244267752</v>
      </c>
    </row>
    <row r="727" spans="2:3">
      <c r="B727">
        <v>437</v>
      </c>
      <c r="C727">
        <v>195.44482467927381</v>
      </c>
    </row>
    <row r="728" spans="2:3">
      <c r="B728">
        <v>438</v>
      </c>
      <c r="C728">
        <v>124.1414603676514</v>
      </c>
    </row>
    <row r="729" spans="2:3">
      <c r="B729">
        <v>439</v>
      </c>
      <c r="C729">
        <v>149.08548905387525</v>
      </c>
    </row>
    <row r="730" spans="2:3">
      <c r="B730">
        <v>440</v>
      </c>
      <c r="C730">
        <v>157.82015280330265</v>
      </c>
    </row>
    <row r="731" spans="2:3">
      <c r="B731">
        <v>441</v>
      </c>
      <c r="C731">
        <v>149.71026729275863</v>
      </c>
    </row>
    <row r="732" spans="2:3">
      <c r="B732">
        <v>442</v>
      </c>
      <c r="C732">
        <v>160.44574536790253</v>
      </c>
    </row>
    <row r="733" spans="2:3">
      <c r="B733">
        <v>443</v>
      </c>
      <c r="C733">
        <v>130.11691756760158</v>
      </c>
    </row>
    <row r="734" spans="2:3">
      <c r="B734">
        <v>444</v>
      </c>
      <c r="C734">
        <v>158.85645320069239</v>
      </c>
    </row>
    <row r="735" spans="2:3">
      <c r="B735">
        <v>445</v>
      </c>
      <c r="C735">
        <v>154.62403062095453</v>
      </c>
    </row>
    <row r="736" spans="2:3">
      <c r="B736">
        <v>446</v>
      </c>
      <c r="C736">
        <v>148.64485498590128</v>
      </c>
    </row>
    <row r="737" spans="2:3">
      <c r="B737">
        <v>447</v>
      </c>
      <c r="C737">
        <v>135.66070159562983</v>
      </c>
    </row>
    <row r="738" spans="2:3">
      <c r="B738">
        <v>448</v>
      </c>
      <c r="C738">
        <v>164.57254640146871</v>
      </c>
    </row>
    <row r="739" spans="2:3">
      <c r="B739">
        <v>449</v>
      </c>
      <c r="C739">
        <v>161.90365648575775</v>
      </c>
    </row>
    <row r="740" spans="2:3">
      <c r="B740">
        <v>450</v>
      </c>
      <c r="C740">
        <v>160.43962681308938</v>
      </c>
    </row>
    <row r="741" spans="2:3">
      <c r="B741">
        <v>451</v>
      </c>
      <c r="C741">
        <v>137.53565399358166</v>
      </c>
    </row>
    <row r="742" spans="2:3">
      <c r="B742">
        <v>452</v>
      </c>
      <c r="C742">
        <v>183.9699038941051</v>
      </c>
    </row>
    <row r="743" spans="2:3">
      <c r="B743">
        <v>453</v>
      </c>
      <c r="C743">
        <v>195.12536472512701</v>
      </c>
    </row>
    <row r="744" spans="2:3">
      <c r="B744">
        <v>454</v>
      </c>
      <c r="C744">
        <v>126.32509707564448</v>
      </c>
    </row>
    <row r="745" spans="2:3">
      <c r="B745">
        <v>455</v>
      </c>
      <c r="C745">
        <v>141.58550212797797</v>
      </c>
    </row>
    <row r="746" spans="2:3">
      <c r="B746">
        <v>456</v>
      </c>
      <c r="C746">
        <v>184.90690808058048</v>
      </c>
    </row>
    <row r="747" spans="2:3">
      <c r="B747">
        <v>457</v>
      </c>
      <c r="C747">
        <v>124.53063348344982</v>
      </c>
    </row>
    <row r="748" spans="2:3">
      <c r="B748">
        <v>458</v>
      </c>
      <c r="C748">
        <v>173.40316723715307</v>
      </c>
    </row>
    <row r="749" spans="2:3">
      <c r="B749">
        <v>459</v>
      </c>
      <c r="C749">
        <v>150.48082145779708</v>
      </c>
    </row>
    <row r="750" spans="2:3">
      <c r="B750">
        <v>460</v>
      </c>
      <c r="C750">
        <v>161.52833115747646</v>
      </c>
    </row>
    <row r="751" spans="2:3">
      <c r="B751">
        <v>461</v>
      </c>
      <c r="C751">
        <v>173.35885685131234</v>
      </c>
    </row>
    <row r="752" spans="2:3">
      <c r="B752">
        <v>462</v>
      </c>
      <c r="C752">
        <v>132.38301533912386</v>
      </c>
    </row>
    <row r="753" spans="2:3">
      <c r="B753">
        <v>463</v>
      </c>
      <c r="C753">
        <v>160.73160618840961</v>
      </c>
    </row>
    <row r="754" spans="2:3">
      <c r="B754">
        <v>464</v>
      </c>
      <c r="C754">
        <v>167.73914881603673</v>
      </c>
    </row>
    <row r="755" spans="2:3">
      <c r="B755">
        <v>465</v>
      </c>
      <c r="C755">
        <v>151.09740612538556</v>
      </c>
    </row>
    <row r="756" spans="2:3">
      <c r="B756">
        <v>466</v>
      </c>
      <c r="C756">
        <v>150.37815517899364</v>
      </c>
    </row>
    <row r="757" spans="2:3">
      <c r="B757">
        <v>467</v>
      </c>
      <c r="C757">
        <v>219.74701053925079</v>
      </c>
    </row>
    <row r="758" spans="2:3">
      <c r="B758">
        <v>468</v>
      </c>
      <c r="C758">
        <v>144.5248749123555</v>
      </c>
    </row>
    <row r="759" spans="2:3">
      <c r="B759">
        <v>469</v>
      </c>
      <c r="C759">
        <v>118.38092931565816</v>
      </c>
    </row>
    <row r="760" spans="2:3">
      <c r="B760">
        <v>470</v>
      </c>
      <c r="C760">
        <v>178.70160035833032</v>
      </c>
    </row>
    <row r="761" spans="2:3">
      <c r="B761">
        <v>471</v>
      </c>
      <c r="C761">
        <v>166.4618018027345</v>
      </c>
    </row>
    <row r="762" spans="2:3">
      <c r="B762">
        <v>472</v>
      </c>
      <c r="C762">
        <v>176.347463881447</v>
      </c>
    </row>
    <row r="763" spans="2:3">
      <c r="B763">
        <v>473</v>
      </c>
      <c r="C763">
        <v>156.45352066607552</v>
      </c>
    </row>
    <row r="764" spans="2:3">
      <c r="B764">
        <v>474</v>
      </c>
      <c r="C764">
        <v>144.64797592719461</v>
      </c>
    </row>
    <row r="765" spans="2:3">
      <c r="B765">
        <v>475</v>
      </c>
      <c r="C765">
        <v>131.120695623438</v>
      </c>
    </row>
    <row r="766" spans="2:3">
      <c r="B766">
        <v>476</v>
      </c>
      <c r="C766">
        <v>185.32874761219699</v>
      </c>
    </row>
    <row r="767" spans="2:3">
      <c r="B767">
        <v>477</v>
      </c>
      <c r="C767">
        <v>130.35647385644947</v>
      </c>
    </row>
    <row r="768" spans="2:3">
      <c r="B768">
        <v>478</v>
      </c>
      <c r="C768">
        <v>169.54018465226258</v>
      </c>
    </row>
    <row r="769" spans="2:3">
      <c r="B769">
        <v>479</v>
      </c>
      <c r="C769">
        <v>153.16535279057885</v>
      </c>
    </row>
    <row r="770" spans="2:3">
      <c r="B770">
        <v>480</v>
      </c>
      <c r="C770">
        <v>198.60252829081318</v>
      </c>
    </row>
    <row r="771" spans="2:3">
      <c r="B771">
        <v>481</v>
      </c>
      <c r="C771">
        <v>137.12642182407137</v>
      </c>
    </row>
    <row r="772" spans="2:3">
      <c r="B772">
        <v>482</v>
      </c>
      <c r="C772">
        <v>139.12985823883952</v>
      </c>
    </row>
    <row r="773" spans="2:3">
      <c r="B773">
        <v>483</v>
      </c>
      <c r="C773">
        <v>202.14700479607177</v>
      </c>
    </row>
    <row r="774" spans="2:3">
      <c r="B774">
        <v>484</v>
      </c>
      <c r="C774">
        <v>165.3136679156581</v>
      </c>
    </row>
    <row r="775" spans="2:3">
      <c r="B775">
        <v>485</v>
      </c>
      <c r="C775">
        <v>151.7799353917959</v>
      </c>
    </row>
    <row r="776" spans="2:3">
      <c r="B776">
        <v>486</v>
      </c>
      <c r="C776">
        <v>153.27034531739176</v>
      </c>
    </row>
    <row r="777" spans="2:3">
      <c r="B777">
        <v>487</v>
      </c>
      <c r="C777">
        <v>149.98655194212026</v>
      </c>
    </row>
    <row r="778" spans="2:3">
      <c r="B778">
        <v>488</v>
      </c>
      <c r="C778">
        <v>144.97455466686947</v>
      </c>
    </row>
    <row r="779" spans="2:3">
      <c r="B779">
        <v>489</v>
      </c>
      <c r="C779">
        <v>206.78332682434188</v>
      </c>
    </row>
    <row r="780" spans="2:3">
      <c r="B780">
        <v>490</v>
      </c>
      <c r="C780">
        <v>134.9627298913075</v>
      </c>
    </row>
    <row r="781" spans="2:3">
      <c r="B781">
        <v>491</v>
      </c>
      <c r="C781">
        <v>139.15727804073612</v>
      </c>
    </row>
    <row r="782" spans="2:3">
      <c r="B782">
        <v>492</v>
      </c>
      <c r="C782">
        <v>147.71360269215415</v>
      </c>
    </row>
    <row r="783" spans="2:3">
      <c r="B783">
        <v>493</v>
      </c>
      <c r="C783">
        <v>183.35033951015441</v>
      </c>
    </row>
    <row r="784" spans="2:3">
      <c r="B784">
        <v>494</v>
      </c>
      <c r="C784">
        <v>130.49728539710583</v>
      </c>
    </row>
    <row r="785" spans="2:3">
      <c r="B785">
        <v>495</v>
      </c>
      <c r="C785">
        <v>169.727472759313</v>
      </c>
    </row>
    <row r="786" spans="2:3">
      <c r="B786">
        <v>496</v>
      </c>
      <c r="C786">
        <v>160.81151664903726</v>
      </c>
    </row>
    <row r="787" spans="2:3">
      <c r="B787">
        <v>497</v>
      </c>
      <c r="C787">
        <v>108.89047969884665</v>
      </c>
    </row>
    <row r="788" spans="2:3">
      <c r="B788">
        <v>498</v>
      </c>
      <c r="C788">
        <v>130.1358977206896</v>
      </c>
    </row>
    <row r="789" spans="2:3">
      <c r="B789">
        <v>499</v>
      </c>
      <c r="C789">
        <v>136.19867533852818</v>
      </c>
    </row>
    <row r="790" spans="2:3">
      <c r="B790">
        <v>500</v>
      </c>
      <c r="C790">
        <v>160.06076208437165</v>
      </c>
    </row>
    <row r="791" spans="2:3">
      <c r="B791">
        <v>501</v>
      </c>
      <c r="C791">
        <v>133.80858915454857</v>
      </c>
    </row>
    <row r="792" spans="2:3">
      <c r="B792">
        <v>502</v>
      </c>
      <c r="C792">
        <v>133.63549943617647</v>
      </c>
    </row>
    <row r="793" spans="2:3">
      <c r="B793">
        <v>503</v>
      </c>
      <c r="C793">
        <v>143.79231282154677</v>
      </c>
    </row>
    <row r="794" spans="2:3">
      <c r="B794">
        <v>504</v>
      </c>
      <c r="C794">
        <v>174.95412698155431</v>
      </c>
    </row>
    <row r="795" spans="2:3">
      <c r="B795">
        <v>505</v>
      </c>
      <c r="C795">
        <v>176.27009816379356</v>
      </c>
    </row>
    <row r="796" spans="2:3">
      <c r="B796">
        <v>506</v>
      </c>
      <c r="C796">
        <v>140.4376861932322</v>
      </c>
    </row>
    <row r="797" spans="2:3">
      <c r="B797">
        <v>507</v>
      </c>
      <c r="C797">
        <v>130.52673890061919</v>
      </c>
    </row>
    <row r="798" spans="2:3">
      <c r="B798">
        <v>508</v>
      </c>
      <c r="C798">
        <v>142.69999919028498</v>
      </c>
    </row>
    <row r="799" spans="2:3">
      <c r="B799">
        <v>509</v>
      </c>
      <c r="C799">
        <v>149.513387850741</v>
      </c>
    </row>
    <row r="800" spans="2:3">
      <c r="B800">
        <v>510</v>
      </c>
      <c r="C800">
        <v>146.07323368532232</v>
      </c>
    </row>
    <row r="801" spans="2:3">
      <c r="B801">
        <v>511</v>
      </c>
      <c r="C801">
        <v>133.27426576053935</v>
      </c>
    </row>
    <row r="802" spans="2:3">
      <c r="B802">
        <v>512</v>
      </c>
      <c r="C802">
        <v>161.11075837808679</v>
      </c>
    </row>
    <row r="803" spans="2:3">
      <c r="B803">
        <v>513</v>
      </c>
      <c r="C803">
        <v>190.64254745465826</v>
      </c>
    </row>
    <row r="804" spans="2:3">
      <c r="B804">
        <v>514</v>
      </c>
      <c r="C804">
        <v>161.29582945400938</v>
      </c>
    </row>
    <row r="805" spans="2:3">
      <c r="B805">
        <v>515</v>
      </c>
      <c r="C805">
        <v>189.02219762064183</v>
      </c>
    </row>
    <row r="806" spans="2:3">
      <c r="B806">
        <v>516</v>
      </c>
      <c r="C806">
        <v>234.57165160666298</v>
      </c>
    </row>
    <row r="807" spans="2:3">
      <c r="B807">
        <v>517</v>
      </c>
      <c r="C807">
        <v>202.11167894299896</v>
      </c>
    </row>
    <row r="808" spans="2:3">
      <c r="B808">
        <v>518</v>
      </c>
      <c r="C808">
        <v>152.63581078332854</v>
      </c>
    </row>
    <row r="809" spans="2:3">
      <c r="B809">
        <v>519</v>
      </c>
      <c r="C809">
        <v>174.62238194916262</v>
      </c>
    </row>
    <row r="810" spans="2:3">
      <c r="B810">
        <v>520</v>
      </c>
      <c r="C810">
        <v>147.43944172969702</v>
      </c>
    </row>
    <row r="811" spans="2:3">
      <c r="B811">
        <v>521</v>
      </c>
      <c r="C811">
        <v>148.05759039271999</v>
      </c>
    </row>
    <row r="812" spans="2:3">
      <c r="B812">
        <v>522</v>
      </c>
      <c r="C812">
        <v>124.34705655565402</v>
      </c>
    </row>
    <row r="813" spans="2:3">
      <c r="B813">
        <v>523</v>
      </c>
      <c r="C813">
        <v>152.24327661888628</v>
      </c>
    </row>
    <row r="814" spans="2:3">
      <c r="B814">
        <v>524</v>
      </c>
      <c r="C814">
        <v>168.87768654661667</v>
      </c>
    </row>
    <row r="815" spans="2:3">
      <c r="B815">
        <v>525</v>
      </c>
      <c r="C815">
        <v>183.71933105061174</v>
      </c>
    </row>
    <row r="816" spans="2:3">
      <c r="B816">
        <v>526</v>
      </c>
      <c r="C816">
        <v>163.80418731102415</v>
      </c>
    </row>
    <row r="817" spans="2:3">
      <c r="B817">
        <v>527</v>
      </c>
      <c r="C817">
        <v>155.45069517571073</v>
      </c>
    </row>
    <row r="818" spans="2:3">
      <c r="B818">
        <v>528</v>
      </c>
      <c r="C818">
        <v>138.29147363909817</v>
      </c>
    </row>
    <row r="819" spans="2:3">
      <c r="B819">
        <v>529</v>
      </c>
      <c r="C819">
        <v>176.60362245017097</v>
      </c>
    </row>
    <row r="820" spans="2:3">
      <c r="B820">
        <v>530</v>
      </c>
      <c r="C820">
        <v>197.15481946494918</v>
      </c>
    </row>
    <row r="821" spans="2:3">
      <c r="B821">
        <v>531</v>
      </c>
      <c r="C821">
        <v>179.47990664200924</v>
      </c>
    </row>
    <row r="822" spans="2:3">
      <c r="B822">
        <v>532</v>
      </c>
      <c r="C822">
        <v>179.71308802819328</v>
      </c>
    </row>
    <row r="823" spans="2:3">
      <c r="B823">
        <v>533</v>
      </c>
      <c r="C823">
        <v>135.98720240753505</v>
      </c>
    </row>
    <row r="824" spans="2:3">
      <c r="B824">
        <v>534</v>
      </c>
      <c r="C824">
        <v>156.43649312901724</v>
      </c>
    </row>
    <row r="825" spans="2:3">
      <c r="B825">
        <v>535</v>
      </c>
      <c r="C825">
        <v>183.22001837744571</v>
      </c>
    </row>
    <row r="826" spans="2:3">
      <c r="B826">
        <v>536</v>
      </c>
      <c r="C826">
        <v>165.09647779454025</v>
      </c>
    </row>
    <row r="827" spans="2:3">
      <c r="B827">
        <v>537</v>
      </c>
      <c r="C827">
        <v>164.86926705475483</v>
      </c>
    </row>
    <row r="828" spans="2:3">
      <c r="B828">
        <v>538</v>
      </c>
      <c r="C828">
        <v>189.24098947667804</v>
      </c>
    </row>
    <row r="829" spans="2:3">
      <c r="B829">
        <v>539</v>
      </c>
      <c r="C829">
        <v>152.55164558884172</v>
      </c>
    </row>
    <row r="830" spans="2:3">
      <c r="B830">
        <v>540</v>
      </c>
      <c r="C830">
        <v>154.86705856795894</v>
      </c>
    </row>
    <row r="831" spans="2:3">
      <c r="B831">
        <v>541</v>
      </c>
      <c r="C831">
        <v>143.79577819816745</v>
      </c>
    </row>
    <row r="832" spans="2:3">
      <c r="B832">
        <v>542</v>
      </c>
      <c r="C832">
        <v>159.17215735782281</v>
      </c>
    </row>
    <row r="833" spans="2:3">
      <c r="B833">
        <v>543</v>
      </c>
      <c r="C833">
        <v>180.61095171298484</v>
      </c>
    </row>
    <row r="834" spans="2:3">
      <c r="B834">
        <v>544</v>
      </c>
      <c r="C834">
        <v>141.82147116736712</v>
      </c>
    </row>
    <row r="835" spans="2:3">
      <c r="B835">
        <v>545</v>
      </c>
      <c r="C835">
        <v>150.53827297033709</v>
      </c>
    </row>
    <row r="836" spans="2:3">
      <c r="B836">
        <v>546</v>
      </c>
      <c r="C836">
        <v>192.21738598682552</v>
      </c>
    </row>
    <row r="837" spans="2:3">
      <c r="B837">
        <v>547</v>
      </c>
      <c r="C837">
        <v>129.18759616603521</v>
      </c>
    </row>
    <row r="838" spans="2:3">
      <c r="B838">
        <v>548</v>
      </c>
      <c r="C838">
        <v>137.89138940417934</v>
      </c>
    </row>
    <row r="839" spans="2:3">
      <c r="B839">
        <v>549</v>
      </c>
      <c r="C839">
        <v>177.69884803724383</v>
      </c>
    </row>
    <row r="840" spans="2:3">
      <c r="B840">
        <v>550</v>
      </c>
      <c r="C840">
        <v>128.90060962278804</v>
      </c>
    </row>
    <row r="841" spans="2:3">
      <c r="B841">
        <v>551</v>
      </c>
      <c r="C841">
        <v>142.17211644441272</v>
      </c>
    </row>
    <row r="842" spans="2:3">
      <c r="B842">
        <v>552</v>
      </c>
      <c r="C842">
        <v>179.98737732076387</v>
      </c>
    </row>
    <row r="843" spans="2:3">
      <c r="B843">
        <v>553</v>
      </c>
      <c r="C843">
        <v>143.03798515127667</v>
      </c>
    </row>
    <row r="844" spans="2:3">
      <c r="B844">
        <v>554</v>
      </c>
      <c r="C844">
        <v>177.56635896346683</v>
      </c>
    </row>
    <row r="845" spans="2:3">
      <c r="B845">
        <v>555</v>
      </c>
      <c r="C845">
        <v>177.95915777550786</v>
      </c>
    </row>
    <row r="846" spans="2:3">
      <c r="B846">
        <v>556</v>
      </c>
      <c r="C846">
        <v>143.19022919168182</v>
      </c>
    </row>
    <row r="847" spans="2:3">
      <c r="B847">
        <v>557</v>
      </c>
      <c r="C847">
        <v>146.35756110650604</v>
      </c>
    </row>
    <row r="848" spans="2:3">
      <c r="B848">
        <v>558</v>
      </c>
      <c r="C848">
        <v>124.28301675445073</v>
      </c>
    </row>
    <row r="849" spans="2:3">
      <c r="B849">
        <v>559</v>
      </c>
      <c r="C849">
        <v>157.25194323963558</v>
      </c>
    </row>
    <row r="850" spans="2:3">
      <c r="B850">
        <v>560</v>
      </c>
      <c r="C850">
        <v>135.90088270035497</v>
      </c>
    </row>
    <row r="851" spans="2:3">
      <c r="B851">
        <v>561</v>
      </c>
      <c r="C851">
        <v>194.68368248151427</v>
      </c>
    </row>
    <row r="852" spans="2:3">
      <c r="B852">
        <v>562</v>
      </c>
      <c r="C852">
        <v>162.22985288060366</v>
      </c>
    </row>
    <row r="853" spans="2:3">
      <c r="B853">
        <v>563</v>
      </c>
      <c r="C853">
        <v>209.35055976256569</v>
      </c>
    </row>
    <row r="854" spans="2:3">
      <c r="B854">
        <v>564</v>
      </c>
      <c r="C854">
        <v>170.77012462109965</v>
      </c>
    </row>
    <row r="855" spans="2:3">
      <c r="B855">
        <v>565</v>
      </c>
      <c r="C855">
        <v>137.44427941555136</v>
      </c>
    </row>
    <row r="856" spans="2:3">
      <c r="B856">
        <v>566</v>
      </c>
      <c r="C856">
        <v>148.08195898330627</v>
      </c>
    </row>
    <row r="857" spans="2:3">
      <c r="B857">
        <v>567</v>
      </c>
      <c r="C857">
        <v>193.32295135556208</v>
      </c>
    </row>
    <row r="858" spans="2:3">
      <c r="B858">
        <v>568</v>
      </c>
      <c r="C858">
        <v>188.64905452223206</v>
      </c>
    </row>
    <row r="859" spans="2:3">
      <c r="B859">
        <v>569</v>
      </c>
      <c r="C859">
        <v>146.28510810677642</v>
      </c>
    </row>
    <row r="860" spans="2:3">
      <c r="B860">
        <v>570</v>
      </c>
      <c r="C860">
        <v>137.41963565121958</v>
      </c>
    </row>
    <row r="861" spans="2:3">
      <c r="B861">
        <v>571</v>
      </c>
      <c r="C861">
        <v>173.41115075766083</v>
      </c>
    </row>
    <row r="862" spans="2:3">
      <c r="B862">
        <v>572</v>
      </c>
      <c r="C862">
        <v>231.92815069380438</v>
      </c>
    </row>
    <row r="863" spans="2:3">
      <c r="B863">
        <v>573</v>
      </c>
      <c r="C863">
        <v>169.85325662407632</v>
      </c>
    </row>
    <row r="864" spans="2:3">
      <c r="B864">
        <v>574</v>
      </c>
      <c r="C864">
        <v>165.17877707712529</v>
      </c>
    </row>
    <row r="865" spans="2:3">
      <c r="B865">
        <v>575</v>
      </c>
      <c r="C865">
        <v>175.81356714038176</v>
      </c>
    </row>
    <row r="866" spans="2:3">
      <c r="B866">
        <v>576</v>
      </c>
      <c r="C866">
        <v>124.47567853463707</v>
      </c>
    </row>
    <row r="867" spans="2:3">
      <c r="B867">
        <v>577</v>
      </c>
      <c r="C867">
        <v>140.37850073946939</v>
      </c>
    </row>
    <row r="868" spans="2:3">
      <c r="B868">
        <v>578</v>
      </c>
      <c r="C868">
        <v>159.41112760156548</v>
      </c>
    </row>
    <row r="869" spans="2:3">
      <c r="B869">
        <v>579</v>
      </c>
      <c r="C869">
        <v>172.99156112656581</v>
      </c>
    </row>
    <row r="870" spans="2:3">
      <c r="B870">
        <v>580</v>
      </c>
      <c r="C870">
        <v>156.09809606358101</v>
      </c>
    </row>
    <row r="871" spans="2:3">
      <c r="B871">
        <v>581</v>
      </c>
      <c r="C871">
        <v>139.35265511129359</v>
      </c>
    </row>
    <row r="872" spans="2:3">
      <c r="B872">
        <v>582</v>
      </c>
      <c r="C872">
        <v>159.44757021731115</v>
      </c>
    </row>
    <row r="873" spans="2:3">
      <c r="B873">
        <v>583</v>
      </c>
      <c r="C873">
        <v>156.88170825755719</v>
      </c>
    </row>
    <row r="874" spans="2:3">
      <c r="B874">
        <v>584</v>
      </c>
      <c r="C874">
        <v>153.22774845437621</v>
      </c>
    </row>
    <row r="875" spans="2:3">
      <c r="B875">
        <v>585</v>
      </c>
      <c r="C875">
        <v>174.16639469029607</v>
      </c>
    </row>
    <row r="876" spans="2:3">
      <c r="B876">
        <v>586</v>
      </c>
      <c r="C876">
        <v>134.94163165283038</v>
      </c>
    </row>
    <row r="877" spans="2:3">
      <c r="B877">
        <v>587</v>
      </c>
      <c r="C877">
        <v>171.31616437120817</v>
      </c>
    </row>
    <row r="878" spans="2:3">
      <c r="B878">
        <v>588</v>
      </c>
      <c r="C878">
        <v>149.82447143623125</v>
      </c>
    </row>
    <row r="879" spans="2:3">
      <c r="B879">
        <v>589</v>
      </c>
      <c r="C879">
        <v>159.20813524058562</v>
      </c>
    </row>
    <row r="880" spans="2:3">
      <c r="B880">
        <v>590</v>
      </c>
      <c r="C880">
        <v>119.61986259048992</v>
      </c>
    </row>
    <row r="881" spans="2:3">
      <c r="B881">
        <v>591</v>
      </c>
      <c r="C881">
        <v>162.55863024273296</v>
      </c>
    </row>
    <row r="882" spans="2:3">
      <c r="B882">
        <v>592</v>
      </c>
      <c r="C882">
        <v>188.79703125045688</v>
      </c>
    </row>
    <row r="883" spans="2:3">
      <c r="B883">
        <v>593</v>
      </c>
      <c r="C883">
        <v>139.50513083284289</v>
      </c>
    </row>
    <row r="884" spans="2:3">
      <c r="B884">
        <v>594</v>
      </c>
      <c r="C884">
        <v>146.80757630279314</v>
      </c>
    </row>
    <row r="885" spans="2:3">
      <c r="B885">
        <v>595</v>
      </c>
      <c r="C885">
        <v>156.54434149934892</v>
      </c>
    </row>
    <row r="886" spans="2:3">
      <c r="B886">
        <v>596</v>
      </c>
      <c r="C886">
        <v>158.66613211066826</v>
      </c>
    </row>
    <row r="887" spans="2:3">
      <c r="B887">
        <v>597</v>
      </c>
      <c r="C887">
        <v>136.34250984125731</v>
      </c>
    </row>
    <row r="888" spans="2:3">
      <c r="B888">
        <v>598</v>
      </c>
      <c r="C888">
        <v>139.04654053112654</v>
      </c>
    </row>
    <row r="889" spans="2:3">
      <c r="B889">
        <v>599</v>
      </c>
      <c r="C889">
        <v>137.46619012728851</v>
      </c>
    </row>
    <row r="890" spans="2:3">
      <c r="B890">
        <v>600</v>
      </c>
      <c r="C890">
        <v>154.67217870126964</v>
      </c>
    </row>
    <row r="891" spans="2:3">
      <c r="B891">
        <v>601</v>
      </c>
      <c r="C891">
        <v>149.04742933165775</v>
      </c>
    </row>
    <row r="892" spans="2:3">
      <c r="B892">
        <v>602</v>
      </c>
      <c r="C892">
        <v>210.98678891756316</v>
      </c>
    </row>
    <row r="893" spans="2:3">
      <c r="B893">
        <v>603</v>
      </c>
      <c r="C893">
        <v>121.00727963498539</v>
      </c>
    </row>
    <row r="894" spans="2:3">
      <c r="B894">
        <v>604</v>
      </c>
      <c r="C894">
        <v>142.22470165578974</v>
      </c>
    </row>
    <row r="895" spans="2:3">
      <c r="B895">
        <v>605</v>
      </c>
      <c r="C895">
        <v>146.18621992731809</v>
      </c>
    </row>
    <row r="896" spans="2:3">
      <c r="B896">
        <v>606</v>
      </c>
      <c r="C896">
        <v>131.48605195480761</v>
      </c>
    </row>
    <row r="897" spans="2:3">
      <c r="B897">
        <v>607</v>
      </c>
      <c r="C897">
        <v>152.9928723507613</v>
      </c>
    </row>
    <row r="898" spans="2:3">
      <c r="B898">
        <v>608</v>
      </c>
      <c r="C898">
        <v>156.59310805512504</v>
      </c>
    </row>
    <row r="899" spans="2:3">
      <c r="B899">
        <v>609</v>
      </c>
      <c r="C899">
        <v>185.98386134917698</v>
      </c>
    </row>
    <row r="900" spans="2:3">
      <c r="B900">
        <v>610</v>
      </c>
      <c r="C900">
        <v>167.25989499381333</v>
      </c>
    </row>
    <row r="901" spans="2:3">
      <c r="B901">
        <v>611</v>
      </c>
      <c r="C901">
        <v>175.74691044618038</v>
      </c>
    </row>
    <row r="902" spans="2:3">
      <c r="B902">
        <v>612</v>
      </c>
      <c r="C902">
        <v>149.64184240540189</v>
      </c>
    </row>
    <row r="903" spans="2:3">
      <c r="B903">
        <v>613</v>
      </c>
      <c r="C903">
        <v>148.25806347968194</v>
      </c>
    </row>
    <row r="904" spans="2:3">
      <c r="B904">
        <v>614</v>
      </c>
      <c r="C904">
        <v>139.86125060927773</v>
      </c>
    </row>
    <row r="905" spans="2:3">
      <c r="B905">
        <v>615</v>
      </c>
      <c r="C905">
        <v>124.42636955719676</v>
      </c>
    </row>
    <row r="906" spans="2:3">
      <c r="B906">
        <v>616</v>
      </c>
      <c r="C906">
        <v>160.86126145124121</v>
      </c>
    </row>
    <row r="907" spans="2:3">
      <c r="B907">
        <v>617</v>
      </c>
      <c r="C907">
        <v>192.98416176332316</v>
      </c>
    </row>
    <row r="908" spans="2:3">
      <c r="B908">
        <v>618</v>
      </c>
      <c r="C908">
        <v>143.29461070714501</v>
      </c>
    </row>
    <row r="909" spans="2:3">
      <c r="B909">
        <v>619</v>
      </c>
      <c r="C909">
        <v>153.26899546574683</v>
      </c>
    </row>
    <row r="910" spans="2:3">
      <c r="B910">
        <v>620</v>
      </c>
      <c r="C910">
        <v>168.864458765373</v>
      </c>
    </row>
    <row r="911" spans="2:3">
      <c r="B911">
        <v>621</v>
      </c>
      <c r="C911">
        <v>147.01742373305726</v>
      </c>
    </row>
    <row r="912" spans="2:3">
      <c r="B912">
        <v>622</v>
      </c>
      <c r="C912">
        <v>185.49563288274749</v>
      </c>
    </row>
    <row r="913" spans="2:3">
      <c r="B913">
        <v>623</v>
      </c>
      <c r="C913">
        <v>147.94917121660865</v>
      </c>
    </row>
    <row r="914" spans="2:3">
      <c r="B914">
        <v>624</v>
      </c>
      <c r="C914">
        <v>157.4397183870928</v>
      </c>
    </row>
    <row r="915" spans="2:3">
      <c r="B915">
        <v>625</v>
      </c>
      <c r="C915">
        <v>142.66703093895958</v>
      </c>
    </row>
    <row r="916" spans="2:3">
      <c r="B916">
        <v>626</v>
      </c>
      <c r="C916">
        <v>189.65762595328658</v>
      </c>
    </row>
    <row r="917" spans="2:3">
      <c r="B917">
        <v>627</v>
      </c>
      <c r="C917">
        <v>144.39567994315877</v>
      </c>
    </row>
    <row r="918" spans="2:3">
      <c r="B918">
        <v>628</v>
      </c>
      <c r="C918">
        <v>109.98524903429336</v>
      </c>
    </row>
    <row r="919" spans="2:3">
      <c r="B919">
        <v>629</v>
      </c>
      <c r="C919">
        <v>149.67584866277926</v>
      </c>
    </row>
    <row r="920" spans="2:3">
      <c r="B920">
        <v>630</v>
      </c>
      <c r="C920">
        <v>193.84194588858179</v>
      </c>
    </row>
    <row r="921" spans="2:3">
      <c r="B921">
        <v>631</v>
      </c>
      <c r="C921">
        <v>152.43094189923269</v>
      </c>
    </row>
    <row r="922" spans="2:3">
      <c r="B922">
        <v>632</v>
      </c>
      <c r="C922">
        <v>184.12558176595917</v>
      </c>
    </row>
    <row r="923" spans="2:3">
      <c r="B923">
        <v>633</v>
      </c>
      <c r="C923">
        <v>137.73002924466959</v>
      </c>
    </row>
    <row r="924" spans="2:3">
      <c r="B924">
        <v>634</v>
      </c>
      <c r="C924">
        <v>177.88547696394207</v>
      </c>
    </row>
    <row r="925" spans="2:3">
      <c r="B925">
        <v>635</v>
      </c>
      <c r="C925">
        <v>161.86622376981018</v>
      </c>
    </row>
    <row r="926" spans="2:3">
      <c r="B926">
        <v>636</v>
      </c>
      <c r="C926">
        <v>180.36846012190603</v>
      </c>
    </row>
    <row r="927" spans="2:3">
      <c r="B927">
        <v>637</v>
      </c>
      <c r="C927">
        <v>159.38159596253678</v>
      </c>
    </row>
    <row r="928" spans="2:3">
      <c r="B928">
        <v>638</v>
      </c>
      <c r="C928">
        <v>204.30056416413811</v>
      </c>
    </row>
    <row r="929" spans="2:3">
      <c r="B929">
        <v>639</v>
      </c>
      <c r="C929">
        <v>103.54107075972234</v>
      </c>
    </row>
    <row r="930" spans="2:3">
      <c r="B930">
        <v>640</v>
      </c>
      <c r="C930">
        <v>155.54253328905392</v>
      </c>
    </row>
    <row r="931" spans="2:3">
      <c r="B931">
        <v>641</v>
      </c>
      <c r="C931">
        <v>144.73948877289453</v>
      </c>
    </row>
    <row r="932" spans="2:3">
      <c r="B932">
        <v>642</v>
      </c>
      <c r="C932">
        <v>175.49841384506504</v>
      </c>
    </row>
    <row r="933" spans="2:3">
      <c r="B933">
        <v>643</v>
      </c>
      <c r="C933">
        <v>136.50056055920402</v>
      </c>
    </row>
    <row r="934" spans="2:3">
      <c r="B934">
        <v>644</v>
      </c>
      <c r="C934">
        <v>145.88273216048233</v>
      </c>
    </row>
    <row r="935" spans="2:3">
      <c r="B935">
        <v>645</v>
      </c>
      <c r="C935">
        <v>122.48435077519186</v>
      </c>
    </row>
    <row r="936" spans="2:3">
      <c r="B936">
        <v>646</v>
      </c>
      <c r="C936">
        <v>145.22702728940899</v>
      </c>
    </row>
    <row r="937" spans="2:3">
      <c r="B937">
        <v>647</v>
      </c>
      <c r="C937">
        <v>148.64094723239162</v>
      </c>
    </row>
    <row r="938" spans="2:3">
      <c r="B938">
        <v>648</v>
      </c>
      <c r="C938">
        <v>123.08738350164661</v>
      </c>
    </row>
    <row r="939" spans="2:3">
      <c r="B939">
        <v>649</v>
      </c>
      <c r="C939">
        <v>207.89834337523973</v>
      </c>
    </row>
    <row r="940" spans="2:3">
      <c r="B940">
        <v>650</v>
      </c>
      <c r="C940">
        <v>168.22441834816229</v>
      </c>
    </row>
    <row r="941" spans="2:3">
      <c r="B941">
        <v>651</v>
      </c>
      <c r="C941">
        <v>150.99536355852251</v>
      </c>
    </row>
    <row r="942" spans="2:3">
      <c r="B942">
        <v>652</v>
      </c>
      <c r="C942">
        <v>138.09293316206814</v>
      </c>
    </row>
    <row r="943" spans="2:3">
      <c r="B943">
        <v>653</v>
      </c>
      <c r="C943">
        <v>152.29745388931974</v>
      </c>
    </row>
    <row r="944" spans="2:3">
      <c r="B944">
        <v>654</v>
      </c>
      <c r="C944">
        <v>164.2948580374873</v>
      </c>
    </row>
    <row r="945" spans="2:3">
      <c r="B945">
        <v>655</v>
      </c>
      <c r="C945">
        <v>166.4931820663688</v>
      </c>
    </row>
    <row r="946" spans="2:3">
      <c r="B946">
        <v>656</v>
      </c>
      <c r="C946">
        <v>175.66074417996435</v>
      </c>
    </row>
    <row r="947" spans="2:3">
      <c r="B947">
        <v>657</v>
      </c>
      <c r="C947">
        <v>163.53386270344856</v>
      </c>
    </row>
    <row r="948" spans="2:3">
      <c r="B948">
        <v>658</v>
      </c>
      <c r="C948">
        <v>161.91303437568592</v>
      </c>
    </row>
    <row r="949" spans="2:3">
      <c r="B949">
        <v>659</v>
      </c>
      <c r="C949">
        <v>139.49361300131594</v>
      </c>
    </row>
    <row r="950" spans="2:3">
      <c r="B950">
        <v>660</v>
      </c>
      <c r="C950">
        <v>129.40012519301513</v>
      </c>
    </row>
    <row r="951" spans="2:3">
      <c r="B951">
        <v>661</v>
      </c>
      <c r="C951">
        <v>154.60463116407891</v>
      </c>
    </row>
    <row r="952" spans="2:3">
      <c r="B952">
        <v>662</v>
      </c>
      <c r="C952">
        <v>145.48900839334931</v>
      </c>
    </row>
    <row r="953" spans="2:3">
      <c r="B953">
        <v>663</v>
      </c>
      <c r="C953">
        <v>144.09505728131589</v>
      </c>
    </row>
    <row r="954" spans="2:3">
      <c r="B954">
        <v>664</v>
      </c>
      <c r="C954">
        <v>123.90191408881728</v>
      </c>
    </row>
    <row r="955" spans="2:3">
      <c r="B955">
        <v>665</v>
      </c>
      <c r="C955">
        <v>184.49544253378238</v>
      </c>
    </row>
    <row r="956" spans="2:3">
      <c r="B956">
        <v>666</v>
      </c>
      <c r="C956">
        <v>156.26198813876294</v>
      </c>
    </row>
    <row r="957" spans="2:3">
      <c r="B957">
        <v>667</v>
      </c>
      <c r="C957">
        <v>141.15220918154455</v>
      </c>
    </row>
    <row r="958" spans="2:3">
      <c r="B958">
        <v>668</v>
      </c>
      <c r="C958">
        <v>143.99926793627841</v>
      </c>
    </row>
    <row r="959" spans="2:3">
      <c r="B959">
        <v>669</v>
      </c>
      <c r="C959">
        <v>134.98360177429967</v>
      </c>
    </row>
    <row r="960" spans="2:3">
      <c r="B960">
        <v>670</v>
      </c>
      <c r="C960">
        <v>111.17854885362594</v>
      </c>
    </row>
    <row r="961" spans="2:3">
      <c r="B961">
        <v>671</v>
      </c>
      <c r="C961">
        <v>144.28918628036527</v>
      </c>
    </row>
    <row r="962" spans="2:3">
      <c r="B962">
        <v>672</v>
      </c>
      <c r="C962">
        <v>199.83461813778035</v>
      </c>
    </row>
    <row r="963" spans="2:3">
      <c r="B963">
        <v>673</v>
      </c>
      <c r="C963">
        <v>131.99032378155005</v>
      </c>
    </row>
    <row r="964" spans="2:3">
      <c r="B964">
        <v>674</v>
      </c>
      <c r="C964">
        <v>206.01731889533443</v>
      </c>
    </row>
    <row r="965" spans="2:3">
      <c r="B965">
        <v>675</v>
      </c>
      <c r="C965">
        <v>174.34442050087424</v>
      </c>
    </row>
    <row r="966" spans="2:3">
      <c r="B966">
        <v>676</v>
      </c>
      <c r="C966">
        <v>163.86189050337069</v>
      </c>
    </row>
    <row r="967" spans="2:3">
      <c r="B967">
        <v>677</v>
      </c>
      <c r="C967">
        <v>133.7771886707269</v>
      </c>
    </row>
    <row r="968" spans="2:3">
      <c r="B968">
        <v>678</v>
      </c>
      <c r="C968">
        <v>147.27121211448477</v>
      </c>
    </row>
    <row r="969" spans="2:3">
      <c r="B969">
        <v>679</v>
      </c>
      <c r="C969">
        <v>171.07515609166919</v>
      </c>
    </row>
    <row r="970" spans="2:3">
      <c r="B970">
        <v>680</v>
      </c>
      <c r="C970">
        <v>172.17048853945263</v>
      </c>
    </row>
    <row r="971" spans="2:3">
      <c r="B971">
        <v>681</v>
      </c>
      <c r="C971">
        <v>137.5001643444464</v>
      </c>
    </row>
    <row r="972" spans="2:3">
      <c r="B972">
        <v>682</v>
      </c>
      <c r="C972">
        <v>136.04981403657678</v>
      </c>
    </row>
    <row r="973" spans="2:3">
      <c r="B973">
        <v>683</v>
      </c>
      <c r="C973">
        <v>144.65082528446536</v>
      </c>
    </row>
    <row r="974" spans="2:3">
      <c r="B974">
        <v>684</v>
      </c>
      <c r="C974">
        <v>123.72358366337481</v>
      </c>
    </row>
    <row r="975" spans="2:3">
      <c r="B975">
        <v>685</v>
      </c>
      <c r="C975">
        <v>138.59340399988466</v>
      </c>
    </row>
    <row r="976" spans="2:3">
      <c r="B976">
        <v>686</v>
      </c>
      <c r="C976">
        <v>158.66848854411774</v>
      </c>
    </row>
    <row r="977" spans="2:3">
      <c r="B977">
        <v>687</v>
      </c>
      <c r="C977">
        <v>168.68631651457332</v>
      </c>
    </row>
    <row r="978" spans="2:3">
      <c r="B978">
        <v>688</v>
      </c>
      <c r="C978">
        <v>174.31774268527175</v>
      </c>
    </row>
    <row r="979" spans="2:3">
      <c r="B979">
        <v>689</v>
      </c>
      <c r="C979">
        <v>142.58719487726614</v>
      </c>
    </row>
    <row r="980" spans="2:3">
      <c r="B980">
        <v>690</v>
      </c>
      <c r="C980">
        <v>124.15773153403413</v>
      </c>
    </row>
    <row r="981" spans="2:3">
      <c r="B981">
        <v>691</v>
      </c>
      <c r="C981">
        <v>125.57588188103651</v>
      </c>
    </row>
    <row r="982" spans="2:3">
      <c r="B982">
        <v>692</v>
      </c>
      <c r="C982">
        <v>131.85957518450243</v>
      </c>
    </row>
    <row r="983" spans="2:3">
      <c r="B983">
        <v>693</v>
      </c>
      <c r="C983">
        <v>202.4776793458677</v>
      </c>
    </row>
    <row r="984" spans="2:3">
      <c r="B984">
        <v>694</v>
      </c>
      <c r="C984">
        <v>132.47857718039103</v>
      </c>
    </row>
    <row r="985" spans="2:3">
      <c r="B985">
        <v>695</v>
      </c>
      <c r="C985">
        <v>178.14679771594848</v>
      </c>
    </row>
    <row r="986" spans="2:3">
      <c r="B986">
        <v>696</v>
      </c>
      <c r="C986">
        <v>159.04623414869818</v>
      </c>
    </row>
    <row r="987" spans="2:3">
      <c r="B987">
        <v>697</v>
      </c>
      <c r="C987">
        <v>139.6376490954803</v>
      </c>
    </row>
    <row r="988" spans="2:3">
      <c r="B988">
        <v>698</v>
      </c>
      <c r="C988">
        <v>144.75082409912758</v>
      </c>
    </row>
    <row r="989" spans="2:3">
      <c r="B989">
        <v>699</v>
      </c>
      <c r="C989">
        <v>190.30495269585739</v>
      </c>
    </row>
    <row r="990" spans="2:3">
      <c r="B990">
        <v>700</v>
      </c>
      <c r="C990">
        <v>163.54669238356678</v>
      </c>
    </row>
    <row r="991" spans="2:3">
      <c r="B991">
        <v>701</v>
      </c>
      <c r="C991">
        <v>185.10487724083785</v>
      </c>
    </row>
    <row r="992" spans="2:3">
      <c r="B992">
        <v>702</v>
      </c>
      <c r="C992">
        <v>145.62430888130638</v>
      </c>
    </row>
    <row r="993" spans="2:3">
      <c r="B993">
        <v>703</v>
      </c>
      <c r="C993">
        <v>153.3980383486317</v>
      </c>
    </row>
    <row r="994" spans="2:3">
      <c r="B994">
        <v>704</v>
      </c>
      <c r="C994">
        <v>136.46498435897303</v>
      </c>
    </row>
    <row r="995" spans="2:3">
      <c r="B995">
        <v>705</v>
      </c>
      <c r="C995">
        <v>134.49646885145114</v>
      </c>
    </row>
    <row r="996" spans="2:3">
      <c r="B996">
        <v>706</v>
      </c>
      <c r="C996">
        <v>130.46140715262123</v>
      </c>
    </row>
    <row r="997" spans="2:3">
      <c r="B997">
        <v>707</v>
      </c>
      <c r="C997">
        <v>168.41943686323711</v>
      </c>
    </row>
    <row r="998" spans="2:3">
      <c r="B998">
        <v>708</v>
      </c>
      <c r="C998">
        <v>189.42468803165971</v>
      </c>
    </row>
    <row r="999" spans="2:3">
      <c r="B999">
        <v>709</v>
      </c>
      <c r="C999">
        <v>145.78310526165612</v>
      </c>
    </row>
    <row r="1000" spans="2:3">
      <c r="B1000">
        <v>710</v>
      </c>
      <c r="C1000">
        <v>229.6659471864653</v>
      </c>
    </row>
    <row r="1001" spans="2:3">
      <c r="B1001">
        <v>711</v>
      </c>
      <c r="C1001">
        <v>160.27923091678298</v>
      </c>
    </row>
    <row r="1002" spans="2:3">
      <c r="B1002">
        <v>712</v>
      </c>
      <c r="C1002">
        <v>162.34134110930049</v>
      </c>
    </row>
    <row r="1003" spans="2:3">
      <c r="B1003">
        <v>713</v>
      </c>
      <c r="C1003">
        <v>172.79862482110613</v>
      </c>
    </row>
    <row r="1004" spans="2:3">
      <c r="B1004">
        <v>714</v>
      </c>
      <c r="C1004">
        <v>157.50560953917704</v>
      </c>
    </row>
    <row r="1005" spans="2:3">
      <c r="B1005">
        <v>715</v>
      </c>
      <c r="C1005">
        <v>150.23394027246655</v>
      </c>
    </row>
    <row r="1006" spans="2:3">
      <c r="B1006">
        <v>716</v>
      </c>
      <c r="C1006">
        <v>153.86521182723021</v>
      </c>
    </row>
    <row r="1007" spans="2:3">
      <c r="B1007">
        <v>717</v>
      </c>
      <c r="C1007">
        <v>158.05478994298042</v>
      </c>
    </row>
    <row r="1008" spans="2:3">
      <c r="B1008">
        <v>718</v>
      </c>
      <c r="C1008">
        <v>164.88578078250609</v>
      </c>
    </row>
    <row r="1009" spans="2:3">
      <c r="B1009">
        <v>719</v>
      </c>
      <c r="C1009">
        <v>185.28401989219813</v>
      </c>
    </row>
    <row r="1010" spans="2:3">
      <c r="B1010">
        <v>720</v>
      </c>
      <c r="C1010">
        <v>172.39904624681716</v>
      </c>
    </row>
    <row r="1011" spans="2:3">
      <c r="B1011">
        <v>721</v>
      </c>
      <c r="C1011">
        <v>139.00622267841027</v>
      </c>
    </row>
    <row r="1012" spans="2:3">
      <c r="B1012">
        <v>722</v>
      </c>
      <c r="C1012">
        <v>139.3528896911001</v>
      </c>
    </row>
    <row r="1013" spans="2:3">
      <c r="B1013">
        <v>723</v>
      </c>
      <c r="C1013">
        <v>172.28969152135397</v>
      </c>
    </row>
    <row r="1014" spans="2:3">
      <c r="B1014">
        <v>724</v>
      </c>
      <c r="C1014">
        <v>142.85488886919279</v>
      </c>
    </row>
    <row r="1015" spans="2:3">
      <c r="B1015">
        <v>725</v>
      </c>
      <c r="C1015">
        <v>144.12853059598001</v>
      </c>
    </row>
    <row r="1016" spans="2:3">
      <c r="B1016">
        <v>726</v>
      </c>
      <c r="C1016">
        <v>116.86958923284719</v>
      </c>
    </row>
    <row r="1017" spans="2:3">
      <c r="B1017">
        <v>727</v>
      </c>
      <c r="C1017">
        <v>120.91404752321974</v>
      </c>
    </row>
    <row r="1018" spans="2:3">
      <c r="B1018">
        <v>728</v>
      </c>
      <c r="C1018">
        <v>162.84981982119487</v>
      </c>
    </row>
    <row r="1019" spans="2:3">
      <c r="B1019">
        <v>729</v>
      </c>
      <c r="C1019">
        <v>136.36865796677395</v>
      </c>
    </row>
    <row r="1020" spans="2:3">
      <c r="B1020">
        <v>730</v>
      </c>
      <c r="C1020">
        <v>158.83637474184258</v>
      </c>
    </row>
    <row r="1021" spans="2:3">
      <c r="B1021">
        <v>731</v>
      </c>
      <c r="C1021">
        <v>159.14503192023997</v>
      </c>
    </row>
    <row r="1022" spans="2:3">
      <c r="B1022">
        <v>732</v>
      </c>
      <c r="C1022">
        <v>190.63305337759996</v>
      </c>
    </row>
    <row r="1023" spans="2:3">
      <c r="B1023">
        <v>733</v>
      </c>
      <c r="C1023">
        <v>148.23399106587496</v>
      </c>
    </row>
    <row r="1024" spans="2:3">
      <c r="B1024">
        <v>734</v>
      </c>
      <c r="C1024">
        <v>204.22874781889732</v>
      </c>
    </row>
    <row r="1025" spans="2:3">
      <c r="B1025">
        <v>735</v>
      </c>
      <c r="C1025">
        <v>150.67230424947567</v>
      </c>
    </row>
    <row r="1026" spans="2:3">
      <c r="B1026">
        <v>736</v>
      </c>
      <c r="C1026">
        <v>146.12876185916014</v>
      </c>
    </row>
    <row r="1027" spans="2:3">
      <c r="B1027">
        <v>737</v>
      </c>
      <c r="C1027">
        <v>155.77654602042256</v>
      </c>
    </row>
    <row r="1028" spans="2:3">
      <c r="B1028">
        <v>738</v>
      </c>
      <c r="C1028">
        <v>196.93587730914018</v>
      </c>
    </row>
    <row r="1029" spans="2:3">
      <c r="B1029">
        <v>739</v>
      </c>
      <c r="C1029">
        <v>129.20533779712989</v>
      </c>
    </row>
    <row r="1030" spans="2:3">
      <c r="B1030">
        <v>740</v>
      </c>
      <c r="C1030">
        <v>166.16638340912741</v>
      </c>
    </row>
    <row r="1031" spans="2:3">
      <c r="B1031">
        <v>741</v>
      </c>
      <c r="C1031">
        <v>177.09335505805009</v>
      </c>
    </row>
    <row r="1032" spans="2:3">
      <c r="B1032">
        <v>742</v>
      </c>
      <c r="C1032">
        <v>154.86486025183646</v>
      </c>
    </row>
    <row r="1033" spans="2:3">
      <c r="B1033">
        <v>743</v>
      </c>
      <c r="C1033">
        <v>149.22107128130392</v>
      </c>
    </row>
    <row r="1034" spans="2:3">
      <c r="B1034">
        <v>744</v>
      </c>
      <c r="C1034">
        <v>176.16842417332873</v>
      </c>
    </row>
    <row r="1035" spans="2:3">
      <c r="B1035">
        <v>745</v>
      </c>
      <c r="C1035">
        <v>152.58775333451297</v>
      </c>
    </row>
    <row r="1036" spans="2:3">
      <c r="B1036">
        <v>746</v>
      </c>
      <c r="C1036">
        <v>153.54935730388343</v>
      </c>
    </row>
    <row r="1037" spans="2:3">
      <c r="B1037">
        <v>747</v>
      </c>
      <c r="C1037">
        <v>170.87953346842673</v>
      </c>
    </row>
    <row r="1038" spans="2:3">
      <c r="B1038">
        <v>748</v>
      </c>
      <c r="C1038">
        <v>137.84729220071884</v>
      </c>
    </row>
    <row r="1039" spans="2:3">
      <c r="B1039">
        <v>749</v>
      </c>
      <c r="C1039">
        <v>141.88304155581937</v>
      </c>
    </row>
    <row r="1040" spans="2:3">
      <c r="B1040">
        <v>750</v>
      </c>
      <c r="C1040">
        <v>158.822987940833</v>
      </c>
    </row>
    <row r="1041" spans="2:3">
      <c r="B1041">
        <v>751</v>
      </c>
      <c r="C1041">
        <v>169.24152398975858</v>
      </c>
    </row>
    <row r="1042" spans="2:3">
      <c r="B1042">
        <v>752</v>
      </c>
      <c r="C1042">
        <v>189.88171978294022</v>
      </c>
    </row>
    <row r="1043" spans="2:3">
      <c r="B1043">
        <v>753</v>
      </c>
      <c r="C1043">
        <v>172.73276576426468</v>
      </c>
    </row>
    <row r="1044" spans="2:3">
      <c r="B1044">
        <v>754</v>
      </c>
      <c r="C1044">
        <v>178.06857342318443</v>
      </c>
    </row>
    <row r="1045" spans="2:3">
      <c r="B1045">
        <v>755</v>
      </c>
      <c r="C1045">
        <v>150.3893598903654</v>
      </c>
    </row>
    <row r="1046" spans="2:3">
      <c r="B1046">
        <v>756</v>
      </c>
      <c r="C1046">
        <v>141.9422447502499</v>
      </c>
    </row>
    <row r="1047" spans="2:3">
      <c r="B1047">
        <v>757</v>
      </c>
      <c r="C1047">
        <v>171.57135893843963</v>
      </c>
    </row>
    <row r="1048" spans="2:3">
      <c r="B1048">
        <v>758</v>
      </c>
      <c r="C1048">
        <v>149.71098396363558</v>
      </c>
    </row>
    <row r="1049" spans="2:3">
      <c r="B1049">
        <v>759</v>
      </c>
      <c r="C1049">
        <v>167.17314505987483</v>
      </c>
    </row>
    <row r="1050" spans="2:3">
      <c r="B1050">
        <v>760</v>
      </c>
      <c r="C1050">
        <v>183.04631911768729</v>
      </c>
    </row>
    <row r="1051" spans="2:3">
      <c r="B1051">
        <v>761</v>
      </c>
      <c r="C1051">
        <v>140.66436359870619</v>
      </c>
    </row>
    <row r="1052" spans="2:3">
      <c r="B1052">
        <v>762</v>
      </c>
      <c r="C1052">
        <v>150.42847678608427</v>
      </c>
    </row>
    <row r="1053" spans="2:3">
      <c r="B1053">
        <v>763</v>
      </c>
      <c r="C1053">
        <v>153.14168563628547</v>
      </c>
    </row>
    <row r="1054" spans="2:3">
      <c r="B1054">
        <v>764</v>
      </c>
      <c r="C1054">
        <v>158.00827657654321</v>
      </c>
    </row>
    <row r="1055" spans="2:3">
      <c r="B1055">
        <v>765</v>
      </c>
      <c r="C1055">
        <v>144.41656489465225</v>
      </c>
    </row>
    <row r="1056" spans="2:3">
      <c r="B1056">
        <v>766</v>
      </c>
      <c r="C1056">
        <v>147.48208868177505</v>
      </c>
    </row>
    <row r="1057" spans="2:3">
      <c r="B1057">
        <v>767</v>
      </c>
      <c r="C1057">
        <v>134.17027275457377</v>
      </c>
    </row>
    <row r="1058" spans="2:3">
      <c r="B1058">
        <v>768</v>
      </c>
      <c r="C1058">
        <v>166.0756308025739</v>
      </c>
    </row>
    <row r="1059" spans="2:3">
      <c r="B1059">
        <v>769</v>
      </c>
      <c r="C1059">
        <v>171.91652660279539</v>
      </c>
    </row>
    <row r="1060" spans="2:3">
      <c r="B1060">
        <v>770</v>
      </c>
      <c r="C1060">
        <v>123.99212152390403</v>
      </c>
    </row>
    <row r="1061" spans="2:3">
      <c r="B1061">
        <v>771</v>
      </c>
      <c r="C1061">
        <v>135.41583489579028</v>
      </c>
    </row>
    <row r="1062" spans="2:3">
      <c r="B1062">
        <v>772</v>
      </c>
      <c r="C1062">
        <v>169.27799874045931</v>
      </c>
    </row>
    <row r="1063" spans="2:3">
      <c r="B1063">
        <v>773</v>
      </c>
      <c r="C1063">
        <v>145.49615440364332</v>
      </c>
    </row>
    <row r="1064" spans="2:3">
      <c r="B1064">
        <v>774</v>
      </c>
      <c r="C1064">
        <v>164.25848921833111</v>
      </c>
    </row>
    <row r="1065" spans="2:3">
      <c r="B1065">
        <v>775</v>
      </c>
      <c r="C1065">
        <v>126.36693593902793</v>
      </c>
    </row>
    <row r="1066" spans="2:3">
      <c r="B1066">
        <v>776</v>
      </c>
      <c r="C1066">
        <v>107.2598625525589</v>
      </c>
    </row>
    <row r="1067" spans="2:3">
      <c r="B1067">
        <v>777</v>
      </c>
      <c r="C1067">
        <v>202.7110795766267</v>
      </c>
    </row>
    <row r="1068" spans="2:3">
      <c r="B1068">
        <v>778</v>
      </c>
      <c r="C1068">
        <v>147.67225302317365</v>
      </c>
    </row>
    <row r="1069" spans="2:3">
      <c r="B1069">
        <v>779</v>
      </c>
      <c r="C1069">
        <v>153.86595835644928</v>
      </c>
    </row>
    <row r="1070" spans="2:3">
      <c r="B1070">
        <v>780</v>
      </c>
      <c r="C1070">
        <v>129.0245815746554</v>
      </c>
    </row>
    <row r="1071" spans="2:3">
      <c r="B1071">
        <v>781</v>
      </c>
      <c r="C1071">
        <v>149.32036288366899</v>
      </c>
    </row>
    <row r="1072" spans="2:3">
      <c r="B1072">
        <v>782</v>
      </c>
      <c r="C1072">
        <v>166.03897549336523</v>
      </c>
    </row>
    <row r="1073" spans="2:3">
      <c r="B1073">
        <v>783</v>
      </c>
      <c r="C1073">
        <v>188.12762372448196</v>
      </c>
    </row>
    <row r="1074" spans="2:3">
      <c r="B1074">
        <v>784</v>
      </c>
      <c r="C1074">
        <v>165.39569615025579</v>
      </c>
    </row>
    <row r="1075" spans="2:3">
      <c r="B1075">
        <v>785</v>
      </c>
      <c r="C1075">
        <v>124.89696845693143</v>
      </c>
    </row>
    <row r="1076" spans="2:3">
      <c r="B1076">
        <v>786</v>
      </c>
      <c r="C1076">
        <v>140.254720163754</v>
      </c>
    </row>
    <row r="1077" spans="2:3">
      <c r="B1077">
        <v>787</v>
      </c>
      <c r="C1077">
        <v>134.95152465672501</v>
      </c>
    </row>
    <row r="1078" spans="2:3">
      <c r="B1078">
        <v>788</v>
      </c>
      <c r="C1078">
        <v>157.36807543169391</v>
      </c>
    </row>
    <row r="1079" spans="2:3">
      <c r="B1079">
        <v>789</v>
      </c>
      <c r="C1079">
        <v>178.56451713346155</v>
      </c>
    </row>
    <row r="1080" spans="2:3">
      <c r="B1080">
        <v>790</v>
      </c>
      <c r="C1080">
        <v>154.57457791748905</v>
      </c>
    </row>
    <row r="1081" spans="2:3">
      <c r="B1081">
        <v>791</v>
      </c>
      <c r="C1081">
        <v>162.0249914679988</v>
      </c>
    </row>
    <row r="1082" spans="2:3">
      <c r="B1082">
        <v>792</v>
      </c>
      <c r="C1082">
        <v>163.97390647816761</v>
      </c>
    </row>
    <row r="1083" spans="2:3">
      <c r="B1083">
        <v>793</v>
      </c>
      <c r="C1083">
        <v>185.23974058483756</v>
      </c>
    </row>
    <row r="1084" spans="2:3">
      <c r="B1084">
        <v>794</v>
      </c>
      <c r="C1084">
        <v>118.41628356406447</v>
      </c>
    </row>
    <row r="1085" spans="2:3">
      <c r="B1085">
        <v>795</v>
      </c>
      <c r="C1085">
        <v>126.83691703529118</v>
      </c>
    </row>
    <row r="1086" spans="2:3">
      <c r="B1086">
        <v>796</v>
      </c>
      <c r="C1086">
        <v>154.92107016118459</v>
      </c>
    </row>
    <row r="1087" spans="2:3">
      <c r="B1087">
        <v>797</v>
      </c>
      <c r="C1087">
        <v>146.21934253124692</v>
      </c>
    </row>
    <row r="1088" spans="2:3">
      <c r="B1088">
        <v>798</v>
      </c>
      <c r="C1088">
        <v>174.67299884081862</v>
      </c>
    </row>
    <row r="1089" spans="2:3">
      <c r="B1089">
        <v>799</v>
      </c>
      <c r="C1089">
        <v>146.89351209816564</v>
      </c>
    </row>
    <row r="1090" spans="2:3">
      <c r="B1090">
        <v>800</v>
      </c>
      <c r="C1090">
        <v>166.65771984496305</v>
      </c>
    </row>
    <row r="1091" spans="2:3">
      <c r="B1091">
        <v>801</v>
      </c>
      <c r="C1091">
        <v>169.47777624621665</v>
      </c>
    </row>
    <row r="1092" spans="2:3">
      <c r="B1092">
        <v>802</v>
      </c>
      <c r="C1092">
        <v>166.87396754563258</v>
      </c>
    </row>
    <row r="1093" spans="2:3">
      <c r="B1093">
        <v>803</v>
      </c>
      <c r="C1093">
        <v>157.88465726108191</v>
      </c>
    </row>
    <row r="1094" spans="2:3">
      <c r="B1094">
        <v>804</v>
      </c>
      <c r="C1094">
        <v>160.11302867162439</v>
      </c>
    </row>
    <row r="1095" spans="2:3">
      <c r="B1095">
        <v>805</v>
      </c>
      <c r="C1095">
        <v>184.39681127379521</v>
      </c>
    </row>
    <row r="1096" spans="2:3">
      <c r="B1096">
        <v>806</v>
      </c>
      <c r="C1096">
        <v>154.68044809744839</v>
      </c>
    </row>
    <row r="1097" spans="2:3">
      <c r="B1097">
        <v>807</v>
      </c>
      <c r="C1097">
        <v>165.2416350306332</v>
      </c>
    </row>
    <row r="1098" spans="2:3">
      <c r="B1098">
        <v>808</v>
      </c>
      <c r="C1098">
        <v>164.3196305660633</v>
      </c>
    </row>
    <row r="1099" spans="2:3">
      <c r="B1099">
        <v>809</v>
      </c>
      <c r="C1099">
        <v>149.53839204614511</v>
      </c>
    </row>
    <row r="1100" spans="2:3">
      <c r="B1100">
        <v>810</v>
      </c>
      <c r="C1100">
        <v>135.95780057332405</v>
      </c>
    </row>
    <row r="1101" spans="2:3">
      <c r="B1101">
        <v>811</v>
      </c>
      <c r="C1101">
        <v>162.75428885135344</v>
      </c>
    </row>
    <row r="1102" spans="2:3">
      <c r="B1102">
        <v>812</v>
      </c>
      <c r="C1102">
        <v>139.79854104911524</v>
      </c>
    </row>
    <row r="1103" spans="2:3">
      <c r="B1103">
        <v>813</v>
      </c>
      <c r="C1103">
        <v>135.46824390598601</v>
      </c>
    </row>
    <row r="1104" spans="2:3">
      <c r="B1104">
        <v>814</v>
      </c>
      <c r="C1104">
        <v>137.43255267979001</v>
      </c>
    </row>
    <row r="1105" spans="2:3">
      <c r="B1105">
        <v>815</v>
      </c>
      <c r="C1105">
        <v>184.39109202229793</v>
      </c>
    </row>
    <row r="1106" spans="2:3">
      <c r="B1106">
        <v>816</v>
      </c>
      <c r="C1106">
        <v>172.15817337489796</v>
      </c>
    </row>
    <row r="1107" spans="2:3">
      <c r="B1107">
        <v>817</v>
      </c>
      <c r="C1107">
        <v>150.4788559857092</v>
      </c>
    </row>
    <row r="1108" spans="2:3">
      <c r="B1108">
        <v>818</v>
      </c>
      <c r="C1108">
        <v>138.12917366032187</v>
      </c>
    </row>
    <row r="1109" spans="2:3">
      <c r="B1109">
        <v>819</v>
      </c>
      <c r="C1109">
        <v>190.37825649621558</v>
      </c>
    </row>
    <row r="1110" spans="2:3">
      <c r="B1110">
        <v>820</v>
      </c>
      <c r="C1110">
        <v>154.17155466373572</v>
      </c>
    </row>
    <row r="1111" spans="2:3">
      <c r="B1111">
        <v>821</v>
      </c>
      <c r="C1111">
        <v>163.49818996582943</v>
      </c>
    </row>
    <row r="1112" spans="2:3">
      <c r="B1112">
        <v>822</v>
      </c>
      <c r="C1112">
        <v>142.40131863845278</v>
      </c>
    </row>
    <row r="1113" spans="2:3">
      <c r="B1113">
        <v>823</v>
      </c>
      <c r="C1113">
        <v>148.4674864228397</v>
      </c>
    </row>
    <row r="1114" spans="2:3">
      <c r="B1114">
        <v>824</v>
      </c>
      <c r="C1114">
        <v>160.24442964528188</v>
      </c>
    </row>
    <row r="1115" spans="2:3">
      <c r="B1115">
        <v>825</v>
      </c>
      <c r="C1115">
        <v>136.62297546402269</v>
      </c>
    </row>
    <row r="1116" spans="2:3">
      <c r="B1116">
        <v>826</v>
      </c>
      <c r="C1116">
        <v>181.84455083734198</v>
      </c>
    </row>
    <row r="1117" spans="2:3">
      <c r="B1117">
        <v>827</v>
      </c>
      <c r="C1117">
        <v>158.28986017455779</v>
      </c>
    </row>
    <row r="1118" spans="2:3">
      <c r="B1118">
        <v>828</v>
      </c>
      <c r="C1118">
        <v>122.65300375842506</v>
      </c>
    </row>
    <row r="1119" spans="2:3">
      <c r="B1119">
        <v>829</v>
      </c>
      <c r="C1119">
        <v>170.44834862963009</v>
      </c>
    </row>
    <row r="1120" spans="2:3">
      <c r="B1120">
        <v>830</v>
      </c>
      <c r="C1120">
        <v>124.80797615698117</v>
      </c>
    </row>
    <row r="1121" spans="2:3">
      <c r="B1121">
        <v>831</v>
      </c>
      <c r="C1121">
        <v>167.54087966695744</v>
      </c>
    </row>
    <row r="1122" spans="2:3">
      <c r="B1122">
        <v>832</v>
      </c>
      <c r="C1122">
        <v>177.9133055433966</v>
      </c>
    </row>
    <row r="1123" spans="2:3">
      <c r="B1123">
        <v>833</v>
      </c>
      <c r="C1123">
        <v>156.60418982597346</v>
      </c>
    </row>
    <row r="1124" spans="2:3">
      <c r="B1124">
        <v>834</v>
      </c>
      <c r="C1124">
        <v>142.94430464039206</v>
      </c>
    </row>
    <row r="1125" spans="2:3">
      <c r="B1125">
        <v>835</v>
      </c>
      <c r="C1125">
        <v>156.29227530655177</v>
      </c>
    </row>
    <row r="1126" spans="2:3">
      <c r="B1126">
        <v>836</v>
      </c>
      <c r="C1126">
        <v>115.44109250752815</v>
      </c>
    </row>
    <row r="1127" spans="2:3">
      <c r="B1127">
        <v>837</v>
      </c>
      <c r="C1127">
        <v>174.02340380465353</v>
      </c>
    </row>
    <row r="1128" spans="2:3">
      <c r="B1128">
        <v>838</v>
      </c>
      <c r="C1128">
        <v>201.30810588502689</v>
      </c>
    </row>
    <row r="1129" spans="2:3">
      <c r="B1129">
        <v>839</v>
      </c>
      <c r="C1129">
        <v>195.54997148793365</v>
      </c>
    </row>
    <row r="1130" spans="2:3">
      <c r="B1130">
        <v>840</v>
      </c>
      <c r="C1130">
        <v>142.60810471149415</v>
      </c>
    </row>
    <row r="1131" spans="2:3">
      <c r="B1131">
        <v>841</v>
      </c>
      <c r="C1131">
        <v>141.70454567264588</v>
      </c>
    </row>
    <row r="1132" spans="2:3">
      <c r="B1132">
        <v>842</v>
      </c>
      <c r="C1132">
        <v>111.36962929759345</v>
      </c>
    </row>
    <row r="1133" spans="2:3">
      <c r="B1133">
        <v>843</v>
      </c>
      <c r="C1133">
        <v>117.99073365581209</v>
      </c>
    </row>
    <row r="1134" spans="2:3">
      <c r="B1134">
        <v>844</v>
      </c>
      <c r="C1134">
        <v>161.11208385596819</v>
      </c>
    </row>
    <row r="1135" spans="2:3">
      <c r="B1135">
        <v>845</v>
      </c>
      <c r="C1135">
        <v>131.03914395624761</v>
      </c>
    </row>
    <row r="1136" spans="2:3">
      <c r="B1136">
        <v>846</v>
      </c>
      <c r="C1136">
        <v>134.63958858656954</v>
      </c>
    </row>
    <row r="1137" spans="2:3">
      <c r="B1137">
        <v>847</v>
      </c>
      <c r="C1137">
        <v>127.88595819078132</v>
      </c>
    </row>
    <row r="1138" spans="2:3">
      <c r="B1138">
        <v>848</v>
      </c>
      <c r="C1138">
        <v>158.10024465771522</v>
      </c>
    </row>
    <row r="1139" spans="2:3">
      <c r="B1139">
        <v>849</v>
      </c>
      <c r="C1139">
        <v>146.47567937512287</v>
      </c>
    </row>
    <row r="1140" spans="2:3">
      <c r="B1140">
        <v>850</v>
      </c>
      <c r="C1140">
        <v>150.02537846113026</v>
      </c>
    </row>
    <row r="1141" spans="2:3">
      <c r="B1141">
        <v>851</v>
      </c>
      <c r="C1141">
        <v>154.9510851697473</v>
      </c>
    </row>
    <row r="1142" spans="2:3">
      <c r="B1142">
        <v>852</v>
      </c>
      <c r="C1142">
        <v>191.6384815804937</v>
      </c>
    </row>
    <row r="1143" spans="2:3">
      <c r="B1143">
        <v>853</v>
      </c>
      <c r="C1143">
        <v>147.00274745966547</v>
      </c>
    </row>
    <row r="1144" spans="2:3">
      <c r="B1144">
        <v>854</v>
      </c>
      <c r="C1144">
        <v>176.68361252679205</v>
      </c>
    </row>
    <row r="1145" spans="2:3">
      <c r="B1145">
        <v>855</v>
      </c>
      <c r="C1145">
        <v>120.76300466123067</v>
      </c>
    </row>
    <row r="1146" spans="2:3">
      <c r="B1146">
        <v>856</v>
      </c>
      <c r="C1146">
        <v>127.03221665217475</v>
      </c>
    </row>
    <row r="1147" spans="2:3">
      <c r="B1147">
        <v>857</v>
      </c>
      <c r="C1147">
        <v>131.37794590710931</v>
      </c>
    </row>
    <row r="1148" spans="2:3">
      <c r="B1148">
        <v>858</v>
      </c>
      <c r="C1148">
        <v>152.75269011714343</v>
      </c>
    </row>
    <row r="1149" spans="2:3">
      <c r="B1149">
        <v>859</v>
      </c>
      <c r="C1149">
        <v>136.418935981581</v>
      </c>
    </row>
    <row r="1150" spans="2:3">
      <c r="B1150">
        <v>860</v>
      </c>
      <c r="C1150">
        <v>168.81831280885439</v>
      </c>
    </row>
    <row r="1151" spans="2:3">
      <c r="B1151">
        <v>861</v>
      </c>
      <c r="C1151">
        <v>144.17671927419985</v>
      </c>
    </row>
    <row r="1152" spans="2:3">
      <c r="B1152">
        <v>862</v>
      </c>
      <c r="C1152">
        <v>143.41105737293259</v>
      </c>
    </row>
    <row r="1153" spans="2:3">
      <c r="B1153">
        <v>863</v>
      </c>
      <c r="C1153">
        <v>167.13446963465918</v>
      </c>
    </row>
    <row r="1154" spans="2:3">
      <c r="B1154">
        <v>864</v>
      </c>
      <c r="C1154">
        <v>141.23383841422825</v>
      </c>
    </row>
    <row r="1155" spans="2:3">
      <c r="B1155">
        <v>865</v>
      </c>
      <c r="C1155">
        <v>157.84724122490979</v>
      </c>
    </row>
    <row r="1156" spans="2:3">
      <c r="B1156">
        <v>866</v>
      </c>
      <c r="C1156">
        <v>133.62865985114146</v>
      </c>
    </row>
    <row r="1157" spans="2:3">
      <c r="B1157">
        <v>867</v>
      </c>
      <c r="C1157">
        <v>143.55596599815107</v>
      </c>
    </row>
    <row r="1158" spans="2:3">
      <c r="B1158">
        <v>868</v>
      </c>
      <c r="C1158">
        <v>118.27474845381136</v>
      </c>
    </row>
    <row r="1159" spans="2:3">
      <c r="B1159">
        <v>869</v>
      </c>
      <c r="C1159">
        <v>139.46998407356293</v>
      </c>
    </row>
    <row r="1160" spans="2:3">
      <c r="B1160">
        <v>870</v>
      </c>
      <c r="C1160">
        <v>154.65774652774076</v>
      </c>
    </row>
    <row r="1161" spans="2:3">
      <c r="B1161">
        <v>871</v>
      </c>
      <c r="C1161">
        <v>161.21739260328854</v>
      </c>
    </row>
    <row r="1162" spans="2:3">
      <c r="B1162">
        <v>872</v>
      </c>
      <c r="C1162">
        <v>151.92220848952891</v>
      </c>
    </row>
    <row r="1163" spans="2:3">
      <c r="B1163">
        <v>873</v>
      </c>
      <c r="C1163">
        <v>165.9253859084445</v>
      </c>
    </row>
    <row r="1164" spans="2:3">
      <c r="B1164">
        <v>874</v>
      </c>
      <c r="C1164">
        <v>160.98729377844475</v>
      </c>
    </row>
    <row r="1165" spans="2:3">
      <c r="B1165">
        <v>875</v>
      </c>
      <c r="C1165">
        <v>178.71235114903106</v>
      </c>
    </row>
    <row r="1166" spans="2:3">
      <c r="B1166">
        <v>876</v>
      </c>
      <c r="C1166">
        <v>179.64418635743749</v>
      </c>
    </row>
    <row r="1167" spans="2:3">
      <c r="B1167">
        <v>877</v>
      </c>
      <c r="C1167">
        <v>163.86961404860551</v>
      </c>
    </row>
    <row r="1168" spans="2:3">
      <c r="B1168">
        <v>878</v>
      </c>
      <c r="C1168">
        <v>153.73298657043523</v>
      </c>
    </row>
    <row r="1169" spans="2:3">
      <c r="B1169">
        <v>879</v>
      </c>
      <c r="C1169">
        <v>157.76799129639446</v>
      </c>
    </row>
    <row r="1170" spans="2:3">
      <c r="B1170">
        <v>880</v>
      </c>
      <c r="C1170">
        <v>167.68886177270767</v>
      </c>
    </row>
    <row r="1171" spans="2:3">
      <c r="B1171">
        <v>881</v>
      </c>
      <c r="C1171">
        <v>151.59470283309909</v>
      </c>
    </row>
    <row r="1172" spans="2:3">
      <c r="B1172">
        <v>882</v>
      </c>
      <c r="C1172">
        <v>151.02209425707233</v>
      </c>
    </row>
    <row r="1173" spans="2:3">
      <c r="B1173">
        <v>883</v>
      </c>
      <c r="C1173">
        <v>186.87191613668389</v>
      </c>
    </row>
    <row r="1174" spans="2:3">
      <c r="B1174">
        <v>884</v>
      </c>
      <c r="C1174">
        <v>132.73261498951925</v>
      </c>
    </row>
    <row r="1175" spans="2:3">
      <c r="B1175">
        <v>885</v>
      </c>
      <c r="C1175">
        <v>147.96469097542743</v>
      </c>
    </row>
    <row r="1176" spans="2:3">
      <c r="B1176">
        <v>886</v>
      </c>
      <c r="C1176">
        <v>133.99996029402138</v>
      </c>
    </row>
    <row r="1177" spans="2:3">
      <c r="B1177">
        <v>887</v>
      </c>
      <c r="C1177">
        <v>174.70611260518825</v>
      </c>
    </row>
    <row r="1178" spans="2:3">
      <c r="B1178">
        <v>888</v>
      </c>
      <c r="C1178">
        <v>144.1722295577585</v>
      </c>
    </row>
    <row r="1179" spans="2:3">
      <c r="B1179">
        <v>889</v>
      </c>
      <c r="C1179">
        <v>175.09802687565701</v>
      </c>
    </row>
    <row r="1180" spans="2:3">
      <c r="B1180">
        <v>890</v>
      </c>
      <c r="C1180">
        <v>154.38380428000937</v>
      </c>
    </row>
    <row r="1181" spans="2:3">
      <c r="B1181">
        <v>891</v>
      </c>
      <c r="C1181">
        <v>114.96520320900632</v>
      </c>
    </row>
    <row r="1182" spans="2:3">
      <c r="B1182">
        <v>892</v>
      </c>
      <c r="C1182">
        <v>171.47300460531551</v>
      </c>
    </row>
    <row r="1183" spans="2:3">
      <c r="B1183">
        <v>893</v>
      </c>
      <c r="C1183">
        <v>153.46372773855796</v>
      </c>
    </row>
    <row r="1184" spans="2:3">
      <c r="B1184">
        <v>894</v>
      </c>
      <c r="C1184">
        <v>170.47092822295375</v>
      </c>
    </row>
    <row r="1185" spans="2:3">
      <c r="B1185">
        <v>895</v>
      </c>
      <c r="C1185">
        <v>129.99437392692954</v>
      </c>
    </row>
    <row r="1186" spans="2:3">
      <c r="B1186">
        <v>896</v>
      </c>
      <c r="C1186">
        <v>147.1183961982527</v>
      </c>
    </row>
    <row r="1187" spans="2:3">
      <c r="B1187">
        <v>897</v>
      </c>
      <c r="C1187">
        <v>149.54067871946094</v>
      </c>
    </row>
    <row r="1188" spans="2:3">
      <c r="B1188">
        <v>898</v>
      </c>
      <c r="C1188">
        <v>171.08177025332813</v>
      </c>
    </row>
    <row r="1189" spans="2:3">
      <c r="B1189">
        <v>899</v>
      </c>
      <c r="C1189">
        <v>144.94866239402367</v>
      </c>
    </row>
    <row r="1190" spans="2:3">
      <c r="B1190">
        <v>900</v>
      </c>
      <c r="C1190">
        <v>145.94299676823402</v>
      </c>
    </row>
    <row r="1191" spans="2:3">
      <c r="B1191">
        <v>901</v>
      </c>
      <c r="C1191">
        <v>170.68920276918922</v>
      </c>
    </row>
    <row r="1192" spans="2:3">
      <c r="B1192">
        <v>902</v>
      </c>
      <c r="C1192">
        <v>169.54587664984427</v>
      </c>
    </row>
    <row r="1193" spans="2:3">
      <c r="B1193">
        <v>903</v>
      </c>
      <c r="C1193">
        <v>128.18796868086665</v>
      </c>
    </row>
    <row r="1194" spans="2:3">
      <c r="B1194">
        <v>904</v>
      </c>
      <c r="C1194">
        <v>169.81025473639002</v>
      </c>
    </row>
    <row r="1195" spans="2:3">
      <c r="B1195">
        <v>905</v>
      </c>
      <c r="C1195">
        <v>159.86390231492587</v>
      </c>
    </row>
    <row r="1196" spans="2:3">
      <c r="B1196">
        <v>906</v>
      </c>
      <c r="C1196">
        <v>186.84637034449548</v>
      </c>
    </row>
    <row r="1197" spans="2:3">
      <c r="B1197">
        <v>907</v>
      </c>
      <c r="C1197">
        <v>168.04939449512466</v>
      </c>
    </row>
    <row r="1198" spans="2:3">
      <c r="B1198">
        <v>908</v>
      </c>
      <c r="C1198">
        <v>144.77357076386332</v>
      </c>
    </row>
    <row r="1199" spans="2:3">
      <c r="B1199">
        <v>909</v>
      </c>
      <c r="C1199">
        <v>152.85377284152048</v>
      </c>
    </row>
    <row r="1200" spans="2:3">
      <c r="B1200">
        <v>910</v>
      </c>
      <c r="C1200">
        <v>194.70232378575358</v>
      </c>
    </row>
    <row r="1201" spans="2:3">
      <c r="B1201">
        <v>911</v>
      </c>
      <c r="C1201">
        <v>142.0556569854572</v>
      </c>
    </row>
    <row r="1202" spans="2:3">
      <c r="B1202">
        <v>912</v>
      </c>
      <c r="C1202">
        <v>188.12125349295968</v>
      </c>
    </row>
    <row r="1203" spans="2:3">
      <c r="B1203">
        <v>913</v>
      </c>
      <c r="C1203">
        <v>105.73158500315469</v>
      </c>
    </row>
    <row r="1204" spans="2:3">
      <c r="B1204">
        <v>914</v>
      </c>
      <c r="C1204">
        <v>131.22783372501135</v>
      </c>
    </row>
    <row r="1205" spans="2:3">
      <c r="B1205">
        <v>915</v>
      </c>
      <c r="C1205">
        <v>153.67514491132181</v>
      </c>
    </row>
    <row r="1206" spans="2:3">
      <c r="B1206">
        <v>916</v>
      </c>
      <c r="C1206">
        <v>159.54673959940598</v>
      </c>
    </row>
    <row r="1207" spans="2:3">
      <c r="B1207">
        <v>917</v>
      </c>
      <c r="C1207">
        <v>141.37705075677914</v>
      </c>
    </row>
    <row r="1208" spans="2:3">
      <c r="B1208">
        <v>918</v>
      </c>
      <c r="C1208">
        <v>135.7143272865994</v>
      </c>
    </row>
    <row r="1209" spans="2:3">
      <c r="B1209">
        <v>919</v>
      </c>
      <c r="C1209">
        <v>136.11317360798668</v>
      </c>
    </row>
    <row r="1210" spans="2:3">
      <c r="B1210">
        <v>920</v>
      </c>
      <c r="C1210">
        <v>141.7536278261816</v>
      </c>
    </row>
    <row r="1211" spans="2:3">
      <c r="B1211">
        <v>921</v>
      </c>
      <c r="C1211">
        <v>148.92574131847348</v>
      </c>
    </row>
    <row r="1212" spans="2:3">
      <c r="B1212">
        <v>922</v>
      </c>
      <c r="C1212">
        <v>174.6745727069588</v>
      </c>
    </row>
    <row r="1213" spans="2:3">
      <c r="B1213">
        <v>923</v>
      </c>
      <c r="C1213">
        <v>177.6948942569243</v>
      </c>
    </row>
    <row r="1214" spans="2:3">
      <c r="B1214">
        <v>924</v>
      </c>
      <c r="C1214">
        <v>163.95362775367576</v>
      </c>
    </row>
    <row r="1215" spans="2:3">
      <c r="B1215">
        <v>925</v>
      </c>
      <c r="C1215">
        <v>132.91118945501785</v>
      </c>
    </row>
    <row r="1216" spans="2:3">
      <c r="B1216">
        <v>926</v>
      </c>
      <c r="C1216">
        <v>125.89132779482689</v>
      </c>
    </row>
    <row r="1217" spans="2:3">
      <c r="B1217">
        <v>927</v>
      </c>
      <c r="C1217">
        <v>128.97950887630012</v>
      </c>
    </row>
    <row r="1218" spans="2:3">
      <c r="B1218">
        <v>928</v>
      </c>
      <c r="C1218">
        <v>189.25698154206214</v>
      </c>
    </row>
    <row r="1219" spans="2:3">
      <c r="B1219">
        <v>929</v>
      </c>
      <c r="C1219">
        <v>165.07932681705452</v>
      </c>
    </row>
    <row r="1220" spans="2:3">
      <c r="B1220">
        <v>930</v>
      </c>
      <c r="C1220">
        <v>142.09339833542325</v>
      </c>
    </row>
    <row r="1221" spans="2:3">
      <c r="B1221">
        <v>931</v>
      </c>
      <c r="C1221">
        <v>141.62905449690166</v>
      </c>
    </row>
    <row r="1222" spans="2:3">
      <c r="B1222">
        <v>932</v>
      </c>
      <c r="C1222">
        <v>138.017933693526</v>
      </c>
    </row>
    <row r="1223" spans="2:3">
      <c r="B1223">
        <v>933</v>
      </c>
      <c r="C1223">
        <v>206.22043305371378</v>
      </c>
    </row>
    <row r="1224" spans="2:3">
      <c r="B1224">
        <v>934</v>
      </c>
      <c r="C1224">
        <v>155.54598412418216</v>
      </c>
    </row>
    <row r="1225" spans="2:3">
      <c r="B1225">
        <v>935</v>
      </c>
      <c r="C1225">
        <v>150.8569170724295</v>
      </c>
    </row>
    <row r="1226" spans="2:3">
      <c r="B1226">
        <v>936</v>
      </c>
      <c r="C1226">
        <v>159.77556627404806</v>
      </c>
    </row>
    <row r="1227" spans="2:3">
      <c r="B1227">
        <v>937</v>
      </c>
      <c r="C1227">
        <v>156.76403221941956</v>
      </c>
    </row>
    <row r="1228" spans="2:3">
      <c r="B1228">
        <v>938</v>
      </c>
      <c r="C1228">
        <v>161.36001544200133</v>
      </c>
    </row>
    <row r="1229" spans="2:3">
      <c r="B1229">
        <v>939</v>
      </c>
      <c r="C1229">
        <v>144.6429868932012</v>
      </c>
    </row>
    <row r="1230" spans="2:3">
      <c r="B1230">
        <v>940</v>
      </c>
      <c r="C1230">
        <v>153.1022416624173</v>
      </c>
    </row>
    <row r="1231" spans="2:3">
      <c r="B1231">
        <v>941</v>
      </c>
      <c r="C1231">
        <v>153.58470646823105</v>
      </c>
    </row>
    <row r="1232" spans="2:3">
      <c r="B1232">
        <v>942</v>
      </c>
      <c r="C1232">
        <v>145.76403326750844</v>
      </c>
    </row>
    <row r="1233" spans="2:3">
      <c r="B1233">
        <v>943</v>
      </c>
      <c r="C1233">
        <v>150.36330071007964</v>
      </c>
    </row>
    <row r="1234" spans="2:3">
      <c r="B1234">
        <v>944</v>
      </c>
      <c r="C1234">
        <v>177.88363680835374</v>
      </c>
    </row>
    <row r="1235" spans="2:3">
      <c r="B1235">
        <v>945</v>
      </c>
      <c r="C1235">
        <v>127.46337744506702</v>
      </c>
    </row>
    <row r="1236" spans="2:3">
      <c r="B1236">
        <v>946</v>
      </c>
      <c r="C1236">
        <v>164.92327604339062</v>
      </c>
    </row>
    <row r="1237" spans="2:3">
      <c r="B1237">
        <v>947</v>
      </c>
      <c r="C1237">
        <v>142.19351373087167</v>
      </c>
    </row>
    <row r="1238" spans="2:3">
      <c r="B1238">
        <v>948</v>
      </c>
      <c r="C1238">
        <v>186.21858634051645</v>
      </c>
    </row>
    <row r="1239" spans="2:3">
      <c r="B1239">
        <v>949</v>
      </c>
      <c r="C1239">
        <v>155.61354865863328</v>
      </c>
    </row>
    <row r="1240" spans="2:3">
      <c r="B1240">
        <v>950</v>
      </c>
      <c r="C1240">
        <v>123.84449396771772</v>
      </c>
    </row>
    <row r="1241" spans="2:3">
      <c r="B1241">
        <v>951</v>
      </c>
      <c r="C1241">
        <v>140.93845257537839</v>
      </c>
    </row>
    <row r="1242" spans="2:3">
      <c r="B1242">
        <v>952</v>
      </c>
      <c r="C1242">
        <v>146.99889003297321</v>
      </c>
    </row>
    <row r="1243" spans="2:3">
      <c r="B1243">
        <v>953</v>
      </c>
      <c r="C1243">
        <v>187.9522978076794</v>
      </c>
    </row>
    <row r="1244" spans="2:3">
      <c r="B1244">
        <v>954</v>
      </c>
      <c r="C1244">
        <v>131.26090265688003</v>
      </c>
    </row>
    <row r="1245" spans="2:3">
      <c r="B1245">
        <v>955</v>
      </c>
      <c r="C1245">
        <v>173.52335682133119</v>
      </c>
    </row>
    <row r="1246" spans="2:3">
      <c r="B1246">
        <v>956</v>
      </c>
      <c r="C1246">
        <v>136.93404519805401</v>
      </c>
    </row>
    <row r="1247" spans="2:3">
      <c r="B1247">
        <v>957</v>
      </c>
      <c r="C1247">
        <v>155.95163386266262</v>
      </c>
    </row>
    <row r="1248" spans="2:3">
      <c r="B1248">
        <v>958</v>
      </c>
      <c r="C1248">
        <v>150.54198606493134</v>
      </c>
    </row>
    <row r="1249" spans="2:3">
      <c r="B1249">
        <v>959</v>
      </c>
      <c r="C1249">
        <v>165.7828802829107</v>
      </c>
    </row>
    <row r="1250" spans="2:3">
      <c r="B1250">
        <v>960</v>
      </c>
      <c r="C1250">
        <v>143.8956932258078</v>
      </c>
    </row>
    <row r="1251" spans="2:3">
      <c r="B1251">
        <v>961</v>
      </c>
      <c r="C1251">
        <v>173.78905076097595</v>
      </c>
    </row>
    <row r="1252" spans="2:3">
      <c r="B1252">
        <v>962</v>
      </c>
      <c r="C1252">
        <v>152.57615466948542</v>
      </c>
    </row>
    <row r="1253" spans="2:3">
      <c r="B1253">
        <v>963</v>
      </c>
      <c r="C1253">
        <v>176.72679349060908</v>
      </c>
    </row>
    <row r="1254" spans="2:3">
      <c r="B1254">
        <v>964</v>
      </c>
      <c r="C1254">
        <v>141.9023087756263</v>
      </c>
    </row>
    <row r="1255" spans="2:3">
      <c r="B1255">
        <v>965</v>
      </c>
      <c r="C1255">
        <v>169.13700316208997</v>
      </c>
    </row>
    <row r="1256" spans="2:3">
      <c r="B1256">
        <v>966</v>
      </c>
      <c r="C1256">
        <v>127.8379122015384</v>
      </c>
    </row>
    <row r="1257" spans="2:3">
      <c r="B1257">
        <v>967</v>
      </c>
      <c r="C1257">
        <v>149.98755350031234</v>
      </c>
    </row>
    <row r="1258" spans="2:3">
      <c r="B1258">
        <v>968</v>
      </c>
      <c r="C1258">
        <v>150.85327438575038</v>
      </c>
    </row>
    <row r="1259" spans="2:3">
      <c r="B1259">
        <v>969</v>
      </c>
      <c r="C1259">
        <v>150.9978651016352</v>
      </c>
    </row>
    <row r="1260" spans="2:3">
      <c r="B1260">
        <v>970</v>
      </c>
      <c r="C1260">
        <v>158.79151871389419</v>
      </c>
    </row>
    <row r="1261" spans="2:3">
      <c r="B1261">
        <v>971</v>
      </c>
      <c r="C1261">
        <v>156.34718916857798</v>
      </c>
    </row>
    <row r="1262" spans="2:3">
      <c r="B1262">
        <v>972</v>
      </c>
      <c r="C1262">
        <v>153.8320146720144</v>
      </c>
    </row>
    <row r="1263" spans="2:3">
      <c r="B1263">
        <v>973</v>
      </c>
      <c r="C1263">
        <v>209.86243850638056</v>
      </c>
    </row>
    <row r="1264" spans="2:3">
      <c r="B1264">
        <v>974</v>
      </c>
      <c r="C1264">
        <v>151.05098839689762</v>
      </c>
    </row>
    <row r="1265" spans="2:3">
      <c r="B1265">
        <v>975</v>
      </c>
      <c r="C1265">
        <v>166.70861717036675</v>
      </c>
    </row>
    <row r="1266" spans="2:3">
      <c r="B1266">
        <v>976</v>
      </c>
      <c r="C1266">
        <v>152.08893416977958</v>
      </c>
    </row>
    <row r="1267" spans="2:3">
      <c r="B1267">
        <v>977</v>
      </c>
      <c r="C1267">
        <v>160.46719100254759</v>
      </c>
    </row>
    <row r="1268" spans="2:3">
      <c r="B1268">
        <v>978</v>
      </c>
      <c r="C1268">
        <v>141.74083197046434</v>
      </c>
    </row>
    <row r="1269" spans="2:3">
      <c r="B1269">
        <v>979</v>
      </c>
      <c r="C1269">
        <v>108.74285322845435</v>
      </c>
    </row>
    <row r="1270" spans="2:3">
      <c r="B1270">
        <v>980</v>
      </c>
      <c r="C1270">
        <v>179.98373795167191</v>
      </c>
    </row>
    <row r="1271" spans="2:3">
      <c r="B1271">
        <v>981</v>
      </c>
      <c r="C1271">
        <v>160.41714258274999</v>
      </c>
    </row>
    <row r="1272" spans="2:3">
      <c r="B1272">
        <v>982</v>
      </c>
      <c r="C1272">
        <v>150.53635084494243</v>
      </c>
    </row>
    <row r="1273" spans="2:3">
      <c r="B1273">
        <v>983</v>
      </c>
      <c r="C1273">
        <v>157.62120921090781</v>
      </c>
    </row>
    <row r="1274" spans="2:3">
      <c r="B1274">
        <v>984</v>
      </c>
      <c r="C1274">
        <v>132.26955741805597</v>
      </c>
    </row>
    <row r="1275" spans="2:3">
      <c r="B1275">
        <v>985</v>
      </c>
      <c r="C1275">
        <v>162.64538715657906</v>
      </c>
    </row>
    <row r="1276" spans="2:3">
      <c r="B1276">
        <v>986</v>
      </c>
      <c r="C1276">
        <v>167.09771428155651</v>
      </c>
    </row>
    <row r="1277" spans="2:3">
      <c r="B1277">
        <v>987</v>
      </c>
      <c r="C1277">
        <v>121.24015080084423</v>
      </c>
    </row>
    <row r="1278" spans="2:3">
      <c r="B1278">
        <v>988</v>
      </c>
      <c r="C1278">
        <v>146.47171883953055</v>
      </c>
    </row>
    <row r="1279" spans="2:3">
      <c r="B1279">
        <v>989</v>
      </c>
      <c r="C1279">
        <v>128.22935269989981</v>
      </c>
    </row>
    <row r="1280" spans="2:3">
      <c r="B1280">
        <v>990</v>
      </c>
      <c r="C1280">
        <v>140.08686119933898</v>
      </c>
    </row>
    <row r="1281" spans="2:3">
      <c r="B1281">
        <v>991</v>
      </c>
      <c r="C1281">
        <v>143.3407736761946</v>
      </c>
    </row>
    <row r="1282" spans="2:3">
      <c r="B1282">
        <v>992</v>
      </c>
      <c r="C1282">
        <v>129.54225817667893</v>
      </c>
    </row>
    <row r="1283" spans="2:3">
      <c r="B1283">
        <v>993</v>
      </c>
      <c r="C1283">
        <v>149.71098274808878</v>
      </c>
    </row>
    <row r="1284" spans="2:3">
      <c r="B1284">
        <v>994</v>
      </c>
      <c r="C1284">
        <v>150.81708826367293</v>
      </c>
    </row>
    <row r="1285" spans="2:3">
      <c r="B1285">
        <v>995</v>
      </c>
      <c r="C1285">
        <v>169.65622170192626</v>
      </c>
    </row>
    <row r="1286" spans="2:3">
      <c r="B1286">
        <v>996</v>
      </c>
      <c r="C1286">
        <v>137.31073752904373</v>
      </c>
    </row>
    <row r="1287" spans="2:3">
      <c r="B1287">
        <v>997</v>
      </c>
      <c r="C1287">
        <v>142.27544934580624</v>
      </c>
    </row>
    <row r="1288" spans="2:3">
      <c r="B1288">
        <v>998</v>
      </c>
      <c r="C1288">
        <v>148.23471771961343</v>
      </c>
    </row>
    <row r="1289" spans="2:3">
      <c r="B1289">
        <v>999</v>
      </c>
      <c r="C1289">
        <v>203.44648266509842</v>
      </c>
    </row>
    <row r="1290" spans="2:3">
      <c r="B1290">
        <v>1000</v>
      </c>
      <c r="C1290">
        <v>120.83426594390336</v>
      </c>
    </row>
  </sheetData>
  <mergeCells count="4">
    <mergeCell ref="I290:J290"/>
    <mergeCell ref="L290:M290"/>
    <mergeCell ref="I300:J300"/>
    <mergeCell ref="F271:M285"/>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5D6B2-088C-F647-A44C-F57E1ECC66C4}">
  <dimension ref="A1:P74"/>
  <sheetViews>
    <sheetView topLeftCell="J1" zoomScale="92" workbookViewId="0">
      <selection activeCell="O12" sqref="O12"/>
    </sheetView>
  </sheetViews>
  <sheetFormatPr defaultColWidth="11" defaultRowHeight="15.75"/>
  <cols>
    <col min="13" max="13" width="11.75" bestFit="1" customWidth="1"/>
    <col min="14" max="14" width="28" bestFit="1" customWidth="1"/>
  </cols>
  <sheetData>
    <row r="1" spans="1:15" ht="21">
      <c r="A1" s="13" t="s">
        <v>2</v>
      </c>
      <c r="I1" s="25" t="s">
        <v>63</v>
      </c>
      <c r="J1" s="25"/>
      <c r="K1" s="25"/>
      <c r="L1" s="25"/>
      <c r="M1" s="25"/>
    </row>
    <row r="2" spans="1:15" ht="47.25">
      <c r="A2" s="9" t="s">
        <v>6</v>
      </c>
      <c r="B2" s="9" t="s">
        <v>5</v>
      </c>
      <c r="C2" s="9" t="s">
        <v>4</v>
      </c>
      <c r="D2" s="9" t="s">
        <v>3</v>
      </c>
      <c r="E2" s="9" t="s">
        <v>46</v>
      </c>
      <c r="F2" s="9" t="s">
        <v>47</v>
      </c>
      <c r="G2" s="9" t="s">
        <v>48</v>
      </c>
      <c r="H2" s="9" t="s">
        <v>49</v>
      </c>
      <c r="I2" s="9" t="s">
        <v>55</v>
      </c>
      <c r="J2" s="9" t="s">
        <v>64</v>
      </c>
      <c r="K2" s="29" t="s">
        <v>56</v>
      </c>
      <c r="L2" s="28" t="s">
        <v>61</v>
      </c>
      <c r="M2" s="28" t="s">
        <v>62</v>
      </c>
    </row>
    <row r="3" spans="1:15">
      <c r="A3">
        <v>1</v>
      </c>
      <c r="B3">
        <v>2015</v>
      </c>
      <c r="C3">
        <v>1</v>
      </c>
      <c r="D3">
        <v>16198</v>
      </c>
      <c r="G3">
        <f>D3/$O$3</f>
        <v>1.0246278412685026</v>
      </c>
      <c r="N3" t="s">
        <v>50</v>
      </c>
      <c r="O3">
        <f>AVERAGE(D3:D5)</f>
        <v>15808.666666666666</v>
      </c>
    </row>
    <row r="4" spans="1:15">
      <c r="A4">
        <v>2</v>
      </c>
      <c r="B4">
        <v>2015</v>
      </c>
      <c r="C4">
        <v>2</v>
      </c>
      <c r="D4">
        <v>15060</v>
      </c>
      <c r="G4">
        <f>D4/$O$3</f>
        <v>0.95264201071142418</v>
      </c>
      <c r="N4" t="s">
        <v>51</v>
      </c>
      <c r="O4">
        <v>5.9554372572121206E-2</v>
      </c>
    </row>
    <row r="5" spans="1:15">
      <c r="A5">
        <v>3</v>
      </c>
      <c r="B5">
        <v>2015</v>
      </c>
      <c r="C5">
        <v>3</v>
      </c>
      <c r="D5">
        <v>16168</v>
      </c>
      <c r="E5">
        <v>15809</v>
      </c>
      <c r="F5">
        <v>2</v>
      </c>
      <c r="G5">
        <f>D5/$O$3</f>
        <v>1.0227301480200734</v>
      </c>
      <c r="N5" t="s">
        <v>52</v>
      </c>
      <c r="O5">
        <v>9.3870415338868196E-2</v>
      </c>
    </row>
    <row r="6" spans="1:15">
      <c r="A6">
        <v>4</v>
      </c>
      <c r="B6">
        <v>2015</v>
      </c>
      <c r="C6">
        <v>4</v>
      </c>
      <c r="D6">
        <v>16376</v>
      </c>
      <c r="E6">
        <f>$O$4*(D6/G3)+(1-$O$4)*(E5+F5)</f>
        <v>15821.206921385628</v>
      </c>
      <c r="F6">
        <f>$O$5*(E6-E5)+(1-$O$5)*F5</f>
        <v>2.9581279498001187</v>
      </c>
      <c r="G6">
        <f>$O$6*(D6/E6)+(1-$O$6)*G3</f>
        <v>1.025951152651734</v>
      </c>
      <c r="H6">
        <f>(E5+1*F5)*G3</f>
        <v>16200.390798296294</v>
      </c>
      <c r="I6">
        <f>D6-H6</f>
        <v>175.60920170370628</v>
      </c>
      <c r="J6">
        <f>ABS(I6)</f>
        <v>175.60920170370628</v>
      </c>
      <c r="K6">
        <f>I6^2</f>
        <v>30838.591723012996</v>
      </c>
      <c r="L6" s="27">
        <f>ABS(D6-H6)/D6*100</f>
        <v>1.0723571183665503</v>
      </c>
      <c r="M6" s="30">
        <f>(D6-D5)^2</f>
        <v>43264</v>
      </c>
      <c r="N6" t="s">
        <v>53</v>
      </c>
      <c r="O6">
        <v>0.12677122843607308</v>
      </c>
    </row>
    <row r="7" spans="1:15">
      <c r="A7">
        <v>5</v>
      </c>
      <c r="B7">
        <v>2015</v>
      </c>
      <c r="C7">
        <v>5</v>
      </c>
      <c r="D7">
        <v>18403</v>
      </c>
      <c r="E7">
        <f t="shared" ref="E7:E70" si="0">$O$4*(D7/G4)+(1-$O$4)*(E6+F6)</f>
        <v>16032.22954794086</v>
      </c>
      <c r="F7">
        <f t="shared" ref="F7:F70" si="1">$O$5*(E7-E6)+(1-$O$5)*F6</f>
        <v>22.489228851165365</v>
      </c>
      <c r="G7">
        <f t="shared" ref="G7:G70" si="2">$O$6*(D7/E7)+(1-$O$6)*G4</f>
        <v>0.97739197223806462</v>
      </c>
      <c r="H7">
        <f t="shared" ref="H7:H70" si="3">(E6+1*F6)*G4</f>
        <v>15074.764410428344</v>
      </c>
      <c r="I7">
        <f t="shared" ref="I7:I70" si="4">D7-H7</f>
        <v>3328.2355895716555</v>
      </c>
      <c r="J7">
        <f t="shared" ref="J7:J70" si="5">ABS(I7)</f>
        <v>3328.2355895716555</v>
      </c>
      <c r="K7">
        <f t="shared" ref="K7:K70" si="6">I7^2</f>
        <v>11077152.139691385</v>
      </c>
      <c r="L7" s="27">
        <f t="shared" ref="L7:L70" si="7">ABS(D7-H7)/D7*100</f>
        <v>18.085288211550594</v>
      </c>
      <c r="M7" s="30">
        <f t="shared" ref="M7:M70" si="8">(D7-D6)^2</f>
        <v>4108729</v>
      </c>
    </row>
    <row r="8" spans="1:15">
      <c r="A8">
        <v>6</v>
      </c>
      <c r="B8">
        <v>2015</v>
      </c>
      <c r="C8">
        <v>6</v>
      </c>
      <c r="D8">
        <v>19113</v>
      </c>
      <c r="E8">
        <f t="shared" si="0"/>
        <v>16211.554940025604</v>
      </c>
      <c r="F8">
        <f t="shared" si="1"/>
        <v>37.211504634055899</v>
      </c>
      <c r="G8">
        <f t="shared" si="2"/>
        <v>1.0425373591998963</v>
      </c>
      <c r="H8">
        <f t="shared" si="3"/>
        <v>16419.64491100916</v>
      </c>
      <c r="I8">
        <f t="shared" si="4"/>
        <v>2693.3550889908402</v>
      </c>
      <c r="J8">
        <f t="shared" si="5"/>
        <v>2693.3550889908402</v>
      </c>
      <c r="K8">
        <f t="shared" si="6"/>
        <v>7254161.6353928568</v>
      </c>
      <c r="L8" s="27">
        <f t="shared" si="7"/>
        <v>14.091744304875425</v>
      </c>
      <c r="M8" s="30">
        <f t="shared" si="8"/>
        <v>504100</v>
      </c>
      <c r="N8" t="s">
        <v>57</v>
      </c>
      <c r="O8">
        <f>AVERAGE(I6:I74)</f>
        <v>284.92962976788414</v>
      </c>
    </row>
    <row r="9" spans="1:15">
      <c r="A9">
        <v>7</v>
      </c>
      <c r="B9">
        <v>2015</v>
      </c>
      <c r="C9">
        <v>7</v>
      </c>
      <c r="D9">
        <v>19303</v>
      </c>
      <c r="E9">
        <f t="shared" si="0"/>
        <v>16401.581146572782</v>
      </c>
      <c r="F9">
        <f t="shared" si="1"/>
        <v>51.556284172526006</v>
      </c>
      <c r="G9">
        <f t="shared" si="2"/>
        <v>1.0450869622962684</v>
      </c>
      <c r="H9">
        <f t="shared" si="3"/>
        <v>16670.440663067395</v>
      </c>
      <c r="I9">
        <f t="shared" si="4"/>
        <v>2632.5593369326052</v>
      </c>
      <c r="J9">
        <f t="shared" si="5"/>
        <v>2632.5593369326052</v>
      </c>
      <c r="K9">
        <f t="shared" si="6"/>
        <v>6930368.6624710383</v>
      </c>
      <c r="L9" s="27">
        <f t="shared" si="7"/>
        <v>13.638083908887765</v>
      </c>
      <c r="M9" s="30">
        <f t="shared" si="8"/>
        <v>36100</v>
      </c>
      <c r="N9" t="s">
        <v>58</v>
      </c>
      <c r="O9">
        <f>AVERAGE(J6:J74)</f>
        <v>1995.1970971045164</v>
      </c>
    </row>
    <row r="10" spans="1:15">
      <c r="A10">
        <v>8</v>
      </c>
      <c r="B10">
        <v>2015</v>
      </c>
      <c r="C10">
        <v>8</v>
      </c>
      <c r="D10">
        <v>20560</v>
      </c>
      <c r="E10">
        <f t="shared" si="0"/>
        <v>16726.041494857513</v>
      </c>
      <c r="F10">
        <f t="shared" si="1"/>
        <v>77.173902018403766</v>
      </c>
      <c r="G10">
        <f t="shared" si="2"/>
        <v>1.0093166364355486</v>
      </c>
      <c r="H10">
        <f t="shared" si="3"/>
        <v>16081.16444294008</v>
      </c>
      <c r="I10">
        <f t="shared" si="4"/>
        <v>4478.8355570599197</v>
      </c>
      <c r="J10">
        <f t="shared" si="5"/>
        <v>4478.8355570599197</v>
      </c>
      <c r="K10">
        <f t="shared" si="6"/>
        <v>20059967.947184242</v>
      </c>
      <c r="L10" s="27">
        <f t="shared" si="7"/>
        <v>21.784219635505444</v>
      </c>
      <c r="M10" s="30">
        <f t="shared" si="8"/>
        <v>1580049</v>
      </c>
      <c r="N10" t="s">
        <v>60</v>
      </c>
      <c r="O10" s="27">
        <f>AVERAGE(L6:L74)</f>
        <v>10.090783694617768</v>
      </c>
    </row>
    <row r="11" spans="1:15">
      <c r="A11">
        <v>9</v>
      </c>
      <c r="B11">
        <v>2015</v>
      </c>
      <c r="C11">
        <v>9</v>
      </c>
      <c r="D11">
        <v>16621</v>
      </c>
      <c r="E11">
        <f t="shared" si="0"/>
        <v>16751.97591938344</v>
      </c>
      <c r="F11">
        <f t="shared" si="1"/>
        <v>72.364030984438401</v>
      </c>
      <c r="G11">
        <f t="shared" si="2"/>
        <v>1.0361536805625082</v>
      </c>
      <c r="H11">
        <f t="shared" si="3"/>
        <v>17517.979805926054</v>
      </c>
      <c r="I11">
        <f t="shared" si="4"/>
        <v>-896.97980592605381</v>
      </c>
      <c r="J11">
        <f t="shared" si="5"/>
        <v>896.97980592605381</v>
      </c>
      <c r="K11">
        <f t="shared" si="6"/>
        <v>804572.77223914117</v>
      </c>
      <c r="L11" s="27">
        <f t="shared" si="7"/>
        <v>5.3966656995731537</v>
      </c>
      <c r="M11" s="30">
        <f t="shared" si="8"/>
        <v>15515721</v>
      </c>
      <c r="N11" t="s">
        <v>59</v>
      </c>
      <c r="O11">
        <f>AVERAGE(K6:K74)</f>
        <v>5770471.997027006</v>
      </c>
    </row>
    <row r="12" spans="1:15">
      <c r="A12">
        <v>10</v>
      </c>
      <c r="B12">
        <v>2015</v>
      </c>
      <c r="C12">
        <v>10</v>
      </c>
      <c r="D12">
        <v>18788</v>
      </c>
      <c r="E12">
        <f t="shared" si="0"/>
        <v>16893.01277507062</v>
      </c>
      <c r="F12">
        <f t="shared" si="1"/>
        <v>78.81037756177804</v>
      </c>
      <c r="G12">
        <f t="shared" si="2"/>
        <v>1.0535918966848967</v>
      </c>
      <c r="H12">
        <f t="shared" si="3"/>
        <v>17582.898331369717</v>
      </c>
      <c r="I12">
        <f t="shared" si="4"/>
        <v>1205.1016686302828</v>
      </c>
      <c r="J12">
        <f t="shared" si="5"/>
        <v>1205.1016686302828</v>
      </c>
      <c r="K12">
        <f t="shared" si="6"/>
        <v>1452270.0317354919</v>
      </c>
      <c r="L12" s="27">
        <f t="shared" si="7"/>
        <v>6.4142094349067635</v>
      </c>
      <c r="M12" s="30">
        <f t="shared" si="8"/>
        <v>4695889</v>
      </c>
      <c r="N12" t="s">
        <v>54</v>
      </c>
      <c r="O12">
        <f>SQRT(SUM(K6:K74)/SUM(M6:M74))</f>
        <v>0.79363210422360919</v>
      </c>
    </row>
    <row r="13" spans="1:15">
      <c r="A13">
        <v>11</v>
      </c>
      <c r="B13">
        <v>2015</v>
      </c>
      <c r="C13">
        <v>11</v>
      </c>
      <c r="D13">
        <v>17970</v>
      </c>
      <c r="E13">
        <f t="shared" si="0"/>
        <v>17021.390392924033</v>
      </c>
      <c r="F13">
        <f t="shared" si="1"/>
        <v>83.463274995155359</v>
      </c>
      <c r="G13">
        <f t="shared" si="2"/>
        <v>1.0152005715611807</v>
      </c>
      <c r="H13">
        <f t="shared" si="3"/>
        <v>17129.943458593902</v>
      </c>
      <c r="I13">
        <f t="shared" si="4"/>
        <v>840.0565414060984</v>
      </c>
      <c r="J13">
        <f t="shared" si="5"/>
        <v>840.0565414060984</v>
      </c>
      <c r="K13">
        <f t="shared" si="6"/>
        <v>705694.99275917595</v>
      </c>
      <c r="L13" s="27">
        <f t="shared" si="7"/>
        <v>4.6747720723767303</v>
      </c>
      <c r="M13" s="30">
        <f t="shared" si="8"/>
        <v>669124</v>
      </c>
    </row>
    <row r="14" spans="1:15">
      <c r="A14">
        <v>12</v>
      </c>
      <c r="B14">
        <v>2015</v>
      </c>
      <c r="C14">
        <v>12</v>
      </c>
      <c r="D14">
        <v>22464</v>
      </c>
      <c r="E14">
        <f t="shared" si="0"/>
        <v>17377.334454519063</v>
      </c>
      <c r="F14">
        <f t="shared" si="1"/>
        <v>109.04115960514707</v>
      </c>
      <c r="G14">
        <f t="shared" si="2"/>
        <v>1.0686787052750502</v>
      </c>
      <c r="H14">
        <f t="shared" si="3"/>
        <v>17723.257083497589</v>
      </c>
      <c r="I14">
        <f t="shared" si="4"/>
        <v>4740.7429165024114</v>
      </c>
      <c r="J14">
        <f t="shared" si="5"/>
        <v>4740.7429165024114</v>
      </c>
      <c r="K14">
        <f t="shared" si="6"/>
        <v>22474643.400367789</v>
      </c>
      <c r="L14" s="27">
        <f t="shared" si="7"/>
        <v>21.103734492977257</v>
      </c>
      <c r="M14" s="30">
        <f t="shared" si="8"/>
        <v>20196036</v>
      </c>
    </row>
    <row r="15" spans="1:15">
      <c r="A15">
        <v>13</v>
      </c>
      <c r="B15">
        <v>2016</v>
      </c>
      <c r="C15">
        <v>1</v>
      </c>
      <c r="D15">
        <v>16658</v>
      </c>
      <c r="E15">
        <f t="shared" si="0"/>
        <v>17386.58036850168</v>
      </c>
      <c r="F15">
        <f t="shared" si="1"/>
        <v>99.6733384497158</v>
      </c>
      <c r="G15">
        <f t="shared" si="2"/>
        <v>1.0414856690006145</v>
      </c>
      <c r="H15">
        <f t="shared" si="3"/>
        <v>18423.503649429651</v>
      </c>
      <c r="I15">
        <f t="shared" si="4"/>
        <v>-1765.503649429651</v>
      </c>
      <c r="J15">
        <f t="shared" si="5"/>
        <v>1765.503649429651</v>
      </c>
      <c r="K15">
        <f t="shared" si="6"/>
        <v>3117003.1361494157</v>
      </c>
      <c r="L15" s="27">
        <f t="shared" si="7"/>
        <v>10.598533133807486</v>
      </c>
      <c r="M15" s="30">
        <f t="shared" si="8"/>
        <v>33709636</v>
      </c>
    </row>
    <row r="16" spans="1:15">
      <c r="A16">
        <v>14</v>
      </c>
      <c r="B16">
        <v>2016</v>
      </c>
      <c r="C16">
        <v>2</v>
      </c>
      <c r="D16">
        <v>16214</v>
      </c>
      <c r="E16">
        <f t="shared" si="0"/>
        <v>17396.027313619925</v>
      </c>
      <c r="F16">
        <f t="shared" si="1"/>
        <v>91.203749433162542</v>
      </c>
      <c r="G16">
        <f t="shared" si="2"/>
        <v>1.004659710064647</v>
      </c>
      <c r="H16">
        <f t="shared" si="3"/>
        <v>17752.054757760874</v>
      </c>
      <c r="I16">
        <f t="shared" si="4"/>
        <v>-1538.0547577608741</v>
      </c>
      <c r="J16">
        <f t="shared" si="5"/>
        <v>1538.0547577608741</v>
      </c>
      <c r="K16">
        <f t="shared" si="6"/>
        <v>2365612.437870861</v>
      </c>
      <c r="L16" s="27">
        <f t="shared" si="7"/>
        <v>9.4859674217396943</v>
      </c>
      <c r="M16" s="30">
        <f t="shared" si="8"/>
        <v>197136</v>
      </c>
    </row>
    <row r="17" spans="1:16">
      <c r="A17">
        <v>15</v>
      </c>
      <c r="B17">
        <v>2016</v>
      </c>
      <c r="C17">
        <v>3</v>
      </c>
      <c r="D17">
        <v>16043</v>
      </c>
      <c r="E17">
        <f t="shared" si="0"/>
        <v>17339.819966889983</v>
      </c>
      <c r="F17">
        <f t="shared" si="1"/>
        <v>77.366208610774123</v>
      </c>
      <c r="G17">
        <f t="shared" si="2"/>
        <v>1.0504911852713346</v>
      </c>
      <c r="H17">
        <f t="shared" si="3"/>
        <v>18688.231451309213</v>
      </c>
      <c r="I17">
        <f t="shared" si="4"/>
        <v>-2645.2314513092133</v>
      </c>
      <c r="J17">
        <f t="shared" si="5"/>
        <v>2645.2314513092133</v>
      </c>
      <c r="K17">
        <f t="shared" si="6"/>
        <v>6997249.4309954466</v>
      </c>
      <c r="L17" s="27">
        <f t="shared" si="7"/>
        <v>16.4883840385789</v>
      </c>
      <c r="M17" s="30">
        <f t="shared" si="8"/>
        <v>29241</v>
      </c>
    </row>
    <row r="18" spans="1:16">
      <c r="A18">
        <v>16</v>
      </c>
      <c r="B18">
        <v>2016</v>
      </c>
      <c r="C18">
        <v>4</v>
      </c>
      <c r="D18">
        <v>16418</v>
      </c>
      <c r="E18">
        <f t="shared" si="0"/>
        <v>17318.732848791722</v>
      </c>
      <c r="F18">
        <f t="shared" si="1"/>
        <v>68.124353941103678</v>
      </c>
      <c r="G18">
        <f t="shared" si="2"/>
        <v>1.0296332139360256</v>
      </c>
      <c r="H18">
        <f t="shared" si="3"/>
        <v>18139.749796099659</v>
      </c>
      <c r="I18">
        <f t="shared" si="4"/>
        <v>-1721.7497960996589</v>
      </c>
      <c r="J18">
        <f t="shared" si="5"/>
        <v>1721.7497960996589</v>
      </c>
      <c r="K18">
        <f t="shared" si="6"/>
        <v>2964422.3603692167</v>
      </c>
      <c r="L18" s="27">
        <f t="shared" si="7"/>
        <v>10.48696428371092</v>
      </c>
      <c r="M18" s="30">
        <f t="shared" si="8"/>
        <v>140625</v>
      </c>
      <c r="O18" s="31" t="s">
        <v>65</v>
      </c>
      <c r="P18" s="31"/>
    </row>
    <row r="19" spans="1:16">
      <c r="A19">
        <v>17</v>
      </c>
      <c r="B19">
        <v>2016</v>
      </c>
      <c r="C19">
        <v>5</v>
      </c>
      <c r="D19">
        <v>17644</v>
      </c>
      <c r="E19">
        <f t="shared" si="0"/>
        <v>17397.297572494725</v>
      </c>
      <c r="F19">
        <f t="shared" si="1"/>
        <v>69.10439578694448</v>
      </c>
      <c r="G19">
        <f t="shared" si="2"/>
        <v>1.0058666726595178</v>
      </c>
      <c r="H19">
        <f t="shared" si="3"/>
        <v>17467.87491623298</v>
      </c>
      <c r="I19">
        <f t="shared" si="4"/>
        <v>176.12508376701953</v>
      </c>
      <c r="J19">
        <f t="shared" si="5"/>
        <v>176.12508376701953</v>
      </c>
      <c r="K19">
        <f t="shared" si="6"/>
        <v>31020.045131939649</v>
      </c>
      <c r="L19" s="27">
        <f t="shared" si="7"/>
        <v>0.99821516530843091</v>
      </c>
      <c r="M19" s="30">
        <f t="shared" si="8"/>
        <v>1503076</v>
      </c>
      <c r="O19" s="31"/>
      <c r="P19" s="31"/>
    </row>
    <row r="20" spans="1:16">
      <c r="A20">
        <v>18</v>
      </c>
      <c r="B20">
        <v>2016</v>
      </c>
      <c r="C20">
        <v>6</v>
      </c>
      <c r="D20">
        <v>17705</v>
      </c>
      <c r="E20">
        <f t="shared" si="0"/>
        <v>17429.931975771575</v>
      </c>
      <c r="F20">
        <f t="shared" si="1"/>
        <v>65.680942442616526</v>
      </c>
      <c r="G20">
        <f t="shared" si="2"/>
        <v>1.046090978031561</v>
      </c>
      <c r="H20">
        <f t="shared" si="3"/>
        <v>18348.301306085781</v>
      </c>
      <c r="I20">
        <f t="shared" si="4"/>
        <v>-643.30130608578111</v>
      </c>
      <c r="J20">
        <f t="shared" si="5"/>
        <v>643.30130608578111</v>
      </c>
      <c r="K20">
        <f t="shared" si="6"/>
        <v>413836.57041167183</v>
      </c>
      <c r="L20" s="27">
        <f t="shared" si="7"/>
        <v>3.6334442591684897</v>
      </c>
      <c r="M20" s="30">
        <f t="shared" si="8"/>
        <v>3721</v>
      </c>
      <c r="O20" s="31"/>
      <c r="P20" s="31"/>
    </row>
    <row r="21" spans="1:16">
      <c r="A21">
        <v>19</v>
      </c>
      <c r="B21">
        <v>2016</v>
      </c>
      <c r="C21">
        <v>7</v>
      </c>
      <c r="D21">
        <v>18107</v>
      </c>
      <c r="E21">
        <f t="shared" si="0"/>
        <v>17500.988362245625</v>
      </c>
      <c r="F21">
        <f t="shared" si="1"/>
        <v>66.185537606478093</v>
      </c>
      <c r="G21">
        <f t="shared" si="2"/>
        <v>1.0302663179233329</v>
      </c>
      <c r="H21">
        <f t="shared" si="3"/>
        <v>18014.064158761525</v>
      </c>
      <c r="I21">
        <f t="shared" si="4"/>
        <v>92.935841238475405</v>
      </c>
      <c r="J21">
        <f t="shared" si="5"/>
        <v>92.935841238475405</v>
      </c>
      <c r="K21">
        <f t="shared" si="6"/>
        <v>8637.0705867031065</v>
      </c>
      <c r="L21" s="27">
        <f t="shared" si="7"/>
        <v>0.51325918837176454</v>
      </c>
      <c r="M21" s="30">
        <f t="shared" si="8"/>
        <v>161604</v>
      </c>
      <c r="O21" s="31"/>
      <c r="P21" s="31"/>
    </row>
    <row r="22" spans="1:16">
      <c r="A22">
        <v>20</v>
      </c>
      <c r="B22">
        <v>2016</v>
      </c>
      <c r="C22">
        <v>8</v>
      </c>
      <c r="D22">
        <v>17975</v>
      </c>
      <c r="E22">
        <f t="shared" si="0"/>
        <v>17585.218142913553</v>
      </c>
      <c r="F22">
        <f t="shared" si="1"/>
        <v>67.879358197131808</v>
      </c>
      <c r="G22">
        <f t="shared" si="2"/>
        <v>1.0079328712652371</v>
      </c>
      <c r="H22">
        <f t="shared" si="3"/>
        <v>17670.23475867536</v>
      </c>
      <c r="I22">
        <f t="shared" si="4"/>
        <v>304.76524132463965</v>
      </c>
      <c r="J22">
        <f t="shared" si="5"/>
        <v>304.76524132463965</v>
      </c>
      <c r="K22">
        <f t="shared" si="6"/>
        <v>92881.852319665835</v>
      </c>
      <c r="L22" s="27">
        <f t="shared" si="7"/>
        <v>1.6954950838644764</v>
      </c>
      <c r="M22" s="30">
        <f t="shared" si="8"/>
        <v>17424</v>
      </c>
      <c r="O22" s="31"/>
      <c r="P22" s="31"/>
    </row>
    <row r="23" spans="1:16">
      <c r="A23">
        <v>21</v>
      </c>
      <c r="B23">
        <v>2016</v>
      </c>
      <c r="C23">
        <v>9</v>
      </c>
      <c r="D23">
        <v>17598</v>
      </c>
      <c r="E23">
        <f t="shared" si="0"/>
        <v>17603.639446466306</v>
      </c>
      <c r="F23">
        <f t="shared" si="1"/>
        <v>63.236710065811593</v>
      </c>
      <c r="G23">
        <f t="shared" si="2"/>
        <v>1.0402073560953777</v>
      </c>
      <c r="H23">
        <f t="shared" si="3"/>
        <v>18466.746030223385</v>
      </c>
      <c r="I23">
        <f t="shared" si="4"/>
        <v>-868.74603022338488</v>
      </c>
      <c r="J23">
        <f t="shared" si="5"/>
        <v>868.74603022338488</v>
      </c>
      <c r="K23">
        <f t="shared" si="6"/>
        <v>754719.66502889036</v>
      </c>
      <c r="L23" s="27">
        <f t="shared" si="7"/>
        <v>4.9366179692202801</v>
      </c>
      <c r="M23" s="30">
        <f t="shared" si="8"/>
        <v>142129</v>
      </c>
      <c r="O23" s="31"/>
      <c r="P23" s="31"/>
    </row>
    <row r="24" spans="1:16">
      <c r="A24">
        <v>22</v>
      </c>
      <c r="B24">
        <v>2016</v>
      </c>
      <c r="C24">
        <v>10</v>
      </c>
      <c r="D24">
        <v>17658</v>
      </c>
      <c r="E24">
        <f t="shared" si="0"/>
        <v>17635.4541748747</v>
      </c>
      <c r="F24">
        <f t="shared" si="1"/>
        <v>60.287115596859451</v>
      </c>
      <c r="G24">
        <f t="shared" si="2"/>
        <v>1.0265914887064045</v>
      </c>
      <c r="H24">
        <f t="shared" si="3"/>
        <v>18201.58744699787</v>
      </c>
      <c r="I24">
        <f t="shared" si="4"/>
        <v>-543.58744699786985</v>
      </c>
      <c r="J24">
        <f t="shared" si="5"/>
        <v>543.58744699786985</v>
      </c>
      <c r="K24">
        <f t="shared" si="6"/>
        <v>295487.31253366196</v>
      </c>
      <c r="L24" s="27">
        <f t="shared" si="7"/>
        <v>3.0784202457688861</v>
      </c>
      <c r="M24" s="30">
        <f t="shared" si="8"/>
        <v>3600</v>
      </c>
    </row>
    <row r="25" spans="1:16">
      <c r="A25">
        <v>23</v>
      </c>
      <c r="B25">
        <v>2016</v>
      </c>
      <c r="C25">
        <v>11</v>
      </c>
      <c r="D25">
        <v>15750</v>
      </c>
      <c r="E25">
        <f t="shared" si="0"/>
        <v>17572.481566301696</v>
      </c>
      <c r="F25">
        <f t="shared" si="1"/>
        <v>48.716674094480084</v>
      </c>
      <c r="G25">
        <f t="shared" si="2"/>
        <v>0.99377948234621105</v>
      </c>
      <c r="H25">
        <f t="shared" si="3"/>
        <v>17836.119328071811</v>
      </c>
      <c r="I25">
        <f t="shared" si="4"/>
        <v>-2086.1193280718107</v>
      </c>
      <c r="J25">
        <f t="shared" si="5"/>
        <v>2086.1193280718107</v>
      </c>
      <c r="K25">
        <f t="shared" si="6"/>
        <v>4351893.8509547831</v>
      </c>
      <c r="L25" s="27">
        <f t="shared" si="7"/>
        <v>13.245202082995625</v>
      </c>
      <c r="M25" s="30">
        <f t="shared" si="8"/>
        <v>3640464</v>
      </c>
    </row>
    <row r="26" spans="1:16">
      <c r="A26">
        <v>24</v>
      </c>
      <c r="B26">
        <v>2016</v>
      </c>
      <c r="C26">
        <v>12</v>
      </c>
      <c r="D26">
        <v>22414</v>
      </c>
      <c r="E26">
        <f t="shared" si="0"/>
        <v>17855.034235222731</v>
      </c>
      <c r="F26">
        <f t="shared" si="1"/>
        <v>70.666956050026187</v>
      </c>
      <c r="G26">
        <f t="shared" si="2"/>
        <v>1.0674790010305011</v>
      </c>
      <c r="H26">
        <f t="shared" si="3"/>
        <v>18329.700032875029</v>
      </c>
      <c r="I26">
        <f t="shared" si="4"/>
        <v>4084.2999671249709</v>
      </c>
      <c r="J26">
        <f t="shared" si="5"/>
        <v>4084.2999671249709</v>
      </c>
      <c r="K26">
        <f t="shared" si="6"/>
        <v>16681506.221457038</v>
      </c>
      <c r="L26" s="27">
        <f t="shared" si="7"/>
        <v>18.222093187851211</v>
      </c>
      <c r="M26" s="30">
        <f t="shared" si="8"/>
        <v>44408896</v>
      </c>
    </row>
    <row r="27" spans="1:16">
      <c r="A27">
        <v>25</v>
      </c>
      <c r="B27">
        <v>2017</v>
      </c>
      <c r="C27">
        <v>1</v>
      </c>
      <c r="D27">
        <v>16065</v>
      </c>
      <c r="E27">
        <f t="shared" si="0"/>
        <v>17790.106126769439</v>
      </c>
      <c r="F27">
        <f t="shared" si="1"/>
        <v>57.938591027199067</v>
      </c>
      <c r="G27">
        <f t="shared" si="2"/>
        <v>1.0109274503045866</v>
      </c>
      <c r="H27">
        <f t="shared" si="3"/>
        <v>18402.372272054869</v>
      </c>
      <c r="I27">
        <f t="shared" si="4"/>
        <v>-2337.3722720548685</v>
      </c>
      <c r="J27">
        <f t="shared" si="5"/>
        <v>2337.3722720548685</v>
      </c>
      <c r="K27">
        <f t="shared" si="6"/>
        <v>5463309.138170938</v>
      </c>
      <c r="L27" s="27">
        <f t="shared" si="7"/>
        <v>14.549469480578081</v>
      </c>
      <c r="M27" s="30">
        <f t="shared" si="8"/>
        <v>40309801</v>
      </c>
    </row>
    <row r="28" spans="1:16">
      <c r="A28">
        <v>26</v>
      </c>
      <c r="B28">
        <v>2017</v>
      </c>
      <c r="C28">
        <v>2</v>
      </c>
      <c r="D28">
        <v>15467</v>
      </c>
      <c r="E28">
        <f t="shared" si="0"/>
        <v>17712.008849301754</v>
      </c>
      <c r="F28">
        <f t="shared" si="1"/>
        <v>45.16884755060066</v>
      </c>
      <c r="G28">
        <f t="shared" si="2"/>
        <v>0.97849972786738193</v>
      </c>
      <c r="H28">
        <f t="shared" si="3"/>
        <v>17737.020640543968</v>
      </c>
      <c r="I28">
        <f t="shared" si="4"/>
        <v>-2270.0206405439676</v>
      </c>
      <c r="J28">
        <f t="shared" si="5"/>
        <v>2270.0206405439676</v>
      </c>
      <c r="K28">
        <f t="shared" si="6"/>
        <v>5152993.7084956449</v>
      </c>
      <c r="L28" s="27">
        <f t="shared" si="7"/>
        <v>14.676541284954855</v>
      </c>
      <c r="M28" s="30">
        <f t="shared" si="8"/>
        <v>357604</v>
      </c>
    </row>
    <row r="29" spans="1:16">
      <c r="A29">
        <v>27</v>
      </c>
      <c r="B29">
        <v>2017</v>
      </c>
      <c r="C29">
        <v>3</v>
      </c>
      <c r="D29">
        <v>16297</v>
      </c>
      <c r="E29">
        <f t="shared" si="0"/>
        <v>17608.865462088157</v>
      </c>
      <c r="F29">
        <f t="shared" si="1"/>
        <v>31.246716473449727</v>
      </c>
      <c r="G29">
        <f t="shared" si="2"/>
        <v>1.0494801127681352</v>
      </c>
      <c r="H29">
        <f t="shared" si="3"/>
        <v>18955.414308957046</v>
      </c>
      <c r="I29">
        <f t="shared" si="4"/>
        <v>-2658.4143089570462</v>
      </c>
      <c r="J29">
        <f t="shared" si="5"/>
        <v>2658.4143089570462</v>
      </c>
      <c r="K29">
        <f t="shared" si="6"/>
        <v>7067166.6380675696</v>
      </c>
      <c r="L29" s="27">
        <f t="shared" si="7"/>
        <v>16.312292501423858</v>
      </c>
      <c r="M29" s="30">
        <f t="shared" si="8"/>
        <v>688900</v>
      </c>
    </row>
    <row r="30" spans="1:16">
      <c r="A30">
        <v>28</v>
      </c>
      <c r="B30">
        <v>2017</v>
      </c>
      <c r="C30">
        <v>4</v>
      </c>
      <c r="D30">
        <v>16530</v>
      </c>
      <c r="E30">
        <f t="shared" si="0"/>
        <v>17563.359072867777</v>
      </c>
      <c r="F30">
        <f t="shared" si="1"/>
        <v>24.041870563421902</v>
      </c>
      <c r="G30">
        <f t="shared" si="2"/>
        <v>1.002083442781716</v>
      </c>
      <c r="H30">
        <f t="shared" si="3"/>
        <v>17832.873627760171</v>
      </c>
      <c r="I30">
        <f t="shared" si="4"/>
        <v>-1302.8736277601711</v>
      </c>
      <c r="J30">
        <f t="shared" si="5"/>
        <v>1302.8736277601711</v>
      </c>
      <c r="K30">
        <f t="shared" si="6"/>
        <v>1697479.6899129488</v>
      </c>
      <c r="L30" s="27">
        <f t="shared" si="7"/>
        <v>7.8818731261958321</v>
      </c>
      <c r="M30" s="30">
        <f t="shared" si="8"/>
        <v>54289</v>
      </c>
    </row>
    <row r="31" spans="1:16">
      <c r="A31">
        <v>29</v>
      </c>
      <c r="B31">
        <v>2017</v>
      </c>
      <c r="C31">
        <v>5</v>
      </c>
      <c r="D31">
        <v>18410</v>
      </c>
      <c r="E31">
        <f t="shared" si="0"/>
        <v>17660.481084589217</v>
      </c>
      <c r="F31">
        <f t="shared" si="1"/>
        <v>30.901933766948154</v>
      </c>
      <c r="G31">
        <f t="shared" si="2"/>
        <v>0.98660557284288219</v>
      </c>
      <c r="H31">
        <f t="shared" si="3"/>
        <v>17209.267037041966</v>
      </c>
      <c r="I31">
        <f t="shared" si="4"/>
        <v>1200.7329629580345</v>
      </c>
      <c r="J31">
        <f t="shared" si="5"/>
        <v>1200.7329629580345</v>
      </c>
      <c r="K31">
        <f t="shared" si="6"/>
        <v>1441759.6483339807</v>
      </c>
      <c r="L31" s="27">
        <f t="shared" si="7"/>
        <v>6.5221779628356025</v>
      </c>
      <c r="M31" s="30">
        <f t="shared" si="8"/>
        <v>3534400</v>
      </c>
    </row>
    <row r="32" spans="1:16">
      <c r="A32">
        <v>30</v>
      </c>
      <c r="B32">
        <v>2017</v>
      </c>
      <c r="C32">
        <v>6</v>
      </c>
      <c r="D32">
        <v>20274</v>
      </c>
      <c r="E32">
        <f t="shared" si="0"/>
        <v>17788.263297171405</v>
      </c>
      <c r="F32">
        <f t="shared" si="1"/>
        <v>39.996125777480039</v>
      </c>
      <c r="G32">
        <f t="shared" si="2"/>
        <v>1.0609225036855414</v>
      </c>
      <c r="H32">
        <f t="shared" si="3"/>
        <v>18566.754645128702</v>
      </c>
      <c r="I32">
        <f t="shared" si="4"/>
        <v>1707.2453548712983</v>
      </c>
      <c r="J32">
        <f t="shared" si="5"/>
        <v>1707.2453548712983</v>
      </c>
      <c r="K32">
        <f t="shared" si="6"/>
        <v>2914686.7017296255</v>
      </c>
      <c r="L32" s="27">
        <f t="shared" si="7"/>
        <v>8.4208609789449458</v>
      </c>
      <c r="M32" s="30">
        <f t="shared" si="8"/>
        <v>3474496</v>
      </c>
    </row>
    <row r="33" spans="1:13">
      <c r="A33">
        <v>31</v>
      </c>
      <c r="B33">
        <v>2017</v>
      </c>
      <c r="C33">
        <v>7</v>
      </c>
      <c r="D33">
        <v>21311</v>
      </c>
      <c r="E33">
        <f t="shared" si="0"/>
        <v>18033.033121513927</v>
      </c>
      <c r="F33">
        <f t="shared" si="1"/>
        <v>59.21831791225673</v>
      </c>
      <c r="G33">
        <f t="shared" si="2"/>
        <v>1.0248632485774363</v>
      </c>
      <c r="H33">
        <f t="shared" si="3"/>
        <v>17865.403581354189</v>
      </c>
      <c r="I33">
        <f t="shared" si="4"/>
        <v>3445.5964186458114</v>
      </c>
      <c r="J33">
        <f t="shared" si="5"/>
        <v>3445.5964186458114</v>
      </c>
      <c r="K33">
        <f t="shared" si="6"/>
        <v>11872134.680184841</v>
      </c>
      <c r="L33" s="27">
        <f t="shared" si="7"/>
        <v>16.168159254121399</v>
      </c>
      <c r="M33" s="30">
        <f t="shared" si="8"/>
        <v>1075369</v>
      </c>
    </row>
    <row r="34" spans="1:13">
      <c r="A34">
        <v>32</v>
      </c>
      <c r="B34">
        <v>2017</v>
      </c>
      <c r="C34">
        <v>8</v>
      </c>
      <c r="D34">
        <v>20991</v>
      </c>
      <c r="E34">
        <f t="shared" si="0"/>
        <v>18281.856369991365</v>
      </c>
      <c r="F34">
        <f t="shared" si="1"/>
        <v>77.016611494707561</v>
      </c>
      <c r="G34">
        <f t="shared" si="2"/>
        <v>1.0070895194476108</v>
      </c>
      <c r="H34">
        <f t="shared" si="3"/>
        <v>17849.916095412533</v>
      </c>
      <c r="I34">
        <f t="shared" si="4"/>
        <v>3141.0839045874673</v>
      </c>
      <c r="J34">
        <f t="shared" si="5"/>
        <v>3141.0839045874673</v>
      </c>
      <c r="K34">
        <f t="shared" si="6"/>
        <v>9866408.0956584495</v>
      </c>
      <c r="L34" s="27">
        <f t="shared" si="7"/>
        <v>14.963955526594575</v>
      </c>
      <c r="M34" s="30">
        <f t="shared" si="8"/>
        <v>102400</v>
      </c>
    </row>
    <row r="35" spans="1:13">
      <c r="A35">
        <v>33</v>
      </c>
      <c r="B35">
        <v>2017</v>
      </c>
      <c r="C35">
        <v>9</v>
      </c>
      <c r="D35">
        <v>18305</v>
      </c>
      <c r="E35">
        <f t="shared" si="0"/>
        <v>18293.064157997844</v>
      </c>
      <c r="F35">
        <f t="shared" si="1"/>
        <v>70.839109900905271</v>
      </c>
      <c r="G35">
        <f t="shared" si="2"/>
        <v>1.0532819986307111</v>
      </c>
      <c r="H35">
        <f t="shared" si="3"/>
        <v>19477.341488363043</v>
      </c>
      <c r="I35">
        <f t="shared" si="4"/>
        <v>-1172.341488363043</v>
      </c>
      <c r="J35">
        <f t="shared" si="5"/>
        <v>1172.341488363043</v>
      </c>
      <c r="K35">
        <f t="shared" si="6"/>
        <v>1374384.5653372749</v>
      </c>
      <c r="L35" s="27">
        <f t="shared" si="7"/>
        <v>6.4044877812785739</v>
      </c>
      <c r="M35" s="30">
        <f t="shared" si="8"/>
        <v>7214596</v>
      </c>
    </row>
    <row r="36" spans="1:13">
      <c r="A36">
        <v>34</v>
      </c>
      <c r="B36">
        <v>2017</v>
      </c>
      <c r="C36">
        <v>10</v>
      </c>
      <c r="D36">
        <v>17832</v>
      </c>
      <c r="E36">
        <f t="shared" si="0"/>
        <v>18306.462555097532</v>
      </c>
      <c r="F36">
        <f t="shared" si="1"/>
        <v>65.447126332894427</v>
      </c>
      <c r="G36">
        <f t="shared" si="2"/>
        <v>1.0184256773777469</v>
      </c>
      <c r="H36">
        <f t="shared" si="3"/>
        <v>18820.489559700509</v>
      </c>
      <c r="I36">
        <f t="shared" si="4"/>
        <v>-988.48955970050883</v>
      </c>
      <c r="J36">
        <f t="shared" si="5"/>
        <v>988.48955970050883</v>
      </c>
      <c r="K36">
        <f t="shared" si="6"/>
        <v>977111.60963690584</v>
      </c>
      <c r="L36" s="27">
        <f t="shared" si="7"/>
        <v>5.5433465662881831</v>
      </c>
      <c r="M36" s="30">
        <f t="shared" si="8"/>
        <v>223729</v>
      </c>
    </row>
    <row r="37" spans="1:13">
      <c r="A37">
        <v>35</v>
      </c>
      <c r="B37">
        <v>2017</v>
      </c>
      <c r="C37">
        <v>11</v>
      </c>
      <c r="D37">
        <v>18223</v>
      </c>
      <c r="E37">
        <f t="shared" si="0"/>
        <v>18355.401654190624</v>
      </c>
      <c r="F37">
        <f t="shared" si="1"/>
        <v>63.897510959468775</v>
      </c>
      <c r="G37">
        <f t="shared" si="2"/>
        <v>1.0052763428804559</v>
      </c>
      <c r="H37">
        <f t="shared" si="3"/>
        <v>18502.157692406679</v>
      </c>
      <c r="I37">
        <f t="shared" si="4"/>
        <v>-279.15769240667942</v>
      </c>
      <c r="J37">
        <f t="shared" si="5"/>
        <v>279.15769240667942</v>
      </c>
      <c r="K37">
        <f t="shared" si="6"/>
        <v>77929.017229822231</v>
      </c>
      <c r="L37" s="27">
        <f t="shared" si="7"/>
        <v>1.5318975602627416</v>
      </c>
      <c r="M37" s="30">
        <f t="shared" si="8"/>
        <v>152881</v>
      </c>
    </row>
    <row r="38" spans="1:13">
      <c r="A38">
        <v>36</v>
      </c>
      <c r="B38">
        <v>2017</v>
      </c>
      <c r="C38">
        <v>12</v>
      </c>
      <c r="D38">
        <v>23987</v>
      </c>
      <c r="E38">
        <f t="shared" si="0"/>
        <v>18678.615523196597</v>
      </c>
      <c r="F38">
        <f t="shared" si="1"/>
        <v>88.239645193456766</v>
      </c>
      <c r="G38">
        <f t="shared" si="2"/>
        <v>1.0825552275760026</v>
      </c>
      <c r="H38">
        <f t="shared" si="3"/>
        <v>19400.71623804628</v>
      </c>
      <c r="I38">
        <f t="shared" si="4"/>
        <v>4586.2837619537204</v>
      </c>
      <c r="J38">
        <f t="shared" si="5"/>
        <v>4586.2837619537204</v>
      </c>
      <c r="K38">
        <f t="shared" si="6"/>
        <v>21033998.745160371</v>
      </c>
      <c r="L38" s="27">
        <f t="shared" si="7"/>
        <v>19.119872272287992</v>
      </c>
      <c r="M38" s="30">
        <f t="shared" si="8"/>
        <v>33223696</v>
      </c>
    </row>
    <row r="39" spans="1:13">
      <c r="A39">
        <v>37</v>
      </c>
      <c r="B39">
        <v>2018</v>
      </c>
      <c r="C39">
        <v>1</v>
      </c>
      <c r="D39">
        <v>15964</v>
      </c>
      <c r="E39">
        <f t="shared" si="0"/>
        <v>18582.732053817188</v>
      </c>
      <c r="F39">
        <f t="shared" si="1"/>
        <v>70.95593195501587</v>
      </c>
      <c r="G39">
        <f t="shared" si="2"/>
        <v>0.99822486545612399</v>
      </c>
      <c r="H39">
        <f t="shared" si="3"/>
        <v>19112.647187117713</v>
      </c>
      <c r="I39">
        <f t="shared" si="4"/>
        <v>-3148.6471871177127</v>
      </c>
      <c r="J39">
        <f t="shared" si="5"/>
        <v>3148.6471871177127</v>
      </c>
      <c r="K39">
        <f t="shared" si="6"/>
        <v>9913979.1089442857</v>
      </c>
      <c r="L39" s="27">
        <f t="shared" si="7"/>
        <v>19.723422620381566</v>
      </c>
      <c r="M39" s="30">
        <f t="shared" si="8"/>
        <v>64368529</v>
      </c>
    </row>
    <row r="40" spans="1:13">
      <c r="A40">
        <v>38</v>
      </c>
      <c r="B40">
        <v>2018</v>
      </c>
      <c r="C40">
        <v>2</v>
      </c>
      <c r="D40">
        <v>16606</v>
      </c>
      <c r="E40">
        <f t="shared" si="0"/>
        <v>18526.548508903226</v>
      </c>
      <c r="F40">
        <f t="shared" si="1"/>
        <v>59.021296455358524</v>
      </c>
      <c r="G40">
        <f t="shared" si="2"/>
        <v>0.99146575704562345</v>
      </c>
      <c r="H40">
        <f t="shared" si="3"/>
        <v>18752.111239570178</v>
      </c>
      <c r="I40">
        <f t="shared" si="4"/>
        <v>-2146.1112395701784</v>
      </c>
      <c r="J40">
        <f t="shared" si="5"/>
        <v>2146.1112395701784</v>
      </c>
      <c r="K40">
        <f t="shared" si="6"/>
        <v>4605793.4526094478</v>
      </c>
      <c r="L40" s="27">
        <f t="shared" si="7"/>
        <v>12.923709740877868</v>
      </c>
      <c r="M40" s="30">
        <f t="shared" si="8"/>
        <v>412164</v>
      </c>
    </row>
    <row r="41" spans="1:13">
      <c r="A41">
        <v>39</v>
      </c>
      <c r="B41">
        <v>2018</v>
      </c>
      <c r="C41">
        <v>3</v>
      </c>
      <c r="D41">
        <v>19216</v>
      </c>
      <c r="E41">
        <f t="shared" si="0"/>
        <v>18535.84343717857</v>
      </c>
      <c r="F41">
        <f t="shared" si="1"/>
        <v>54.353461621007021</v>
      </c>
      <c r="G41">
        <f t="shared" si="2"/>
        <v>1.0767413593112238</v>
      </c>
      <c r="H41">
        <f t="shared" si="3"/>
        <v>20119.905750269645</v>
      </c>
      <c r="I41">
        <f t="shared" si="4"/>
        <v>-903.90575026964507</v>
      </c>
      <c r="J41">
        <f t="shared" si="5"/>
        <v>903.90575026964507</v>
      </c>
      <c r="K41">
        <f t="shared" si="6"/>
        <v>817045.60537052993</v>
      </c>
      <c r="L41" s="27">
        <f t="shared" si="7"/>
        <v>4.7039225138928238</v>
      </c>
      <c r="M41" s="30">
        <f t="shared" si="8"/>
        <v>6812100</v>
      </c>
    </row>
    <row r="42" spans="1:13">
      <c r="A42">
        <v>40</v>
      </c>
      <c r="B42">
        <v>2018</v>
      </c>
      <c r="C42">
        <v>4</v>
      </c>
      <c r="D42">
        <v>16419</v>
      </c>
      <c r="E42">
        <f t="shared" si="0"/>
        <v>18462.631484278671</v>
      </c>
      <c r="F42">
        <f t="shared" si="1"/>
        <v>42.378843177054669</v>
      </c>
      <c r="G42">
        <f t="shared" si="2"/>
        <v>0.98441757490518911</v>
      </c>
      <c r="H42">
        <f t="shared" si="3"/>
        <v>18557.196798107059</v>
      </c>
      <c r="I42">
        <f t="shared" si="4"/>
        <v>-2138.1967981070593</v>
      </c>
      <c r="J42">
        <f t="shared" si="5"/>
        <v>2138.1967981070593</v>
      </c>
      <c r="K42">
        <f t="shared" si="6"/>
        <v>4571885.5474352809</v>
      </c>
      <c r="L42" s="27">
        <f t="shared" si="7"/>
        <v>13.022698082143</v>
      </c>
      <c r="M42" s="30">
        <f t="shared" si="8"/>
        <v>7823209</v>
      </c>
    </row>
    <row r="43" spans="1:13">
      <c r="A43">
        <v>41</v>
      </c>
      <c r="B43">
        <v>2018</v>
      </c>
      <c r="C43">
        <v>5</v>
      </c>
      <c r="D43">
        <v>19638</v>
      </c>
      <c r="E43">
        <f t="shared" si="0"/>
        <v>18582.551773040541</v>
      </c>
      <c r="F43">
        <f t="shared" si="1"/>
        <v>49.657690880077567</v>
      </c>
      <c r="G43">
        <f t="shared" si="2"/>
        <v>0.99974798153237021</v>
      </c>
      <c r="H43">
        <f t="shared" si="3"/>
        <v>18347.084073447972</v>
      </c>
      <c r="I43">
        <f t="shared" si="4"/>
        <v>1290.9159265520284</v>
      </c>
      <c r="J43">
        <f t="shared" si="5"/>
        <v>1290.9159265520284</v>
      </c>
      <c r="K43">
        <f t="shared" si="6"/>
        <v>1666463.9294256819</v>
      </c>
      <c r="L43" s="27">
        <f t="shared" si="7"/>
        <v>6.5735610884612914</v>
      </c>
      <c r="M43" s="30">
        <f t="shared" si="8"/>
        <v>10361961</v>
      </c>
    </row>
    <row r="44" spans="1:13">
      <c r="A44">
        <v>42</v>
      </c>
      <c r="B44">
        <v>2018</v>
      </c>
      <c r="C44">
        <v>6</v>
      </c>
      <c r="D44">
        <v>19773</v>
      </c>
      <c r="E44">
        <f t="shared" si="0"/>
        <v>18616.22102361709</v>
      </c>
      <c r="F44">
        <f t="shared" si="1"/>
        <v>48.156849348164684</v>
      </c>
      <c r="G44">
        <f t="shared" si="2"/>
        <v>1.0748901023472379</v>
      </c>
      <c r="H44">
        <f t="shared" si="3"/>
        <v>20062.070545153336</v>
      </c>
      <c r="I44">
        <f t="shared" si="4"/>
        <v>-289.07054515333584</v>
      </c>
      <c r="J44">
        <f t="shared" si="5"/>
        <v>289.07054515333584</v>
      </c>
      <c r="K44">
        <f t="shared" si="6"/>
        <v>83561.780075246774</v>
      </c>
      <c r="L44" s="27">
        <f t="shared" si="7"/>
        <v>1.4619458107183323</v>
      </c>
      <c r="M44" s="30">
        <f t="shared" si="8"/>
        <v>18225</v>
      </c>
    </row>
    <row r="45" spans="1:13">
      <c r="A45">
        <v>43</v>
      </c>
      <c r="B45">
        <v>2018</v>
      </c>
      <c r="C45">
        <v>7</v>
      </c>
      <c r="D45">
        <v>21052</v>
      </c>
      <c r="E45">
        <f t="shared" si="0"/>
        <v>18826.416740790257</v>
      </c>
      <c r="F45">
        <f t="shared" si="1"/>
        <v>63.367505171937573</v>
      </c>
      <c r="G45">
        <f t="shared" si="2"/>
        <v>1.0013793627741754</v>
      </c>
      <c r="H45">
        <f t="shared" si="3"/>
        <v>18373.541602818528</v>
      </c>
      <c r="I45">
        <f t="shared" si="4"/>
        <v>2678.4583971814718</v>
      </c>
      <c r="J45">
        <f t="shared" si="5"/>
        <v>2678.4583971814718</v>
      </c>
      <c r="K45">
        <f t="shared" si="6"/>
        <v>7174139.3854319388</v>
      </c>
      <c r="L45" s="27">
        <f t="shared" si="7"/>
        <v>12.723059078384344</v>
      </c>
      <c r="M45" s="30">
        <f t="shared" si="8"/>
        <v>1635841</v>
      </c>
    </row>
    <row r="46" spans="1:13">
      <c r="A46">
        <v>44</v>
      </c>
      <c r="B46">
        <v>2018</v>
      </c>
      <c r="C46">
        <v>8</v>
      </c>
      <c r="D46">
        <v>22011</v>
      </c>
      <c r="E46">
        <f t="shared" si="0"/>
        <v>19075.996733868204</v>
      </c>
      <c r="F46">
        <f t="shared" si="1"/>
        <v>80.847348752958624</v>
      </c>
      <c r="G46">
        <f t="shared" si="2"/>
        <v>1.0192847547783916</v>
      </c>
      <c r="H46">
        <f t="shared" si="3"/>
        <v>18885.023671482668</v>
      </c>
      <c r="I46">
        <f t="shared" si="4"/>
        <v>3125.9763285173321</v>
      </c>
      <c r="J46">
        <f t="shared" si="5"/>
        <v>3125.9763285173321</v>
      </c>
      <c r="K46">
        <f t="shared" si="6"/>
        <v>9771728.0064506996</v>
      </c>
      <c r="L46" s="27">
        <f t="shared" si="7"/>
        <v>14.201882370257291</v>
      </c>
      <c r="M46" s="30">
        <f t="shared" si="8"/>
        <v>919681</v>
      </c>
    </row>
    <row r="47" spans="1:13">
      <c r="A47">
        <v>45</v>
      </c>
      <c r="B47">
        <v>2018</v>
      </c>
      <c r="C47">
        <v>9</v>
      </c>
      <c r="D47">
        <v>19039</v>
      </c>
      <c r="E47">
        <f t="shared" si="0"/>
        <v>19070.827579092911</v>
      </c>
      <c r="F47">
        <f t="shared" si="1"/>
        <v>72.772943840764469</v>
      </c>
      <c r="G47">
        <f t="shared" si="2"/>
        <v>1.0651846217441641</v>
      </c>
      <c r="H47">
        <f t="shared" si="3"/>
        <v>20591.50209661874</v>
      </c>
      <c r="I47">
        <f t="shared" si="4"/>
        <v>-1552.5020966187403</v>
      </c>
      <c r="J47">
        <f t="shared" si="5"/>
        <v>1552.5020966187403</v>
      </c>
      <c r="K47">
        <f t="shared" si="6"/>
        <v>2410262.7600055845</v>
      </c>
      <c r="L47" s="27">
        <f t="shared" si="7"/>
        <v>8.1543258396908467</v>
      </c>
      <c r="M47" s="30">
        <f t="shared" si="8"/>
        <v>8832784</v>
      </c>
    </row>
    <row r="48" spans="1:13">
      <c r="A48">
        <v>46</v>
      </c>
      <c r="B48">
        <v>2018</v>
      </c>
      <c r="C48">
        <v>10</v>
      </c>
      <c r="D48">
        <v>17893</v>
      </c>
      <c r="E48">
        <f t="shared" si="0"/>
        <v>19067.653960342217</v>
      </c>
      <c r="F48">
        <f t="shared" si="1"/>
        <v>65.643808466744915</v>
      </c>
      <c r="G48">
        <f t="shared" si="2"/>
        <v>0.99339481665123808</v>
      </c>
      <c r="H48">
        <f t="shared" si="3"/>
        <v>19170.006492858694</v>
      </c>
      <c r="I48">
        <f t="shared" si="4"/>
        <v>-1277.0064928586944</v>
      </c>
      <c r="J48">
        <f t="shared" si="5"/>
        <v>1277.0064928586944</v>
      </c>
      <c r="K48">
        <f t="shared" si="6"/>
        <v>1630745.5828032626</v>
      </c>
      <c r="L48" s="27">
        <f t="shared" si="7"/>
        <v>7.1369054538573433</v>
      </c>
      <c r="M48" s="30">
        <f t="shared" si="8"/>
        <v>1313316</v>
      </c>
    </row>
    <row r="49" spans="1:13">
      <c r="A49">
        <v>47</v>
      </c>
      <c r="B49">
        <v>2018</v>
      </c>
      <c r="C49">
        <v>11</v>
      </c>
      <c r="D49">
        <v>19276</v>
      </c>
      <c r="E49">
        <f t="shared" si="0"/>
        <v>19120.076843651554</v>
      </c>
      <c r="F49">
        <f t="shared" si="1"/>
        <v>64.402754731054912</v>
      </c>
      <c r="G49">
        <f t="shared" si="2"/>
        <v>1.0178738149964905</v>
      </c>
      <c r="H49">
        <f t="shared" si="3"/>
        <v>19502.278724382391</v>
      </c>
      <c r="I49">
        <f t="shared" si="4"/>
        <v>-226.27872438239137</v>
      </c>
      <c r="J49">
        <f t="shared" si="5"/>
        <v>226.27872438239137</v>
      </c>
      <c r="K49">
        <f t="shared" si="6"/>
        <v>51202.061108122238</v>
      </c>
      <c r="L49" s="27">
        <f t="shared" si="7"/>
        <v>1.1738883813155809</v>
      </c>
      <c r="M49" s="30">
        <f t="shared" si="8"/>
        <v>1912689</v>
      </c>
    </row>
    <row r="50" spans="1:13">
      <c r="A50">
        <v>48</v>
      </c>
      <c r="B50">
        <v>2018</v>
      </c>
      <c r="C50">
        <v>12</v>
      </c>
      <c r="D50">
        <v>25167</v>
      </c>
      <c r="E50">
        <f t="shared" si="0"/>
        <v>19449.044568840778</v>
      </c>
      <c r="F50">
        <f t="shared" si="1"/>
        <v>89.237578392078674</v>
      </c>
      <c r="G50">
        <f t="shared" si="2"/>
        <v>1.094191413308391</v>
      </c>
      <c r="H50">
        <f t="shared" si="3"/>
        <v>20435.01264436181</v>
      </c>
      <c r="I50">
        <f t="shared" si="4"/>
        <v>4731.9873556381899</v>
      </c>
      <c r="J50">
        <f t="shared" si="5"/>
        <v>4731.9873556381899</v>
      </c>
      <c r="K50">
        <f t="shared" si="6"/>
        <v>22391704.333919708</v>
      </c>
      <c r="L50" s="27">
        <f t="shared" si="7"/>
        <v>18.802349726380537</v>
      </c>
      <c r="M50" s="30">
        <f t="shared" si="8"/>
        <v>34703881</v>
      </c>
    </row>
    <row r="51" spans="1:13">
      <c r="A51">
        <v>49</v>
      </c>
      <c r="B51">
        <v>2019</v>
      </c>
      <c r="C51">
        <v>1</v>
      </c>
      <c r="D51">
        <v>16699</v>
      </c>
      <c r="E51">
        <f t="shared" si="0"/>
        <v>19375.803002035424</v>
      </c>
      <c r="F51">
        <f t="shared" si="1"/>
        <v>73.985593548491352</v>
      </c>
      <c r="G51">
        <f t="shared" si="2"/>
        <v>0.97671848430593788</v>
      </c>
      <c r="H51">
        <f t="shared" si="3"/>
        <v>19409.228211330545</v>
      </c>
      <c r="I51">
        <f t="shared" si="4"/>
        <v>-2710.2282113305446</v>
      </c>
      <c r="J51">
        <f t="shared" si="5"/>
        <v>2710.2282113305446</v>
      </c>
      <c r="K51">
        <f t="shared" si="6"/>
        <v>7345336.9574919632</v>
      </c>
      <c r="L51" s="27">
        <f t="shared" si="7"/>
        <v>16.229883294392149</v>
      </c>
      <c r="M51" s="30">
        <f t="shared" si="8"/>
        <v>71707024</v>
      </c>
    </row>
    <row r="52" spans="1:13">
      <c r="A52">
        <v>50</v>
      </c>
      <c r="B52">
        <v>2019</v>
      </c>
      <c r="C52">
        <v>2</v>
      </c>
      <c r="D52">
        <v>16619</v>
      </c>
      <c r="E52">
        <f t="shared" si="0"/>
        <v>19263.823073616277</v>
      </c>
      <c r="F52">
        <f t="shared" si="1"/>
        <v>56.528932762679744</v>
      </c>
      <c r="G52">
        <f t="shared" si="2"/>
        <v>0.99820289683771779</v>
      </c>
      <c r="H52">
        <f t="shared" si="3"/>
        <v>19797.430518662233</v>
      </c>
      <c r="I52">
        <f t="shared" si="4"/>
        <v>-3178.4305186622332</v>
      </c>
      <c r="J52">
        <f t="shared" si="5"/>
        <v>3178.4305186622332</v>
      </c>
      <c r="K52">
        <f t="shared" si="6"/>
        <v>10102420.561963473</v>
      </c>
      <c r="L52" s="27">
        <f t="shared" si="7"/>
        <v>19.125281416825519</v>
      </c>
      <c r="M52" s="30">
        <f t="shared" si="8"/>
        <v>6400</v>
      </c>
    </row>
    <row r="53" spans="1:13">
      <c r="A53">
        <v>51</v>
      </c>
      <c r="B53">
        <v>2019</v>
      </c>
      <c r="C53">
        <v>3</v>
      </c>
      <c r="D53">
        <v>17851</v>
      </c>
      <c r="E53">
        <f t="shared" si="0"/>
        <v>19141.33026274318</v>
      </c>
      <c r="F53">
        <f t="shared" si="1"/>
        <v>39.72408733290105</v>
      </c>
      <c r="G53">
        <f t="shared" si="2"/>
        <v>1.0737049162719294</v>
      </c>
      <c r="H53">
        <f t="shared" si="3"/>
        <v>21140.1632674754</v>
      </c>
      <c r="I53">
        <f t="shared" si="4"/>
        <v>-3289.1632674754001</v>
      </c>
      <c r="J53">
        <f t="shared" si="5"/>
        <v>3289.1632674754001</v>
      </c>
      <c r="K53">
        <f t="shared" si="6"/>
        <v>10818595.000109451</v>
      </c>
      <c r="L53" s="27">
        <f t="shared" si="7"/>
        <v>18.425652722398745</v>
      </c>
      <c r="M53" s="30">
        <f t="shared" si="8"/>
        <v>1517824</v>
      </c>
    </row>
    <row r="54" spans="1:13">
      <c r="A54">
        <v>52</v>
      </c>
      <c r="B54">
        <v>2019</v>
      </c>
      <c r="C54">
        <v>4</v>
      </c>
      <c r="D54">
        <v>18160</v>
      </c>
      <c r="E54">
        <f t="shared" si="0"/>
        <v>19146.025412022347</v>
      </c>
      <c r="F54">
        <f t="shared" si="1"/>
        <v>36.435906368917529</v>
      </c>
      <c r="G54">
        <f t="shared" si="2"/>
        <v>0.97314115859546169</v>
      </c>
      <c r="H54">
        <f t="shared" si="3"/>
        <v>18734.490332196128</v>
      </c>
      <c r="I54">
        <f t="shared" si="4"/>
        <v>-574.49033219612829</v>
      </c>
      <c r="J54">
        <f t="shared" si="5"/>
        <v>574.49033219612829</v>
      </c>
      <c r="K54">
        <f t="shared" si="6"/>
        <v>330039.14178681787</v>
      </c>
      <c r="L54" s="27">
        <f t="shared" si="7"/>
        <v>3.1634930187011467</v>
      </c>
      <c r="M54" s="30">
        <f t="shared" si="8"/>
        <v>95481</v>
      </c>
    </row>
    <row r="55" spans="1:13">
      <c r="A55">
        <v>53</v>
      </c>
      <c r="B55">
        <v>2019</v>
      </c>
      <c r="C55">
        <v>5</v>
      </c>
      <c r="D55">
        <v>22032</v>
      </c>
      <c r="E55">
        <f t="shared" si="0"/>
        <v>19354.526034400678</v>
      </c>
      <c r="F55">
        <f t="shared" si="1"/>
        <v>52.587692725885589</v>
      </c>
      <c r="G55">
        <f t="shared" si="2"/>
        <v>1.0159680454192519</v>
      </c>
      <c r="H55">
        <f t="shared" si="3"/>
        <v>19147.98845649563</v>
      </c>
      <c r="I55">
        <f t="shared" si="4"/>
        <v>2884.0115435043699</v>
      </c>
      <c r="J55">
        <f t="shared" si="5"/>
        <v>2884.0115435043699</v>
      </c>
      <c r="K55">
        <f t="shared" si="6"/>
        <v>8317522.5830664579</v>
      </c>
      <c r="L55" s="27">
        <f t="shared" si="7"/>
        <v>13.090103229413444</v>
      </c>
      <c r="M55" s="30">
        <f t="shared" si="8"/>
        <v>14992384</v>
      </c>
    </row>
    <row r="56" spans="1:13">
      <c r="A56">
        <v>54</v>
      </c>
      <c r="B56">
        <v>2019</v>
      </c>
      <c r="C56">
        <v>6</v>
      </c>
      <c r="D56">
        <v>21395</v>
      </c>
      <c r="E56">
        <f t="shared" si="0"/>
        <v>19438.035410559347</v>
      </c>
      <c r="F56">
        <f t="shared" si="1"/>
        <v>55.490323992697931</v>
      </c>
      <c r="G56">
        <f t="shared" si="2"/>
        <v>1.0771242102319787</v>
      </c>
      <c r="H56">
        <f t="shared" si="3"/>
        <v>20837.513419464241</v>
      </c>
      <c r="I56">
        <f t="shared" si="4"/>
        <v>557.48658053575855</v>
      </c>
      <c r="J56">
        <f t="shared" si="5"/>
        <v>557.48658053575855</v>
      </c>
      <c r="K56">
        <f t="shared" si="6"/>
        <v>310791.28747745277</v>
      </c>
      <c r="L56" s="27">
        <f t="shared" si="7"/>
        <v>2.6056862843456816</v>
      </c>
      <c r="M56" s="30">
        <f t="shared" si="8"/>
        <v>405769</v>
      </c>
    </row>
    <row r="57" spans="1:13">
      <c r="A57">
        <v>55</v>
      </c>
      <c r="B57">
        <v>2019</v>
      </c>
      <c r="C57">
        <v>7</v>
      </c>
      <c r="D57">
        <v>22217</v>
      </c>
      <c r="E57">
        <f t="shared" si="0"/>
        <v>19692.238831449577</v>
      </c>
      <c r="F57">
        <f t="shared" si="1"/>
        <v>74.14360493174199</v>
      </c>
      <c r="G57">
        <f t="shared" si="2"/>
        <v>0.99279954989491559</v>
      </c>
      <c r="H57">
        <f t="shared" si="3"/>
        <v>18969.952218432423</v>
      </c>
      <c r="I57">
        <f t="shared" si="4"/>
        <v>3247.0477815675767</v>
      </c>
      <c r="J57">
        <f t="shared" si="5"/>
        <v>3247.0477815675767</v>
      </c>
      <c r="K57">
        <f t="shared" si="6"/>
        <v>10543319.295782922</v>
      </c>
      <c r="L57" s="27">
        <f t="shared" si="7"/>
        <v>14.61514957720474</v>
      </c>
      <c r="M57" s="30">
        <f t="shared" si="8"/>
        <v>675684</v>
      </c>
    </row>
    <row r="58" spans="1:13">
      <c r="A58">
        <v>56</v>
      </c>
      <c r="B58">
        <v>2019</v>
      </c>
      <c r="C58">
        <v>8</v>
      </c>
      <c r="D58">
        <v>24565</v>
      </c>
      <c r="E58">
        <f t="shared" si="0"/>
        <v>20029.16775081326</v>
      </c>
      <c r="F58">
        <f t="shared" si="1"/>
        <v>98.811371542423387</v>
      </c>
      <c r="G58">
        <f t="shared" si="2"/>
        <v>1.0426525394650852</v>
      </c>
      <c r="H58">
        <f t="shared" si="3"/>
        <v>20082.01292889976</v>
      </c>
      <c r="I58">
        <f t="shared" si="4"/>
        <v>4482.9870711002404</v>
      </c>
      <c r="J58">
        <f t="shared" si="5"/>
        <v>4482.9870711002404</v>
      </c>
      <c r="K58">
        <f t="shared" si="6"/>
        <v>20097173.079651911</v>
      </c>
      <c r="L58" s="27">
        <f t="shared" si="7"/>
        <v>18.249489399960268</v>
      </c>
      <c r="M58" s="30">
        <f t="shared" si="8"/>
        <v>5513104</v>
      </c>
    </row>
    <row r="59" spans="1:13">
      <c r="A59">
        <v>57</v>
      </c>
      <c r="B59">
        <v>2019</v>
      </c>
      <c r="C59">
        <v>9</v>
      </c>
      <c r="D59">
        <v>21095</v>
      </c>
      <c r="E59">
        <f t="shared" si="0"/>
        <v>20095.615931649154</v>
      </c>
      <c r="F59">
        <f t="shared" si="1"/>
        <v>95.7734253891105</v>
      </c>
      <c r="G59">
        <f t="shared" si="2"/>
        <v>1.0736515960480799</v>
      </c>
      <c r="H59">
        <f t="shared" si="3"/>
        <v>21680.333615733121</v>
      </c>
      <c r="I59">
        <f t="shared" si="4"/>
        <v>-585.33361573312141</v>
      </c>
      <c r="J59">
        <f t="shared" si="5"/>
        <v>585.33361573312141</v>
      </c>
      <c r="K59">
        <f t="shared" si="6"/>
        <v>342615.44170720945</v>
      </c>
      <c r="L59" s="27">
        <f t="shared" si="7"/>
        <v>2.7747504893724644</v>
      </c>
      <c r="M59" s="30">
        <f t="shared" si="8"/>
        <v>12040900</v>
      </c>
    </row>
    <row r="60" spans="1:13">
      <c r="A60">
        <v>58</v>
      </c>
      <c r="B60">
        <v>2019</v>
      </c>
      <c r="C60">
        <v>10</v>
      </c>
      <c r="D60">
        <v>20114</v>
      </c>
      <c r="E60">
        <f t="shared" si="0"/>
        <v>20195.468289607914</v>
      </c>
      <c r="F60">
        <f t="shared" si="1"/>
        <v>96.156316483562733</v>
      </c>
      <c r="G60">
        <f t="shared" si="2"/>
        <v>0.99320096610496522</v>
      </c>
      <c r="H60">
        <f t="shared" si="3"/>
        <v>20046.002265420579</v>
      </c>
      <c r="I60">
        <f t="shared" si="4"/>
        <v>67.997734579421376</v>
      </c>
      <c r="J60">
        <f t="shared" si="5"/>
        <v>67.997734579421376</v>
      </c>
      <c r="K60">
        <f t="shared" si="6"/>
        <v>4623.6919079334375</v>
      </c>
      <c r="L60" s="27">
        <f t="shared" si="7"/>
        <v>0.33806172108691152</v>
      </c>
      <c r="M60" s="30">
        <f t="shared" si="8"/>
        <v>962361</v>
      </c>
    </row>
    <row r="61" spans="1:13">
      <c r="A61">
        <v>59</v>
      </c>
      <c r="B61">
        <v>2019</v>
      </c>
      <c r="C61">
        <v>11</v>
      </c>
      <c r="D61">
        <v>19931</v>
      </c>
      <c r="E61">
        <f t="shared" si="0"/>
        <v>20221.591260594229</v>
      </c>
      <c r="F61">
        <f t="shared" si="1"/>
        <v>89.582257254165597</v>
      </c>
      <c r="G61">
        <f t="shared" si="2"/>
        <v>1.0354236782413235</v>
      </c>
      <c r="H61">
        <f t="shared" si="3"/>
        <v>21157.113925413487</v>
      </c>
      <c r="I61">
        <f t="shared" si="4"/>
        <v>-1226.1139254134869</v>
      </c>
      <c r="J61">
        <f t="shared" si="5"/>
        <v>1226.1139254134869</v>
      </c>
      <c r="K61">
        <f t="shared" si="6"/>
        <v>1503355.3580928696</v>
      </c>
      <c r="L61" s="27">
        <f t="shared" si="7"/>
        <v>6.151793314000737</v>
      </c>
      <c r="M61" s="30">
        <f t="shared" si="8"/>
        <v>33489</v>
      </c>
    </row>
    <row r="62" spans="1:13">
      <c r="A62">
        <v>60</v>
      </c>
      <c r="B62">
        <v>2019</v>
      </c>
      <c r="C62">
        <v>12</v>
      </c>
      <c r="D62">
        <v>26120</v>
      </c>
      <c r="E62">
        <f t="shared" si="0"/>
        <v>20550.404412808915</v>
      </c>
      <c r="F62">
        <f>$O$5*(E62-E61)+(1-$O$5)*F61</f>
        <v>112.03896072599888</v>
      </c>
      <c r="G62">
        <f t="shared" si="2"/>
        <v>1.0986723851879618</v>
      </c>
      <c r="H62">
        <f t="shared" si="3"/>
        <v>21807.123865047422</v>
      </c>
      <c r="I62">
        <f t="shared" si="4"/>
        <v>4312.8761349525776</v>
      </c>
      <c r="J62">
        <f t="shared" si="5"/>
        <v>4312.8761349525776</v>
      </c>
      <c r="K62">
        <f t="shared" si="6"/>
        <v>18600900.555443484</v>
      </c>
      <c r="L62" s="27">
        <f t="shared" si="7"/>
        <v>16.511776933202825</v>
      </c>
      <c r="M62" s="30">
        <f t="shared" si="8"/>
        <v>38303721</v>
      </c>
    </row>
    <row r="63" spans="1:13">
      <c r="A63">
        <v>61</v>
      </c>
      <c r="B63">
        <v>2020</v>
      </c>
      <c r="C63">
        <v>1</v>
      </c>
      <c r="D63">
        <v>18580</v>
      </c>
      <c r="E63">
        <f t="shared" si="0"/>
        <v>20545.999534756898</v>
      </c>
      <c r="F63">
        <f t="shared" si="1"/>
        <v>101.10832921625432</v>
      </c>
      <c r="G63">
        <f t="shared" si="2"/>
        <v>0.98193244012217129</v>
      </c>
      <c r="H63">
        <f t="shared" si="3"/>
        <v>20521.958720684015</v>
      </c>
      <c r="I63">
        <f t="shared" si="4"/>
        <v>-1941.9587206840151</v>
      </c>
      <c r="J63">
        <f t="shared" si="5"/>
        <v>1941.9587206840151</v>
      </c>
      <c r="K63">
        <f t="shared" si="6"/>
        <v>3771203.6728406968</v>
      </c>
      <c r="L63" s="27">
        <f t="shared" si="7"/>
        <v>10.451876860516766</v>
      </c>
      <c r="M63" s="30">
        <f t="shared" si="8"/>
        <v>56851600</v>
      </c>
    </row>
    <row r="64" spans="1:13">
      <c r="A64">
        <v>62</v>
      </c>
      <c r="B64">
        <v>2020</v>
      </c>
      <c r="C64">
        <v>2</v>
      </c>
      <c r="D64">
        <v>18492</v>
      </c>
      <c r="E64">
        <f t="shared" si="0"/>
        <v>20481.085046194985</v>
      </c>
      <c r="F64">
        <f t="shared" si="1"/>
        <v>85.523698355688481</v>
      </c>
      <c r="G64">
        <f t="shared" si="2"/>
        <v>1.0186211881251606</v>
      </c>
      <c r="H64">
        <f t="shared" si="3"/>
        <v>21378.50436956044</v>
      </c>
      <c r="I64">
        <f t="shared" si="4"/>
        <v>-2886.50436956044</v>
      </c>
      <c r="J64">
        <f t="shared" si="5"/>
        <v>2886.50436956044</v>
      </c>
      <c r="K64">
        <f t="shared" si="6"/>
        <v>8331907.4754915126</v>
      </c>
      <c r="L64" s="27">
        <f t="shared" si="7"/>
        <v>15.609476365782177</v>
      </c>
      <c r="M64" s="30">
        <f t="shared" si="8"/>
        <v>7744</v>
      </c>
    </row>
    <row r="65" spans="1:13">
      <c r="A65">
        <v>63</v>
      </c>
      <c r="B65">
        <v>2020</v>
      </c>
      <c r="C65">
        <v>3</v>
      </c>
      <c r="D65">
        <v>19724</v>
      </c>
      <c r="E65">
        <f t="shared" si="0"/>
        <v>20410.931691983893</v>
      </c>
      <c r="F65">
        <f t="shared" si="1"/>
        <v>70.910228772513989</v>
      </c>
      <c r="G65">
        <f t="shared" si="2"/>
        <v>1.0818970689198801</v>
      </c>
      <c r="H65">
        <f t="shared" si="3"/>
        <v>22595.965084603082</v>
      </c>
      <c r="I65">
        <f t="shared" si="4"/>
        <v>-2871.9650846030818</v>
      </c>
      <c r="J65">
        <f t="shared" si="5"/>
        <v>2871.9650846030818</v>
      </c>
      <c r="K65">
        <f t="shared" si="6"/>
        <v>8248183.4471791871</v>
      </c>
      <c r="L65" s="27">
        <f t="shared" si="7"/>
        <v>14.560763965742657</v>
      </c>
      <c r="M65" s="30">
        <f t="shared" si="8"/>
        <v>1517824</v>
      </c>
    </row>
    <row r="66" spans="1:13">
      <c r="A66">
        <v>64</v>
      </c>
      <c r="B66">
        <v>2020</v>
      </c>
      <c r="C66">
        <v>4</v>
      </c>
      <c r="D66">
        <v>20123</v>
      </c>
      <c r="E66">
        <f t="shared" si="0"/>
        <v>20482.522111512197</v>
      </c>
      <c r="F66">
        <f>$O$5*(E66-E65)+(1-$O$5)*F65</f>
        <v>70.974078561269636</v>
      </c>
      <c r="G66">
        <f t="shared" si="2"/>
        <v>0.98199771854270423</v>
      </c>
      <c r="H66">
        <f t="shared" si="3"/>
        <v>20111.785015444919</v>
      </c>
      <c r="I66">
        <f t="shared" si="4"/>
        <v>11.214984555081173</v>
      </c>
      <c r="J66">
        <f t="shared" si="5"/>
        <v>11.214984555081173</v>
      </c>
      <c r="K66">
        <f t="shared" si="6"/>
        <v>125.77587857070927</v>
      </c>
      <c r="L66" s="27">
        <f t="shared" si="7"/>
        <v>5.5732169930334315E-2</v>
      </c>
      <c r="M66" s="30">
        <f t="shared" si="8"/>
        <v>159201</v>
      </c>
    </row>
    <row r="67" spans="1:13">
      <c r="A67">
        <v>65</v>
      </c>
      <c r="B67">
        <v>2020</v>
      </c>
      <c r="C67">
        <v>5</v>
      </c>
      <c r="D67">
        <v>22582</v>
      </c>
      <c r="E67">
        <f t="shared" si="0"/>
        <v>20649.717431952853</v>
      </c>
      <c r="F67">
        <f t="shared" si="1"/>
        <v>80.006406500909364</v>
      </c>
      <c r="G67">
        <f t="shared" si="2"/>
        <v>1.0281230844377978</v>
      </c>
      <c r="H67">
        <f t="shared" si="3"/>
        <v>20936.226709258597</v>
      </c>
      <c r="I67">
        <f t="shared" si="4"/>
        <v>1645.7732907414029</v>
      </c>
      <c r="J67">
        <f t="shared" si="5"/>
        <v>1645.7732907414029</v>
      </c>
      <c r="K67">
        <f t="shared" si="6"/>
        <v>2708569.7245177864</v>
      </c>
      <c r="L67" s="27">
        <f t="shared" si="7"/>
        <v>7.2879872940457124</v>
      </c>
      <c r="M67" s="30">
        <f t="shared" si="8"/>
        <v>6046681</v>
      </c>
    </row>
    <row r="68" spans="1:13">
      <c r="A68">
        <v>66</v>
      </c>
      <c r="B68">
        <v>2020</v>
      </c>
      <c r="C68">
        <v>6</v>
      </c>
      <c r="D68">
        <v>22595</v>
      </c>
      <c r="E68">
        <f t="shared" si="0"/>
        <v>20738.948077751898</v>
      </c>
      <c r="F68">
        <f t="shared" si="1"/>
        <v>80.872289675010492</v>
      </c>
      <c r="G68">
        <f t="shared" si="2"/>
        <v>1.0828603887883121</v>
      </c>
      <c r="H68">
        <f t="shared" si="3"/>
        <v>22427.427460341692</v>
      </c>
      <c r="I68">
        <f t="shared" si="4"/>
        <v>167.57253965830751</v>
      </c>
      <c r="J68">
        <f t="shared" si="5"/>
        <v>167.57253965830751</v>
      </c>
      <c r="K68">
        <f t="shared" si="6"/>
        <v>28080.556047535043</v>
      </c>
      <c r="L68" s="27">
        <f t="shared" si="7"/>
        <v>0.74163549306619836</v>
      </c>
      <c r="M68" s="30">
        <f t="shared" si="8"/>
        <v>169</v>
      </c>
    </row>
    <row r="69" spans="1:13">
      <c r="A69">
        <v>67</v>
      </c>
      <c r="B69">
        <v>2020</v>
      </c>
      <c r="C69">
        <v>7</v>
      </c>
      <c r="D69">
        <v>23379</v>
      </c>
      <c r="E69">
        <f t="shared" si="0"/>
        <v>20997.755170049619</v>
      </c>
      <c r="F69">
        <f t="shared" si="1"/>
        <v>97.575103500443802</v>
      </c>
      <c r="G69">
        <f t="shared" si="2"/>
        <v>0.99865634725874353</v>
      </c>
      <c r="H69">
        <f t="shared" si="3"/>
        <v>20445.016101282152</v>
      </c>
      <c r="I69">
        <f t="shared" si="4"/>
        <v>2933.9838987178482</v>
      </c>
      <c r="J69">
        <f t="shared" si="5"/>
        <v>2933.9838987178482</v>
      </c>
      <c r="K69">
        <f t="shared" si="6"/>
        <v>8608261.5179355852</v>
      </c>
      <c r="L69" s="27">
        <f t="shared" si="7"/>
        <v>12.549655240676882</v>
      </c>
      <c r="M69" s="30">
        <f t="shared" si="8"/>
        <v>614656</v>
      </c>
    </row>
    <row r="70" spans="1:13">
      <c r="A70">
        <v>68</v>
      </c>
      <c r="B70">
        <v>2020</v>
      </c>
      <c r="C70">
        <v>8</v>
      </c>
      <c r="D70">
        <v>24920</v>
      </c>
      <c r="E70">
        <f t="shared" si="0"/>
        <v>21282.510426381865</v>
      </c>
      <c r="F70">
        <f t="shared" si="1"/>
        <v>115.14578218995791</v>
      </c>
      <c r="G70">
        <f t="shared" si="2"/>
        <v>1.046224927273206</v>
      </c>
      <c r="H70">
        <f t="shared" si="3"/>
        <v>21688.596028076343</v>
      </c>
      <c r="I70">
        <f t="shared" si="4"/>
        <v>3231.4039719236571</v>
      </c>
      <c r="J70">
        <f t="shared" si="5"/>
        <v>3231.4039719236571</v>
      </c>
      <c r="K70">
        <f t="shared" si="6"/>
        <v>10441971.629763987</v>
      </c>
      <c r="L70" s="27">
        <f t="shared" si="7"/>
        <v>12.967110641748222</v>
      </c>
      <c r="M70" s="30">
        <f t="shared" si="8"/>
        <v>2374681</v>
      </c>
    </row>
    <row r="71" spans="1:13">
      <c r="A71">
        <v>69</v>
      </c>
      <c r="B71">
        <v>2020</v>
      </c>
      <c r="C71">
        <v>9</v>
      </c>
      <c r="D71">
        <v>20325</v>
      </c>
      <c r="E71">
        <f t="shared" ref="E71:E74" si="9">$O$4*(D71/G68)+(1-$O$4)*(E70+F70)</f>
        <v>21241.151870157821</v>
      </c>
      <c r="F71">
        <f t="shared" ref="F71:F74" si="10">$O$5*(E71-E70)+(1-$O$5)*F70</f>
        <v>100.45465494070076</v>
      </c>
      <c r="G71">
        <f t="shared" ref="G71:G74" si="11">$O$6*(D71/E71)+(1-$O$6)*G68</f>
        <v>1.0668883071581854</v>
      </c>
      <c r="H71">
        <f t="shared" ref="H71:H74" si="12">(E70+1*F70)*G68</f>
        <v>23170.674321172723</v>
      </c>
      <c r="I71">
        <f t="shared" ref="I71:I74" si="13">D71-H71</f>
        <v>-2845.6743211727226</v>
      </c>
      <c r="J71">
        <f t="shared" ref="J71:J74" si="14">ABS(I71)</f>
        <v>2845.6743211727226</v>
      </c>
      <c r="K71">
        <f t="shared" ref="K71:K74" si="15">I71^2</f>
        <v>8097862.3421818353</v>
      </c>
      <c r="L71" s="27">
        <f t="shared" ref="L71:L74" si="16">ABS(D71-H71)/D71*100</f>
        <v>14.000857668746484</v>
      </c>
      <c r="M71" s="30">
        <f t="shared" ref="M71:M74" si="17">(D71-D70)^2</f>
        <v>21114025</v>
      </c>
    </row>
    <row r="72" spans="1:13">
      <c r="A72">
        <v>70</v>
      </c>
      <c r="B72">
        <v>2020</v>
      </c>
      <c r="C72">
        <v>10</v>
      </c>
      <c r="D72">
        <v>22038</v>
      </c>
      <c r="E72">
        <f t="shared" si="9"/>
        <v>21384.845663751345</v>
      </c>
      <c r="F72">
        <f t="shared" si="10"/>
        <v>104.51353084493618</v>
      </c>
      <c r="G72">
        <f t="shared" si="11"/>
        <v>1.0026986395843993</v>
      </c>
      <c r="H72">
        <f t="shared" si="12"/>
        <v>21312.930816988257</v>
      </c>
      <c r="I72">
        <f t="shared" si="13"/>
        <v>725.06918301174301</v>
      </c>
      <c r="J72">
        <f t="shared" si="14"/>
        <v>725.06918301174301</v>
      </c>
      <c r="K72">
        <f t="shared" si="15"/>
        <v>525725.32015331648</v>
      </c>
      <c r="L72" s="27">
        <f t="shared" si="16"/>
        <v>3.2900861376338275</v>
      </c>
      <c r="M72" s="30">
        <f t="shared" si="17"/>
        <v>2934369</v>
      </c>
    </row>
    <row r="73" spans="1:13">
      <c r="A73">
        <v>71</v>
      </c>
      <c r="B73">
        <v>2020</v>
      </c>
      <c r="C73">
        <v>11</v>
      </c>
      <c r="D73">
        <v>20988</v>
      </c>
      <c r="E73">
        <f t="shared" si="9"/>
        <v>21404.276042263598</v>
      </c>
      <c r="F73">
        <f t="shared" si="10"/>
        <v>96.526739997127095</v>
      </c>
      <c r="G73">
        <f t="shared" si="11"/>
        <v>1.0378994559561969</v>
      </c>
      <c r="H73">
        <f t="shared" si="12"/>
        <v>22482.703260514296</v>
      </c>
      <c r="I73">
        <f t="shared" si="13"/>
        <v>-1494.7032605142958</v>
      </c>
      <c r="J73">
        <f t="shared" si="14"/>
        <v>1494.7032605142958</v>
      </c>
      <c r="K73">
        <f t="shared" si="15"/>
        <v>2234137.8369920668</v>
      </c>
      <c r="L73" s="27">
        <f t="shared" si="16"/>
        <v>7.1217041190885064</v>
      </c>
      <c r="M73" s="30">
        <f t="shared" si="17"/>
        <v>1102500</v>
      </c>
    </row>
    <row r="74" spans="1:13">
      <c r="A74">
        <v>72</v>
      </c>
      <c r="B74">
        <v>2020</v>
      </c>
      <c r="C74">
        <v>12</v>
      </c>
      <c r="D74">
        <v>26675</v>
      </c>
      <c r="E74">
        <f t="shared" si="9"/>
        <v>21709.351146176457</v>
      </c>
      <c r="F74">
        <f t="shared" si="10"/>
        <v>116.10326153613829</v>
      </c>
      <c r="G74">
        <f t="shared" si="11"/>
        <v>1.0874055800981228</v>
      </c>
      <c r="H74">
        <f t="shared" si="12"/>
        <v>22938.955082908149</v>
      </c>
      <c r="I74">
        <f t="shared" si="13"/>
        <v>3736.0449170918509</v>
      </c>
      <c r="J74">
        <f t="shared" si="14"/>
        <v>3736.0449170918509</v>
      </c>
      <c r="K74">
        <f t="shared" si="15"/>
        <v>13958031.622527855</v>
      </c>
      <c r="L74" s="27">
        <f t="shared" si="16"/>
        <v>14.005791629210313</v>
      </c>
      <c r="M74" s="30">
        <f t="shared" si="17"/>
        <v>32341969</v>
      </c>
    </row>
  </sheetData>
  <mergeCells count="2">
    <mergeCell ref="I1:M1"/>
    <mergeCell ref="O18:P2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4F487-A48A-4714-96EE-6EC2CBA06EB4}">
  <dimension ref="A1:P86"/>
  <sheetViews>
    <sheetView tabSelected="1" topLeftCell="I1" zoomScale="92" workbookViewId="0">
      <selection activeCell="E30" sqref="E30"/>
    </sheetView>
  </sheetViews>
  <sheetFormatPr defaultColWidth="11" defaultRowHeight="15.75"/>
  <cols>
    <col min="13" max="13" width="11.75" bestFit="1" customWidth="1"/>
    <col min="14" max="14" width="28" bestFit="1" customWidth="1"/>
  </cols>
  <sheetData>
    <row r="1" spans="1:15" ht="21">
      <c r="A1" s="13" t="s">
        <v>2</v>
      </c>
      <c r="I1" s="25" t="s">
        <v>63</v>
      </c>
      <c r="J1" s="25"/>
      <c r="K1" s="25"/>
      <c r="L1" s="25"/>
      <c r="M1" s="25"/>
    </row>
    <row r="2" spans="1:15" ht="47.25">
      <c r="A2" s="9" t="s">
        <v>6</v>
      </c>
      <c r="B2" s="9" t="s">
        <v>5</v>
      </c>
      <c r="C2" s="9" t="s">
        <v>4</v>
      </c>
      <c r="D2" s="9" t="s">
        <v>3</v>
      </c>
      <c r="E2" s="9" t="s">
        <v>46</v>
      </c>
      <c r="F2" s="9" t="s">
        <v>47</v>
      </c>
      <c r="G2" s="9" t="s">
        <v>48</v>
      </c>
      <c r="H2" s="9" t="s">
        <v>49</v>
      </c>
      <c r="I2" s="9" t="s">
        <v>55</v>
      </c>
      <c r="J2" s="9" t="s">
        <v>64</v>
      </c>
      <c r="K2" s="29" t="s">
        <v>56</v>
      </c>
      <c r="L2" s="28" t="s">
        <v>61</v>
      </c>
      <c r="M2" s="28" t="s">
        <v>62</v>
      </c>
    </row>
    <row r="3" spans="1:15">
      <c r="A3">
        <v>1</v>
      </c>
      <c r="B3">
        <v>2015</v>
      </c>
      <c r="C3">
        <v>1</v>
      </c>
      <c r="D3">
        <v>16198</v>
      </c>
      <c r="G3">
        <f>D3/$E$26</f>
        <v>0.90998295912061578</v>
      </c>
      <c r="N3" t="s">
        <v>50</v>
      </c>
      <c r="O3">
        <f>AVERAGE(D3:D26)</f>
        <v>17800.333333333332</v>
      </c>
    </row>
    <row r="4" spans="1:15">
      <c r="A4">
        <v>2</v>
      </c>
      <c r="B4">
        <v>2015</v>
      </c>
      <c r="C4">
        <v>2</v>
      </c>
      <c r="D4">
        <v>15060</v>
      </c>
      <c r="G4">
        <f>D4/$E$26</f>
        <v>0.84605157206793891</v>
      </c>
      <c r="N4" t="s">
        <v>51</v>
      </c>
      <c r="O4">
        <v>0.20212786158626259</v>
      </c>
    </row>
    <row r="5" spans="1:15">
      <c r="A5">
        <v>3</v>
      </c>
      <c r="B5">
        <v>2015</v>
      </c>
      <c r="C5">
        <v>3</v>
      </c>
      <c r="D5">
        <v>16168</v>
      </c>
      <c r="G5">
        <f>D5/$E$26</f>
        <v>0.90829759742326932</v>
      </c>
      <c r="N5" t="s">
        <v>52</v>
      </c>
      <c r="O5">
        <v>2.9755476804993134E-2</v>
      </c>
    </row>
    <row r="6" spans="1:15">
      <c r="A6">
        <v>4</v>
      </c>
      <c r="B6">
        <v>2015</v>
      </c>
      <c r="C6">
        <v>4</v>
      </c>
      <c r="D6">
        <v>16376</v>
      </c>
      <c r="G6">
        <f>D6/$E$26</f>
        <v>0.91998277185820498</v>
      </c>
      <c r="L6" s="27"/>
      <c r="M6" s="30"/>
      <c r="N6" t="s">
        <v>53</v>
      </c>
      <c r="O6">
        <v>0.8683149608762275</v>
      </c>
    </row>
    <row r="7" spans="1:15">
      <c r="A7">
        <v>5</v>
      </c>
      <c r="B7">
        <v>2015</v>
      </c>
      <c r="C7">
        <v>5</v>
      </c>
      <c r="D7">
        <v>18403</v>
      </c>
      <c r="G7">
        <f>D7/$E$26</f>
        <v>1.033857043875583</v>
      </c>
      <c r="L7" s="27"/>
      <c r="M7" s="30"/>
    </row>
    <row r="8" spans="1:15">
      <c r="A8">
        <v>6</v>
      </c>
      <c r="B8">
        <v>2015</v>
      </c>
      <c r="C8">
        <v>6</v>
      </c>
      <c r="D8">
        <v>19113</v>
      </c>
      <c r="G8">
        <f>D8/$E$26</f>
        <v>1.07374393737945</v>
      </c>
      <c r="L8" s="27"/>
      <c r="M8" s="30"/>
      <c r="N8" t="s">
        <v>57</v>
      </c>
      <c r="O8" t="e">
        <f ca="1">AVERAGE(I27:I74)</f>
        <v>#REF!</v>
      </c>
    </row>
    <row r="9" spans="1:15">
      <c r="A9">
        <v>7</v>
      </c>
      <c r="B9">
        <v>2015</v>
      </c>
      <c r="C9">
        <v>7</v>
      </c>
      <c r="D9">
        <v>19303</v>
      </c>
      <c r="G9">
        <f>D9/$E$26</f>
        <v>1.0844178947959777</v>
      </c>
      <c r="L9" s="27"/>
      <c r="M9" s="30"/>
      <c r="N9" t="s">
        <v>58</v>
      </c>
      <c r="O9" t="e">
        <f ca="1">AVERAGE(J27:J74)</f>
        <v>#REF!</v>
      </c>
    </row>
    <row r="10" spans="1:15">
      <c r="A10">
        <v>8</v>
      </c>
      <c r="B10">
        <v>2015</v>
      </c>
      <c r="C10">
        <v>8</v>
      </c>
      <c r="D10">
        <v>20560</v>
      </c>
      <c r="G10">
        <f>D10/$E$26</f>
        <v>1.1550345499147956</v>
      </c>
      <c r="L10" s="27"/>
      <c r="M10" s="30"/>
      <c r="N10" t="s">
        <v>60</v>
      </c>
      <c r="O10" s="27" t="e">
        <f ca="1">AVERAGE(L27:L74)</f>
        <v>#REF!</v>
      </c>
    </row>
    <row r="11" spans="1:15">
      <c r="A11">
        <v>9</v>
      </c>
      <c r="B11">
        <v>2015</v>
      </c>
      <c r="C11">
        <v>9</v>
      </c>
      <c r="D11">
        <v>16621</v>
      </c>
      <c r="G11">
        <f>D11/$E$26</f>
        <v>0.93374655905320136</v>
      </c>
      <c r="L11" s="27"/>
      <c r="M11" s="30"/>
      <c r="N11" t="s">
        <v>59</v>
      </c>
      <c r="O11" t="e">
        <f ca="1">AVERAGE(K27:K74)</f>
        <v>#REF!</v>
      </c>
    </row>
    <row r="12" spans="1:15">
      <c r="A12">
        <v>10</v>
      </c>
      <c r="B12">
        <v>2015</v>
      </c>
      <c r="C12">
        <v>10</v>
      </c>
      <c r="D12">
        <v>18788</v>
      </c>
      <c r="G12">
        <f>D12/$E$26</f>
        <v>1.0554858523248629</v>
      </c>
      <c r="L12" s="27"/>
      <c r="M12" s="30"/>
      <c r="N12" t="s">
        <v>54</v>
      </c>
      <c r="O12" t="e">
        <f ca="1">SQRT(SUM(K27:K74)/SUM(M27:M74))</f>
        <v>#REF!</v>
      </c>
    </row>
    <row r="13" spans="1:15">
      <c r="A13">
        <v>11</v>
      </c>
      <c r="B13">
        <v>2015</v>
      </c>
      <c r="C13">
        <v>11</v>
      </c>
      <c r="D13">
        <v>17970</v>
      </c>
      <c r="G13">
        <f>D13/$E$26</f>
        <v>1.0095316567105486</v>
      </c>
      <c r="L13" s="27"/>
      <c r="M13" s="30"/>
    </row>
    <row r="14" spans="1:15">
      <c r="A14">
        <v>12</v>
      </c>
      <c r="B14">
        <v>2015</v>
      </c>
      <c r="C14">
        <v>12</v>
      </c>
      <c r="D14">
        <v>22464</v>
      </c>
      <c r="G14">
        <f>D14/$E$26</f>
        <v>1.261998838973053</v>
      </c>
      <c r="L14" s="27"/>
      <c r="M14" s="30"/>
    </row>
    <row r="15" spans="1:15">
      <c r="A15">
        <v>13</v>
      </c>
      <c r="B15">
        <v>2016</v>
      </c>
      <c r="C15">
        <v>1</v>
      </c>
      <c r="D15">
        <v>16658</v>
      </c>
      <c r="G15">
        <f>D15/$E$26</f>
        <v>0.93582517181326197</v>
      </c>
      <c r="L15" s="27"/>
      <c r="M15" s="30"/>
    </row>
    <row r="16" spans="1:15">
      <c r="A16">
        <v>14</v>
      </c>
      <c r="B16">
        <v>2016</v>
      </c>
      <c r="C16">
        <v>2</v>
      </c>
      <c r="D16">
        <v>16214</v>
      </c>
      <c r="G16">
        <f>D16/$E$26</f>
        <v>0.91088181869253393</v>
      </c>
      <c r="L16" s="27"/>
      <c r="M16" s="30"/>
    </row>
    <row r="17" spans="1:16">
      <c r="A17">
        <v>15</v>
      </c>
      <c r="B17">
        <v>2016</v>
      </c>
      <c r="C17">
        <v>3</v>
      </c>
      <c r="D17">
        <v>16043</v>
      </c>
      <c r="G17">
        <f>D17/$E$26</f>
        <v>0.90127525701765887</v>
      </c>
      <c r="L17" s="27"/>
      <c r="M17" s="30"/>
    </row>
    <row r="18" spans="1:16">
      <c r="A18">
        <v>16</v>
      </c>
      <c r="B18">
        <v>2016</v>
      </c>
      <c r="C18">
        <v>4</v>
      </c>
      <c r="D18">
        <v>16418</v>
      </c>
      <c r="G18">
        <f>D18/$E$26</f>
        <v>0.92234227823449</v>
      </c>
      <c r="L18" s="27"/>
      <c r="M18" s="30"/>
      <c r="O18" s="31" t="s">
        <v>65</v>
      </c>
      <c r="P18" s="31"/>
    </row>
    <row r="19" spans="1:16">
      <c r="A19">
        <v>17</v>
      </c>
      <c r="B19">
        <v>2016</v>
      </c>
      <c r="C19">
        <v>5</v>
      </c>
      <c r="D19">
        <v>17644</v>
      </c>
      <c r="G19">
        <f>D19/$E$26</f>
        <v>0.99121739293271671</v>
      </c>
      <c r="L19" s="27"/>
      <c r="M19" s="30"/>
      <c r="O19" s="31"/>
      <c r="P19" s="31"/>
    </row>
    <row r="20" spans="1:16">
      <c r="A20">
        <v>18</v>
      </c>
      <c r="B20">
        <v>2016</v>
      </c>
      <c r="C20">
        <v>6</v>
      </c>
      <c r="D20">
        <v>17705</v>
      </c>
      <c r="G20">
        <f>D20/$E$26</f>
        <v>0.99464429505065455</v>
      </c>
      <c r="L20" s="27"/>
      <c r="M20" s="30"/>
      <c r="O20" s="31"/>
      <c r="P20" s="31"/>
    </row>
    <row r="21" spans="1:16">
      <c r="A21">
        <v>19</v>
      </c>
      <c r="B21">
        <v>2016</v>
      </c>
      <c r="C21">
        <v>7</v>
      </c>
      <c r="D21">
        <v>18107</v>
      </c>
      <c r="G21">
        <f>D21/$E$26</f>
        <v>1.0172281417950975</v>
      </c>
      <c r="L21" s="27"/>
      <c r="M21" s="30"/>
      <c r="O21" s="31"/>
      <c r="P21" s="31"/>
    </row>
    <row r="22" spans="1:16">
      <c r="A22">
        <v>20</v>
      </c>
      <c r="B22">
        <v>2016</v>
      </c>
      <c r="C22">
        <v>8</v>
      </c>
      <c r="D22">
        <v>17975</v>
      </c>
      <c r="G22">
        <f>D22/$E$26</f>
        <v>1.009812550326773</v>
      </c>
      <c r="L22" s="27"/>
      <c r="M22" s="30"/>
      <c r="O22" s="31"/>
      <c r="P22" s="31"/>
    </row>
    <row r="23" spans="1:16">
      <c r="A23">
        <v>21</v>
      </c>
      <c r="B23">
        <v>2016</v>
      </c>
      <c r="C23">
        <v>9</v>
      </c>
      <c r="D23">
        <v>17598</v>
      </c>
      <c r="G23">
        <f>D23/$E$26</f>
        <v>0.9886331716634521</v>
      </c>
      <c r="L23" s="27"/>
      <c r="M23" s="30"/>
      <c r="O23" s="31"/>
      <c r="P23" s="31"/>
    </row>
    <row r="24" spans="1:16">
      <c r="A24">
        <v>22</v>
      </c>
      <c r="B24">
        <v>2016</v>
      </c>
      <c r="C24">
        <v>10</v>
      </c>
      <c r="D24">
        <v>17658</v>
      </c>
      <c r="G24">
        <f>D24/$E$26</f>
        <v>0.99200389505814501</v>
      </c>
      <c r="L24" s="27"/>
      <c r="M24" s="30"/>
    </row>
    <row r="25" spans="1:16">
      <c r="A25">
        <v>23</v>
      </c>
      <c r="B25">
        <v>2016</v>
      </c>
      <c r="C25">
        <v>11</v>
      </c>
      <c r="D25">
        <v>15750</v>
      </c>
      <c r="G25">
        <f>D25/$E$26</f>
        <v>0.88481489110690814</v>
      </c>
      <c r="L25" s="27"/>
      <c r="M25" s="30"/>
    </row>
    <row r="26" spans="1:16">
      <c r="A26">
        <v>24</v>
      </c>
      <c r="B26">
        <v>2016</v>
      </c>
      <c r="C26">
        <v>12</v>
      </c>
      <c r="D26">
        <v>22414</v>
      </c>
      <c r="E26">
        <f>O3</f>
        <v>17800.333333333332</v>
      </c>
      <c r="F26">
        <v>2</v>
      </c>
      <c r="G26">
        <f>D26/$E$26</f>
        <v>1.2591899028108089</v>
      </c>
      <c r="L26" s="27"/>
      <c r="M26" s="30"/>
    </row>
    <row r="27" spans="1:16">
      <c r="A27">
        <v>25</v>
      </c>
      <c r="B27">
        <v>2017</v>
      </c>
      <c r="C27">
        <v>1</v>
      </c>
      <c r="D27">
        <v>16065</v>
      </c>
      <c r="E27">
        <f>$O$4*(D27/G15)+(1-$O$4)*(E26+F26)</f>
        <v>17673.847652221259</v>
      </c>
      <c r="F27">
        <f>$O$5*(E27-E26)+(1-$O$5)*F26</f>
        <v>-1.8231527041040476</v>
      </c>
      <c r="G27">
        <f>$O$6*(D27/E27)+(1-$O$6)*G15</f>
        <v>0.91250655698013028</v>
      </c>
      <c r="H27">
        <f>(E26+1*F26)*G15</f>
        <v>16659.871650343626</v>
      </c>
      <c r="I27">
        <f t="shared" ref="I27:I70" si="0">D27-H27</f>
        <v>-594.87165034362624</v>
      </c>
      <c r="J27">
        <f t="shared" ref="J7:J70" si="1">ABS(I27)</f>
        <v>594.87165034362624</v>
      </c>
      <c r="K27">
        <f t="shared" ref="K7:K70" si="2">I27^2</f>
        <v>353872.28038254951</v>
      </c>
      <c r="L27" s="27">
        <f t="shared" ref="L27:L70" si="3">ABS(D27-H27)/D27*100</f>
        <v>3.7029047640437365</v>
      </c>
      <c r="M27" s="30">
        <f t="shared" ref="M27:M70" si="4">(D27-D26)^2</f>
        <v>40309801</v>
      </c>
    </row>
    <row r="28" spans="1:16">
      <c r="A28">
        <v>26</v>
      </c>
      <c r="B28">
        <v>2017</v>
      </c>
      <c r="C28">
        <v>2</v>
      </c>
      <c r="D28">
        <v>15467</v>
      </c>
      <c r="E28">
        <f t="shared" ref="E28:E74" si="5">$O$4*(D28/G16)+(1-$O$4)*(E27+F27)</f>
        <v>17532.197376914963</v>
      </c>
      <c r="F28">
        <f t="shared" ref="F28:F74" si="6">$O$5*(E28-E27)+(1-$O$5)*F27</f>
        <v>-5.9837754074025007</v>
      </c>
      <c r="G28">
        <f t="shared" ref="G28:G74" si="7">$O$6*(D28/E28)+(1-$O$6)*G16</f>
        <v>0.88598169494984191</v>
      </c>
      <c r="H28">
        <f t="shared" ref="H28:H74" si="8">(E27+1*F27)*G16</f>
        <v>16097.125816099204</v>
      </c>
      <c r="I28">
        <f t="shared" si="0"/>
        <v>-630.1258160992038</v>
      </c>
      <c r="J28">
        <f t="shared" si="1"/>
        <v>630.1258160992038</v>
      </c>
      <c r="K28">
        <f t="shared" si="2"/>
        <v>397058.5441146876</v>
      </c>
      <c r="L28" s="27">
        <f t="shared" si="3"/>
        <v>4.0740015264705747</v>
      </c>
      <c r="M28" s="30">
        <f t="shared" si="4"/>
        <v>357604</v>
      </c>
    </row>
    <row r="29" spans="1:16">
      <c r="A29">
        <v>27</v>
      </c>
      <c r="B29">
        <v>2017</v>
      </c>
      <c r="C29">
        <v>3</v>
      </c>
      <c r="D29">
        <v>16297</v>
      </c>
      <c r="E29">
        <f t="shared" si="5"/>
        <v>17638.585095356022</v>
      </c>
      <c r="F29">
        <f t="shared" si="6"/>
        <v>-2.6401080286521639</v>
      </c>
      <c r="G29">
        <f t="shared" si="7"/>
        <v>0.92095567239398501</v>
      </c>
      <c r="H29">
        <f t="shared" si="8"/>
        <v>15795.942668245114</v>
      </c>
      <c r="I29">
        <f t="shared" si="0"/>
        <v>501.05733175488604</v>
      </c>
      <c r="J29">
        <f t="shared" si="1"/>
        <v>501.05733175488604</v>
      </c>
      <c r="K29">
        <f t="shared" si="2"/>
        <v>251058.44970532594</v>
      </c>
      <c r="L29" s="27">
        <f t="shared" si="3"/>
        <v>3.0745372262065782</v>
      </c>
      <c r="M29" s="30">
        <f t="shared" si="4"/>
        <v>688900</v>
      </c>
    </row>
    <row r="30" spans="1:16">
      <c r="A30">
        <v>28</v>
      </c>
      <c r="B30">
        <v>2017</v>
      </c>
      <c r="C30">
        <v>4</v>
      </c>
      <c r="D30">
        <v>16530</v>
      </c>
      <c r="E30" t="e" cm="1">
        <f t="array" aca="1" ref="E30" ca="1">$O$4*C3:C14(D30/G18)+(1-$O$4)*(E29+F29)</f>
        <v>#REF!</v>
      </c>
      <c r="F30" t="e">
        <f t="shared" ca="1" si="6"/>
        <v>#REF!</v>
      </c>
      <c r="G30" t="e">
        <f t="shared" ca="1" si="7"/>
        <v>#REF!</v>
      </c>
      <c r="H30">
        <f t="shared" si="8"/>
        <v>16266.377678429661</v>
      </c>
      <c r="I30">
        <f t="shared" si="0"/>
        <v>263.62232157033941</v>
      </c>
      <c r="J30">
        <f t="shared" si="1"/>
        <v>263.62232157033941</v>
      </c>
      <c r="K30">
        <f t="shared" si="2"/>
        <v>69496.728430135438</v>
      </c>
      <c r="L30" s="27">
        <f t="shared" si="3"/>
        <v>1.594811382760674</v>
      </c>
      <c r="M30" s="30">
        <f t="shared" si="4"/>
        <v>54289</v>
      </c>
    </row>
    <row r="31" spans="1:16">
      <c r="A31">
        <v>29</v>
      </c>
      <c r="B31">
        <v>2017</v>
      </c>
      <c r="C31">
        <v>5</v>
      </c>
      <c r="D31">
        <v>18410</v>
      </c>
      <c r="E31" t="e">
        <f t="shared" ca="1" si="5"/>
        <v>#REF!</v>
      </c>
      <c r="F31" t="e">
        <f t="shared" ca="1" si="6"/>
        <v>#REF!</v>
      </c>
      <c r="G31" t="e">
        <f t="shared" ca="1" si="7"/>
        <v>#REF!</v>
      </c>
      <c r="H31" t="e">
        <f t="shared" ca="1" si="8"/>
        <v>#REF!</v>
      </c>
      <c r="I31" t="e">
        <f t="shared" ca="1" si="0"/>
        <v>#REF!</v>
      </c>
      <c r="J31" t="e">
        <f t="shared" ca="1" si="1"/>
        <v>#REF!</v>
      </c>
      <c r="K31" t="e">
        <f t="shared" ca="1" si="2"/>
        <v>#REF!</v>
      </c>
      <c r="L31" s="27" t="e">
        <f t="shared" ca="1" si="3"/>
        <v>#REF!</v>
      </c>
      <c r="M31" s="30">
        <f t="shared" si="4"/>
        <v>3534400</v>
      </c>
    </row>
    <row r="32" spans="1:16">
      <c r="A32">
        <v>30</v>
      </c>
      <c r="B32">
        <v>2017</v>
      </c>
      <c r="C32">
        <v>6</v>
      </c>
      <c r="D32">
        <v>20274</v>
      </c>
      <c r="E32" t="e">
        <f t="shared" ca="1" si="5"/>
        <v>#REF!</v>
      </c>
      <c r="F32" t="e">
        <f t="shared" ca="1" si="6"/>
        <v>#REF!</v>
      </c>
      <c r="G32" t="e">
        <f t="shared" ca="1" si="7"/>
        <v>#REF!</v>
      </c>
      <c r="H32" t="e">
        <f t="shared" ca="1" si="8"/>
        <v>#REF!</v>
      </c>
      <c r="I32" t="e">
        <f t="shared" ca="1" si="0"/>
        <v>#REF!</v>
      </c>
      <c r="J32" t="e">
        <f t="shared" ca="1" si="1"/>
        <v>#REF!</v>
      </c>
      <c r="K32" t="e">
        <f t="shared" ca="1" si="2"/>
        <v>#REF!</v>
      </c>
      <c r="L32" s="27" t="e">
        <f t="shared" ca="1" si="3"/>
        <v>#REF!</v>
      </c>
      <c r="M32" s="30">
        <f t="shared" si="4"/>
        <v>3474496</v>
      </c>
    </row>
    <row r="33" spans="1:13">
      <c r="A33">
        <v>31</v>
      </c>
      <c r="B33">
        <v>2017</v>
      </c>
      <c r="C33">
        <v>7</v>
      </c>
      <c r="D33">
        <v>21311</v>
      </c>
      <c r="E33" t="e">
        <f t="shared" ca="1" si="5"/>
        <v>#REF!</v>
      </c>
      <c r="F33" t="e">
        <f t="shared" ca="1" si="6"/>
        <v>#REF!</v>
      </c>
      <c r="G33" t="e">
        <f t="shared" ca="1" si="7"/>
        <v>#REF!</v>
      </c>
      <c r="H33" t="e">
        <f t="shared" ca="1" si="8"/>
        <v>#REF!</v>
      </c>
      <c r="I33" t="e">
        <f t="shared" ca="1" si="0"/>
        <v>#REF!</v>
      </c>
      <c r="J33" t="e">
        <f t="shared" ca="1" si="1"/>
        <v>#REF!</v>
      </c>
      <c r="K33" t="e">
        <f t="shared" ca="1" si="2"/>
        <v>#REF!</v>
      </c>
      <c r="L33" s="27" t="e">
        <f t="shared" ca="1" si="3"/>
        <v>#REF!</v>
      </c>
      <c r="M33" s="30">
        <f t="shared" si="4"/>
        <v>1075369</v>
      </c>
    </row>
    <row r="34" spans="1:13">
      <c r="A34">
        <v>32</v>
      </c>
      <c r="B34">
        <v>2017</v>
      </c>
      <c r="C34">
        <v>8</v>
      </c>
      <c r="D34">
        <v>20991</v>
      </c>
      <c r="E34" t="e">
        <f t="shared" ca="1" si="5"/>
        <v>#REF!</v>
      </c>
      <c r="F34" t="e">
        <f t="shared" ca="1" si="6"/>
        <v>#REF!</v>
      </c>
      <c r="G34" t="e">
        <f t="shared" ca="1" si="7"/>
        <v>#REF!</v>
      </c>
      <c r="H34" t="e">
        <f t="shared" ca="1" si="8"/>
        <v>#REF!</v>
      </c>
      <c r="I34" t="e">
        <f t="shared" ca="1" si="0"/>
        <v>#REF!</v>
      </c>
      <c r="J34" t="e">
        <f t="shared" ca="1" si="1"/>
        <v>#REF!</v>
      </c>
      <c r="K34" t="e">
        <f t="shared" ca="1" si="2"/>
        <v>#REF!</v>
      </c>
      <c r="L34" s="27" t="e">
        <f t="shared" ca="1" si="3"/>
        <v>#REF!</v>
      </c>
      <c r="M34" s="30">
        <f t="shared" si="4"/>
        <v>102400</v>
      </c>
    </row>
    <row r="35" spans="1:13">
      <c r="A35">
        <v>33</v>
      </c>
      <c r="B35">
        <v>2017</v>
      </c>
      <c r="C35">
        <v>9</v>
      </c>
      <c r="D35">
        <v>18305</v>
      </c>
      <c r="E35" t="e">
        <f t="shared" ca="1" si="5"/>
        <v>#REF!</v>
      </c>
      <c r="F35" t="e">
        <f t="shared" ca="1" si="6"/>
        <v>#REF!</v>
      </c>
      <c r="G35" t="e">
        <f t="shared" ca="1" si="7"/>
        <v>#REF!</v>
      </c>
      <c r="H35" t="e">
        <f t="shared" ca="1" si="8"/>
        <v>#REF!</v>
      </c>
      <c r="I35" t="e">
        <f t="shared" ca="1" si="0"/>
        <v>#REF!</v>
      </c>
      <c r="J35" t="e">
        <f t="shared" ca="1" si="1"/>
        <v>#REF!</v>
      </c>
      <c r="K35" t="e">
        <f t="shared" ca="1" si="2"/>
        <v>#REF!</v>
      </c>
      <c r="L35" s="27" t="e">
        <f t="shared" ca="1" si="3"/>
        <v>#REF!</v>
      </c>
      <c r="M35" s="30">
        <f t="shared" si="4"/>
        <v>7214596</v>
      </c>
    </row>
    <row r="36" spans="1:13">
      <c r="A36">
        <v>34</v>
      </c>
      <c r="B36">
        <v>2017</v>
      </c>
      <c r="C36">
        <v>10</v>
      </c>
      <c r="D36">
        <v>17832</v>
      </c>
      <c r="E36" t="e">
        <f t="shared" ca="1" si="5"/>
        <v>#REF!</v>
      </c>
      <c r="F36" t="e">
        <f t="shared" ca="1" si="6"/>
        <v>#REF!</v>
      </c>
      <c r="G36" t="e">
        <f t="shared" ca="1" si="7"/>
        <v>#REF!</v>
      </c>
      <c r="H36" t="e">
        <f t="shared" ca="1" si="8"/>
        <v>#REF!</v>
      </c>
      <c r="I36" t="e">
        <f t="shared" ca="1" si="0"/>
        <v>#REF!</v>
      </c>
      <c r="J36" t="e">
        <f t="shared" ca="1" si="1"/>
        <v>#REF!</v>
      </c>
      <c r="K36" t="e">
        <f t="shared" ca="1" si="2"/>
        <v>#REF!</v>
      </c>
      <c r="L36" s="27" t="e">
        <f t="shared" ca="1" si="3"/>
        <v>#REF!</v>
      </c>
      <c r="M36" s="30">
        <f t="shared" si="4"/>
        <v>223729</v>
      </c>
    </row>
    <row r="37" spans="1:13">
      <c r="A37">
        <v>35</v>
      </c>
      <c r="B37">
        <v>2017</v>
      </c>
      <c r="C37">
        <v>11</v>
      </c>
      <c r="D37">
        <v>18223</v>
      </c>
      <c r="E37" t="e">
        <f t="shared" ca="1" si="5"/>
        <v>#REF!</v>
      </c>
      <c r="F37" t="e">
        <f t="shared" ca="1" si="6"/>
        <v>#REF!</v>
      </c>
      <c r="G37" t="e">
        <f t="shared" ca="1" si="7"/>
        <v>#REF!</v>
      </c>
      <c r="H37" t="e">
        <f t="shared" ca="1" si="8"/>
        <v>#REF!</v>
      </c>
      <c r="I37" t="e">
        <f t="shared" ca="1" si="0"/>
        <v>#REF!</v>
      </c>
      <c r="J37" t="e">
        <f t="shared" ca="1" si="1"/>
        <v>#REF!</v>
      </c>
      <c r="K37" t="e">
        <f t="shared" ca="1" si="2"/>
        <v>#REF!</v>
      </c>
      <c r="L37" s="27" t="e">
        <f t="shared" ca="1" si="3"/>
        <v>#REF!</v>
      </c>
      <c r="M37" s="30">
        <f t="shared" si="4"/>
        <v>152881</v>
      </c>
    </row>
    <row r="38" spans="1:13">
      <c r="A38">
        <v>36</v>
      </c>
      <c r="B38">
        <v>2017</v>
      </c>
      <c r="C38">
        <v>12</v>
      </c>
      <c r="D38">
        <v>23987</v>
      </c>
      <c r="E38" t="e">
        <f t="shared" ca="1" si="5"/>
        <v>#REF!</v>
      </c>
      <c r="F38" t="e">
        <f t="shared" ca="1" si="6"/>
        <v>#REF!</v>
      </c>
      <c r="G38" t="e">
        <f t="shared" ca="1" si="7"/>
        <v>#REF!</v>
      </c>
      <c r="H38" t="e">
        <f t="shared" ca="1" si="8"/>
        <v>#REF!</v>
      </c>
      <c r="I38" t="e">
        <f t="shared" ca="1" si="0"/>
        <v>#REF!</v>
      </c>
      <c r="J38" t="e">
        <f t="shared" ca="1" si="1"/>
        <v>#REF!</v>
      </c>
      <c r="K38" t="e">
        <f t="shared" ca="1" si="2"/>
        <v>#REF!</v>
      </c>
      <c r="L38" s="27" t="e">
        <f t="shared" ca="1" si="3"/>
        <v>#REF!</v>
      </c>
      <c r="M38" s="30">
        <f t="shared" si="4"/>
        <v>33223696</v>
      </c>
    </row>
    <row r="39" spans="1:13">
      <c r="A39">
        <v>37</v>
      </c>
      <c r="B39">
        <v>2018</v>
      </c>
      <c r="C39">
        <v>1</v>
      </c>
      <c r="D39">
        <v>15964</v>
      </c>
      <c r="E39" t="e">
        <f ca="1">$O$4*(D39/G27)+(1-$O$4)*(E38+F38)</f>
        <v>#REF!</v>
      </c>
      <c r="F39" t="e">
        <f t="shared" ca="1" si="6"/>
        <v>#REF!</v>
      </c>
      <c r="G39" t="e">
        <f t="shared" ca="1" si="7"/>
        <v>#REF!</v>
      </c>
      <c r="H39" t="e">
        <f t="shared" ca="1" si="8"/>
        <v>#REF!</v>
      </c>
      <c r="I39" t="e">
        <f t="shared" ca="1" si="0"/>
        <v>#REF!</v>
      </c>
      <c r="J39" t="e">
        <f t="shared" ca="1" si="1"/>
        <v>#REF!</v>
      </c>
      <c r="K39" t="e">
        <f t="shared" ca="1" si="2"/>
        <v>#REF!</v>
      </c>
      <c r="L39" s="27" t="e">
        <f t="shared" ca="1" si="3"/>
        <v>#REF!</v>
      </c>
      <c r="M39" s="30">
        <f t="shared" si="4"/>
        <v>64368529</v>
      </c>
    </row>
    <row r="40" spans="1:13">
      <c r="A40">
        <v>38</v>
      </c>
      <c r="B40">
        <v>2018</v>
      </c>
      <c r="C40">
        <v>2</v>
      </c>
      <c r="D40">
        <v>16606</v>
      </c>
      <c r="E40" t="e">
        <f t="shared" ca="1" si="5"/>
        <v>#REF!</v>
      </c>
      <c r="F40" t="e">
        <f t="shared" ca="1" si="6"/>
        <v>#REF!</v>
      </c>
      <c r="G40" t="e">
        <f t="shared" ca="1" si="7"/>
        <v>#REF!</v>
      </c>
      <c r="H40" t="e">
        <f t="shared" ca="1" si="8"/>
        <v>#REF!</v>
      </c>
      <c r="I40" t="e">
        <f t="shared" ca="1" si="0"/>
        <v>#REF!</v>
      </c>
      <c r="J40" t="e">
        <f t="shared" ca="1" si="1"/>
        <v>#REF!</v>
      </c>
      <c r="K40" t="e">
        <f t="shared" ca="1" si="2"/>
        <v>#REF!</v>
      </c>
      <c r="L40" s="27" t="e">
        <f t="shared" ca="1" si="3"/>
        <v>#REF!</v>
      </c>
      <c r="M40" s="30">
        <f t="shared" si="4"/>
        <v>412164</v>
      </c>
    </row>
    <row r="41" spans="1:13">
      <c r="A41">
        <v>39</v>
      </c>
      <c r="B41">
        <v>2018</v>
      </c>
      <c r="C41">
        <v>3</v>
      </c>
      <c r="D41">
        <v>19216</v>
      </c>
      <c r="E41" t="e">
        <f t="shared" ca="1" si="5"/>
        <v>#REF!</v>
      </c>
      <c r="F41" t="e">
        <f t="shared" ca="1" si="6"/>
        <v>#REF!</v>
      </c>
      <c r="G41" t="e">
        <f t="shared" ca="1" si="7"/>
        <v>#REF!</v>
      </c>
      <c r="H41" t="e">
        <f t="shared" ca="1" si="8"/>
        <v>#REF!</v>
      </c>
      <c r="I41" t="e">
        <f t="shared" ca="1" si="0"/>
        <v>#REF!</v>
      </c>
      <c r="J41" t="e">
        <f t="shared" ca="1" si="1"/>
        <v>#REF!</v>
      </c>
      <c r="K41" t="e">
        <f t="shared" ca="1" si="2"/>
        <v>#REF!</v>
      </c>
      <c r="L41" s="27" t="e">
        <f t="shared" ca="1" si="3"/>
        <v>#REF!</v>
      </c>
      <c r="M41" s="30">
        <f t="shared" si="4"/>
        <v>6812100</v>
      </c>
    </row>
    <row r="42" spans="1:13">
      <c r="A42">
        <v>40</v>
      </c>
      <c r="B42">
        <v>2018</v>
      </c>
      <c r="C42">
        <v>4</v>
      </c>
      <c r="D42">
        <v>16419</v>
      </c>
      <c r="E42" t="e">
        <f t="shared" ca="1" si="5"/>
        <v>#REF!</v>
      </c>
      <c r="F42" t="e">
        <f t="shared" ca="1" si="6"/>
        <v>#REF!</v>
      </c>
      <c r="G42" t="e">
        <f t="shared" ca="1" si="7"/>
        <v>#REF!</v>
      </c>
      <c r="H42" t="e">
        <f t="shared" ca="1" si="8"/>
        <v>#REF!</v>
      </c>
      <c r="I42" t="e">
        <f t="shared" ca="1" si="0"/>
        <v>#REF!</v>
      </c>
      <c r="J42" t="e">
        <f t="shared" ca="1" si="1"/>
        <v>#REF!</v>
      </c>
      <c r="K42" t="e">
        <f t="shared" ca="1" si="2"/>
        <v>#REF!</v>
      </c>
      <c r="L42" s="27" t="e">
        <f t="shared" ca="1" si="3"/>
        <v>#REF!</v>
      </c>
      <c r="M42" s="30">
        <f t="shared" si="4"/>
        <v>7823209</v>
      </c>
    </row>
    <row r="43" spans="1:13">
      <c r="A43">
        <v>41</v>
      </c>
      <c r="B43">
        <v>2018</v>
      </c>
      <c r="C43">
        <v>5</v>
      </c>
      <c r="D43">
        <v>19638</v>
      </c>
      <c r="E43" t="e">
        <f t="shared" ca="1" si="5"/>
        <v>#REF!</v>
      </c>
      <c r="F43" t="e">
        <f t="shared" ca="1" si="6"/>
        <v>#REF!</v>
      </c>
      <c r="G43" t="e">
        <f t="shared" ca="1" si="7"/>
        <v>#REF!</v>
      </c>
      <c r="H43" t="e">
        <f t="shared" ca="1" si="8"/>
        <v>#REF!</v>
      </c>
      <c r="I43" t="e">
        <f t="shared" ca="1" si="0"/>
        <v>#REF!</v>
      </c>
      <c r="J43" t="e">
        <f t="shared" ca="1" si="1"/>
        <v>#REF!</v>
      </c>
      <c r="K43" t="e">
        <f t="shared" ca="1" si="2"/>
        <v>#REF!</v>
      </c>
      <c r="L43" s="27" t="e">
        <f t="shared" ca="1" si="3"/>
        <v>#REF!</v>
      </c>
      <c r="M43" s="30">
        <f t="shared" si="4"/>
        <v>10361961</v>
      </c>
    </row>
    <row r="44" spans="1:13">
      <c r="A44">
        <v>42</v>
      </c>
      <c r="B44">
        <v>2018</v>
      </c>
      <c r="C44">
        <v>6</v>
      </c>
      <c r="D44">
        <v>19773</v>
      </c>
      <c r="E44" t="e">
        <f t="shared" ca="1" si="5"/>
        <v>#REF!</v>
      </c>
      <c r="F44" t="e">
        <f t="shared" ca="1" si="6"/>
        <v>#REF!</v>
      </c>
      <c r="G44" t="e">
        <f t="shared" ca="1" si="7"/>
        <v>#REF!</v>
      </c>
      <c r="H44" t="e">
        <f t="shared" ca="1" si="8"/>
        <v>#REF!</v>
      </c>
      <c r="I44" t="e">
        <f t="shared" ca="1" si="0"/>
        <v>#REF!</v>
      </c>
      <c r="J44" t="e">
        <f t="shared" ca="1" si="1"/>
        <v>#REF!</v>
      </c>
      <c r="K44" t="e">
        <f t="shared" ca="1" si="2"/>
        <v>#REF!</v>
      </c>
      <c r="L44" s="27" t="e">
        <f t="shared" ca="1" si="3"/>
        <v>#REF!</v>
      </c>
      <c r="M44" s="30">
        <f t="shared" si="4"/>
        <v>18225</v>
      </c>
    </row>
    <row r="45" spans="1:13">
      <c r="A45">
        <v>43</v>
      </c>
      <c r="B45">
        <v>2018</v>
      </c>
      <c r="C45">
        <v>7</v>
      </c>
      <c r="D45">
        <v>21052</v>
      </c>
      <c r="E45" t="e">
        <f t="shared" ca="1" si="5"/>
        <v>#REF!</v>
      </c>
      <c r="F45" t="e">
        <f t="shared" ca="1" si="6"/>
        <v>#REF!</v>
      </c>
      <c r="G45" t="e">
        <f t="shared" ca="1" si="7"/>
        <v>#REF!</v>
      </c>
      <c r="H45" t="e">
        <f t="shared" ca="1" si="8"/>
        <v>#REF!</v>
      </c>
      <c r="I45" t="e">
        <f t="shared" ca="1" si="0"/>
        <v>#REF!</v>
      </c>
      <c r="J45" t="e">
        <f t="shared" ca="1" si="1"/>
        <v>#REF!</v>
      </c>
      <c r="K45" t="e">
        <f t="shared" ca="1" si="2"/>
        <v>#REF!</v>
      </c>
      <c r="L45" s="27" t="e">
        <f t="shared" ca="1" si="3"/>
        <v>#REF!</v>
      </c>
      <c r="M45" s="30">
        <f t="shared" si="4"/>
        <v>1635841</v>
      </c>
    </row>
    <row r="46" spans="1:13">
      <c r="A46">
        <v>44</v>
      </c>
      <c r="B46">
        <v>2018</v>
      </c>
      <c r="C46">
        <v>8</v>
      </c>
      <c r="D46">
        <v>22011</v>
      </c>
      <c r="E46" t="e">
        <f t="shared" ca="1" si="5"/>
        <v>#REF!</v>
      </c>
      <c r="F46" t="e">
        <f t="shared" ca="1" si="6"/>
        <v>#REF!</v>
      </c>
      <c r="G46" t="e">
        <f t="shared" ca="1" si="7"/>
        <v>#REF!</v>
      </c>
      <c r="H46" t="e">
        <f t="shared" ca="1" si="8"/>
        <v>#REF!</v>
      </c>
      <c r="I46" t="e">
        <f t="shared" ca="1" si="0"/>
        <v>#REF!</v>
      </c>
      <c r="J46" t="e">
        <f t="shared" ca="1" si="1"/>
        <v>#REF!</v>
      </c>
      <c r="K46" t="e">
        <f t="shared" ca="1" si="2"/>
        <v>#REF!</v>
      </c>
      <c r="L46" s="27" t="e">
        <f t="shared" ca="1" si="3"/>
        <v>#REF!</v>
      </c>
      <c r="M46" s="30">
        <f t="shared" si="4"/>
        <v>919681</v>
      </c>
    </row>
    <row r="47" spans="1:13">
      <c r="A47">
        <v>45</v>
      </c>
      <c r="B47">
        <v>2018</v>
      </c>
      <c r="C47">
        <v>9</v>
      </c>
      <c r="D47">
        <v>19039</v>
      </c>
      <c r="E47" t="e">
        <f t="shared" ca="1" si="5"/>
        <v>#REF!</v>
      </c>
      <c r="F47" t="e">
        <f t="shared" ca="1" si="6"/>
        <v>#REF!</v>
      </c>
      <c r="G47" t="e">
        <f t="shared" ca="1" si="7"/>
        <v>#REF!</v>
      </c>
      <c r="H47" t="e">
        <f t="shared" ca="1" si="8"/>
        <v>#REF!</v>
      </c>
      <c r="I47" t="e">
        <f t="shared" ca="1" si="0"/>
        <v>#REF!</v>
      </c>
      <c r="J47" t="e">
        <f t="shared" ca="1" si="1"/>
        <v>#REF!</v>
      </c>
      <c r="K47" t="e">
        <f t="shared" ca="1" si="2"/>
        <v>#REF!</v>
      </c>
      <c r="L47" s="27" t="e">
        <f t="shared" ca="1" si="3"/>
        <v>#REF!</v>
      </c>
      <c r="M47" s="30">
        <f t="shared" si="4"/>
        <v>8832784</v>
      </c>
    </row>
    <row r="48" spans="1:13">
      <c r="A48">
        <v>46</v>
      </c>
      <c r="B48">
        <v>2018</v>
      </c>
      <c r="C48">
        <v>10</v>
      </c>
      <c r="D48">
        <v>17893</v>
      </c>
      <c r="E48" t="e">
        <f t="shared" ca="1" si="5"/>
        <v>#REF!</v>
      </c>
      <c r="F48" t="e">
        <f t="shared" ca="1" si="6"/>
        <v>#REF!</v>
      </c>
      <c r="G48" t="e">
        <f t="shared" ca="1" si="7"/>
        <v>#REF!</v>
      </c>
      <c r="H48" t="e">
        <f t="shared" ca="1" si="8"/>
        <v>#REF!</v>
      </c>
      <c r="I48" t="e">
        <f t="shared" ca="1" si="0"/>
        <v>#REF!</v>
      </c>
      <c r="J48" t="e">
        <f t="shared" ca="1" si="1"/>
        <v>#REF!</v>
      </c>
      <c r="K48" t="e">
        <f t="shared" ca="1" si="2"/>
        <v>#REF!</v>
      </c>
      <c r="L48" s="27" t="e">
        <f t="shared" ca="1" si="3"/>
        <v>#REF!</v>
      </c>
      <c r="M48" s="30">
        <f t="shared" si="4"/>
        <v>1313316</v>
      </c>
    </row>
    <row r="49" spans="1:13">
      <c r="A49">
        <v>47</v>
      </c>
      <c r="B49">
        <v>2018</v>
      </c>
      <c r="C49">
        <v>11</v>
      </c>
      <c r="D49">
        <v>19276</v>
      </c>
      <c r="E49" t="e">
        <f t="shared" ca="1" si="5"/>
        <v>#REF!</v>
      </c>
      <c r="F49" t="e">
        <f t="shared" ca="1" si="6"/>
        <v>#REF!</v>
      </c>
      <c r="G49" t="e">
        <f t="shared" ca="1" si="7"/>
        <v>#REF!</v>
      </c>
      <c r="H49" t="e">
        <f t="shared" ca="1" si="8"/>
        <v>#REF!</v>
      </c>
      <c r="I49" t="e">
        <f t="shared" ca="1" si="0"/>
        <v>#REF!</v>
      </c>
      <c r="J49" t="e">
        <f t="shared" ca="1" si="1"/>
        <v>#REF!</v>
      </c>
      <c r="K49" t="e">
        <f t="shared" ca="1" si="2"/>
        <v>#REF!</v>
      </c>
      <c r="L49" s="27" t="e">
        <f t="shared" ca="1" si="3"/>
        <v>#REF!</v>
      </c>
      <c r="M49" s="30">
        <f t="shared" si="4"/>
        <v>1912689</v>
      </c>
    </row>
    <row r="50" spans="1:13">
      <c r="A50">
        <v>48</v>
      </c>
      <c r="B50">
        <v>2018</v>
      </c>
      <c r="C50">
        <v>12</v>
      </c>
      <c r="D50">
        <v>25167</v>
      </c>
      <c r="E50" t="e">
        <f t="shared" ca="1" si="5"/>
        <v>#REF!</v>
      </c>
      <c r="F50" t="e">
        <f t="shared" ca="1" si="6"/>
        <v>#REF!</v>
      </c>
      <c r="G50" t="e">
        <f t="shared" ca="1" si="7"/>
        <v>#REF!</v>
      </c>
      <c r="H50" t="e">
        <f t="shared" ca="1" si="8"/>
        <v>#REF!</v>
      </c>
      <c r="I50" t="e">
        <f t="shared" ca="1" si="0"/>
        <v>#REF!</v>
      </c>
      <c r="J50" t="e">
        <f t="shared" ca="1" si="1"/>
        <v>#REF!</v>
      </c>
      <c r="K50" t="e">
        <f t="shared" ca="1" si="2"/>
        <v>#REF!</v>
      </c>
      <c r="L50" s="27" t="e">
        <f t="shared" ca="1" si="3"/>
        <v>#REF!</v>
      </c>
      <c r="M50" s="30">
        <f t="shared" si="4"/>
        <v>34703881</v>
      </c>
    </row>
    <row r="51" spans="1:13">
      <c r="A51">
        <v>49</v>
      </c>
      <c r="B51">
        <v>2019</v>
      </c>
      <c r="C51">
        <v>1</v>
      </c>
      <c r="D51">
        <v>16699</v>
      </c>
      <c r="E51" t="e">
        <f t="shared" ca="1" si="5"/>
        <v>#REF!</v>
      </c>
      <c r="F51" t="e">
        <f t="shared" ca="1" si="6"/>
        <v>#REF!</v>
      </c>
      <c r="G51" t="e">
        <f t="shared" ca="1" si="7"/>
        <v>#REF!</v>
      </c>
      <c r="H51" t="e">
        <f t="shared" ca="1" si="8"/>
        <v>#REF!</v>
      </c>
      <c r="I51" t="e">
        <f t="shared" ca="1" si="0"/>
        <v>#REF!</v>
      </c>
      <c r="J51" t="e">
        <f t="shared" ca="1" si="1"/>
        <v>#REF!</v>
      </c>
      <c r="K51" t="e">
        <f t="shared" ca="1" si="2"/>
        <v>#REF!</v>
      </c>
      <c r="L51" s="27" t="e">
        <f t="shared" ca="1" si="3"/>
        <v>#REF!</v>
      </c>
      <c r="M51" s="30">
        <f t="shared" si="4"/>
        <v>71707024</v>
      </c>
    </row>
    <row r="52" spans="1:13">
      <c r="A52">
        <v>50</v>
      </c>
      <c r="B52">
        <v>2019</v>
      </c>
      <c r="C52">
        <v>2</v>
      </c>
      <c r="D52">
        <v>16619</v>
      </c>
      <c r="E52" t="e">
        <f t="shared" ca="1" si="5"/>
        <v>#REF!</v>
      </c>
      <c r="F52" t="e">
        <f t="shared" ca="1" si="6"/>
        <v>#REF!</v>
      </c>
      <c r="G52" t="e">
        <f t="shared" ca="1" si="7"/>
        <v>#REF!</v>
      </c>
      <c r="H52" t="e">
        <f t="shared" ca="1" si="8"/>
        <v>#REF!</v>
      </c>
      <c r="I52" t="e">
        <f t="shared" ca="1" si="0"/>
        <v>#REF!</v>
      </c>
      <c r="J52" t="e">
        <f t="shared" ca="1" si="1"/>
        <v>#REF!</v>
      </c>
      <c r="K52" t="e">
        <f t="shared" ca="1" si="2"/>
        <v>#REF!</v>
      </c>
      <c r="L52" s="27" t="e">
        <f t="shared" ca="1" si="3"/>
        <v>#REF!</v>
      </c>
      <c r="M52" s="30">
        <f t="shared" si="4"/>
        <v>6400</v>
      </c>
    </row>
    <row r="53" spans="1:13">
      <c r="A53">
        <v>51</v>
      </c>
      <c r="B53">
        <v>2019</v>
      </c>
      <c r="C53">
        <v>3</v>
      </c>
      <c r="D53">
        <v>17851</v>
      </c>
      <c r="E53" t="e">
        <f t="shared" ca="1" si="5"/>
        <v>#REF!</v>
      </c>
      <c r="F53" t="e">
        <f t="shared" ca="1" si="6"/>
        <v>#REF!</v>
      </c>
      <c r="G53" t="e">
        <f t="shared" ca="1" si="7"/>
        <v>#REF!</v>
      </c>
      <c r="H53" t="e">
        <f t="shared" ca="1" si="8"/>
        <v>#REF!</v>
      </c>
      <c r="I53" t="e">
        <f t="shared" ca="1" si="0"/>
        <v>#REF!</v>
      </c>
      <c r="J53" t="e">
        <f t="shared" ca="1" si="1"/>
        <v>#REF!</v>
      </c>
      <c r="K53" t="e">
        <f t="shared" ca="1" si="2"/>
        <v>#REF!</v>
      </c>
      <c r="L53" s="27" t="e">
        <f t="shared" ca="1" si="3"/>
        <v>#REF!</v>
      </c>
      <c r="M53" s="30">
        <f t="shared" si="4"/>
        <v>1517824</v>
      </c>
    </row>
    <row r="54" spans="1:13">
      <c r="A54">
        <v>52</v>
      </c>
      <c r="B54">
        <v>2019</v>
      </c>
      <c r="C54">
        <v>4</v>
      </c>
      <c r="D54">
        <v>18160</v>
      </c>
      <c r="E54" t="e">
        <f t="shared" ca="1" si="5"/>
        <v>#REF!</v>
      </c>
      <c r="F54" t="e">
        <f t="shared" ca="1" si="6"/>
        <v>#REF!</v>
      </c>
      <c r="G54" t="e">
        <f t="shared" ca="1" si="7"/>
        <v>#REF!</v>
      </c>
      <c r="H54" t="e">
        <f t="shared" ca="1" si="8"/>
        <v>#REF!</v>
      </c>
      <c r="I54" t="e">
        <f t="shared" ca="1" si="0"/>
        <v>#REF!</v>
      </c>
      <c r="J54" t="e">
        <f t="shared" ca="1" si="1"/>
        <v>#REF!</v>
      </c>
      <c r="K54" t="e">
        <f t="shared" ca="1" si="2"/>
        <v>#REF!</v>
      </c>
      <c r="L54" s="27" t="e">
        <f t="shared" ca="1" si="3"/>
        <v>#REF!</v>
      </c>
      <c r="M54" s="30">
        <f t="shared" si="4"/>
        <v>95481</v>
      </c>
    </row>
    <row r="55" spans="1:13">
      <c r="A55">
        <v>53</v>
      </c>
      <c r="B55">
        <v>2019</v>
      </c>
      <c r="C55">
        <v>5</v>
      </c>
      <c r="D55">
        <v>22032</v>
      </c>
      <c r="E55" t="e">
        <f t="shared" ca="1" si="5"/>
        <v>#REF!</v>
      </c>
      <c r="F55" t="e">
        <f t="shared" ca="1" si="6"/>
        <v>#REF!</v>
      </c>
      <c r="G55" t="e">
        <f t="shared" ca="1" si="7"/>
        <v>#REF!</v>
      </c>
      <c r="H55" t="e">
        <f t="shared" ca="1" si="8"/>
        <v>#REF!</v>
      </c>
      <c r="I55" t="e">
        <f t="shared" ca="1" si="0"/>
        <v>#REF!</v>
      </c>
      <c r="J55" t="e">
        <f t="shared" ca="1" si="1"/>
        <v>#REF!</v>
      </c>
      <c r="K55" t="e">
        <f t="shared" ca="1" si="2"/>
        <v>#REF!</v>
      </c>
      <c r="L55" s="27" t="e">
        <f t="shared" ca="1" si="3"/>
        <v>#REF!</v>
      </c>
      <c r="M55" s="30">
        <f t="shared" si="4"/>
        <v>14992384</v>
      </c>
    </row>
    <row r="56" spans="1:13">
      <c r="A56">
        <v>54</v>
      </c>
      <c r="B56">
        <v>2019</v>
      </c>
      <c r="C56">
        <v>6</v>
      </c>
      <c r="D56">
        <v>21395</v>
      </c>
      <c r="E56" t="e">
        <f t="shared" ca="1" si="5"/>
        <v>#REF!</v>
      </c>
      <c r="F56" t="e">
        <f t="shared" ca="1" si="6"/>
        <v>#REF!</v>
      </c>
      <c r="G56" t="e">
        <f t="shared" ca="1" si="7"/>
        <v>#REF!</v>
      </c>
      <c r="H56" t="e">
        <f t="shared" ca="1" si="8"/>
        <v>#REF!</v>
      </c>
      <c r="I56" t="e">
        <f t="shared" ca="1" si="0"/>
        <v>#REF!</v>
      </c>
      <c r="J56" t="e">
        <f t="shared" ca="1" si="1"/>
        <v>#REF!</v>
      </c>
      <c r="K56" t="e">
        <f t="shared" ca="1" si="2"/>
        <v>#REF!</v>
      </c>
      <c r="L56" s="27" t="e">
        <f t="shared" ca="1" si="3"/>
        <v>#REF!</v>
      </c>
      <c r="M56" s="30">
        <f t="shared" si="4"/>
        <v>405769</v>
      </c>
    </row>
    <row r="57" spans="1:13">
      <c r="A57">
        <v>55</v>
      </c>
      <c r="B57">
        <v>2019</v>
      </c>
      <c r="C57">
        <v>7</v>
      </c>
      <c r="D57">
        <v>22217</v>
      </c>
      <c r="E57" t="e">
        <f t="shared" ca="1" si="5"/>
        <v>#REF!</v>
      </c>
      <c r="F57" t="e">
        <f t="shared" ca="1" si="6"/>
        <v>#REF!</v>
      </c>
      <c r="G57" t="e">
        <f t="shared" ca="1" si="7"/>
        <v>#REF!</v>
      </c>
      <c r="H57" t="e">
        <f t="shared" ca="1" si="8"/>
        <v>#REF!</v>
      </c>
      <c r="I57" t="e">
        <f t="shared" ca="1" si="0"/>
        <v>#REF!</v>
      </c>
      <c r="J57" t="e">
        <f t="shared" ca="1" si="1"/>
        <v>#REF!</v>
      </c>
      <c r="K57" t="e">
        <f t="shared" ca="1" si="2"/>
        <v>#REF!</v>
      </c>
      <c r="L57" s="27" t="e">
        <f t="shared" ca="1" si="3"/>
        <v>#REF!</v>
      </c>
      <c r="M57" s="30">
        <f t="shared" si="4"/>
        <v>675684</v>
      </c>
    </row>
    <row r="58" spans="1:13">
      <c r="A58">
        <v>56</v>
      </c>
      <c r="B58">
        <v>2019</v>
      </c>
      <c r="C58">
        <v>8</v>
      </c>
      <c r="D58">
        <v>24565</v>
      </c>
      <c r="E58" t="e">
        <f t="shared" ca="1" si="5"/>
        <v>#REF!</v>
      </c>
      <c r="F58" t="e">
        <f t="shared" ca="1" si="6"/>
        <v>#REF!</v>
      </c>
      <c r="G58" t="e">
        <f t="shared" ca="1" si="7"/>
        <v>#REF!</v>
      </c>
      <c r="H58" t="e">
        <f t="shared" ca="1" si="8"/>
        <v>#REF!</v>
      </c>
      <c r="I58" t="e">
        <f t="shared" ca="1" si="0"/>
        <v>#REF!</v>
      </c>
      <c r="J58" t="e">
        <f t="shared" ca="1" si="1"/>
        <v>#REF!</v>
      </c>
      <c r="K58" t="e">
        <f t="shared" ca="1" si="2"/>
        <v>#REF!</v>
      </c>
      <c r="L58" s="27" t="e">
        <f t="shared" ca="1" si="3"/>
        <v>#REF!</v>
      </c>
      <c r="M58" s="30">
        <f t="shared" si="4"/>
        <v>5513104</v>
      </c>
    </row>
    <row r="59" spans="1:13">
      <c r="A59">
        <v>57</v>
      </c>
      <c r="B59">
        <v>2019</v>
      </c>
      <c r="C59">
        <v>9</v>
      </c>
      <c r="D59">
        <v>21095</v>
      </c>
      <c r="E59" t="e">
        <f t="shared" ca="1" si="5"/>
        <v>#REF!</v>
      </c>
      <c r="F59" t="e">
        <f t="shared" ca="1" si="6"/>
        <v>#REF!</v>
      </c>
      <c r="G59" t="e">
        <f t="shared" ca="1" si="7"/>
        <v>#REF!</v>
      </c>
      <c r="H59" t="e">
        <f t="shared" ca="1" si="8"/>
        <v>#REF!</v>
      </c>
      <c r="I59" t="e">
        <f t="shared" ca="1" si="0"/>
        <v>#REF!</v>
      </c>
      <c r="J59" t="e">
        <f t="shared" ca="1" si="1"/>
        <v>#REF!</v>
      </c>
      <c r="K59" t="e">
        <f t="shared" ca="1" si="2"/>
        <v>#REF!</v>
      </c>
      <c r="L59" s="27" t="e">
        <f t="shared" ca="1" si="3"/>
        <v>#REF!</v>
      </c>
      <c r="M59" s="30">
        <f t="shared" si="4"/>
        <v>12040900</v>
      </c>
    </row>
    <row r="60" spans="1:13">
      <c r="A60">
        <v>58</v>
      </c>
      <c r="B60">
        <v>2019</v>
      </c>
      <c r="C60">
        <v>10</v>
      </c>
      <c r="D60">
        <v>20114</v>
      </c>
      <c r="E60" t="e">
        <f t="shared" ca="1" si="5"/>
        <v>#REF!</v>
      </c>
      <c r="F60" t="e">
        <f t="shared" ca="1" si="6"/>
        <v>#REF!</v>
      </c>
      <c r="G60" t="e">
        <f t="shared" ca="1" si="7"/>
        <v>#REF!</v>
      </c>
      <c r="H60" t="e">
        <f t="shared" ca="1" si="8"/>
        <v>#REF!</v>
      </c>
      <c r="I60" t="e">
        <f t="shared" ca="1" si="0"/>
        <v>#REF!</v>
      </c>
      <c r="J60" t="e">
        <f t="shared" ca="1" si="1"/>
        <v>#REF!</v>
      </c>
      <c r="K60" t="e">
        <f t="shared" ca="1" si="2"/>
        <v>#REF!</v>
      </c>
      <c r="L60" s="27" t="e">
        <f t="shared" ca="1" si="3"/>
        <v>#REF!</v>
      </c>
      <c r="M60" s="30">
        <f t="shared" si="4"/>
        <v>962361</v>
      </c>
    </row>
    <row r="61" spans="1:13">
      <c r="A61">
        <v>59</v>
      </c>
      <c r="B61">
        <v>2019</v>
      </c>
      <c r="C61">
        <v>11</v>
      </c>
      <c r="D61">
        <v>19931</v>
      </c>
      <c r="E61" t="e">
        <f t="shared" ca="1" si="5"/>
        <v>#REF!</v>
      </c>
      <c r="F61" t="e">
        <f t="shared" ca="1" si="6"/>
        <v>#REF!</v>
      </c>
      <c r="G61" t="e">
        <f t="shared" ca="1" si="7"/>
        <v>#REF!</v>
      </c>
      <c r="H61" t="e">
        <f t="shared" ca="1" si="8"/>
        <v>#REF!</v>
      </c>
      <c r="I61" t="e">
        <f t="shared" ca="1" si="0"/>
        <v>#REF!</v>
      </c>
      <c r="J61" t="e">
        <f t="shared" ca="1" si="1"/>
        <v>#REF!</v>
      </c>
      <c r="K61" t="e">
        <f t="shared" ca="1" si="2"/>
        <v>#REF!</v>
      </c>
      <c r="L61" s="27" t="e">
        <f t="shared" ca="1" si="3"/>
        <v>#REF!</v>
      </c>
      <c r="M61" s="30">
        <f t="shared" si="4"/>
        <v>33489</v>
      </c>
    </row>
    <row r="62" spans="1:13">
      <c r="A62">
        <v>60</v>
      </c>
      <c r="B62">
        <v>2019</v>
      </c>
      <c r="C62">
        <v>12</v>
      </c>
      <c r="D62">
        <v>26120</v>
      </c>
      <c r="E62" t="e">
        <f t="shared" ca="1" si="5"/>
        <v>#REF!</v>
      </c>
      <c r="F62" t="e">
        <f t="shared" ca="1" si="6"/>
        <v>#REF!</v>
      </c>
      <c r="G62" t="e">
        <f t="shared" ca="1" si="7"/>
        <v>#REF!</v>
      </c>
      <c r="H62" t="e">
        <f t="shared" ca="1" si="8"/>
        <v>#REF!</v>
      </c>
      <c r="I62" t="e">
        <f t="shared" ca="1" si="0"/>
        <v>#REF!</v>
      </c>
      <c r="J62" t="e">
        <f t="shared" ca="1" si="1"/>
        <v>#REF!</v>
      </c>
      <c r="K62" t="e">
        <f t="shared" ca="1" si="2"/>
        <v>#REF!</v>
      </c>
      <c r="L62" s="27" t="e">
        <f t="shared" ca="1" si="3"/>
        <v>#REF!</v>
      </c>
      <c r="M62" s="30">
        <f t="shared" si="4"/>
        <v>38303721</v>
      </c>
    </row>
    <row r="63" spans="1:13">
      <c r="A63">
        <v>61</v>
      </c>
      <c r="B63">
        <v>2020</v>
      </c>
      <c r="C63">
        <v>1</v>
      </c>
      <c r="D63">
        <v>18580</v>
      </c>
      <c r="E63" t="e">
        <f t="shared" ca="1" si="5"/>
        <v>#REF!</v>
      </c>
      <c r="F63" t="e">
        <f t="shared" ca="1" si="6"/>
        <v>#REF!</v>
      </c>
      <c r="G63" t="e">
        <f t="shared" ca="1" si="7"/>
        <v>#REF!</v>
      </c>
      <c r="H63" t="e">
        <f t="shared" ca="1" si="8"/>
        <v>#REF!</v>
      </c>
      <c r="I63" t="e">
        <f t="shared" ca="1" si="0"/>
        <v>#REF!</v>
      </c>
      <c r="J63" t="e">
        <f t="shared" ca="1" si="1"/>
        <v>#REF!</v>
      </c>
      <c r="K63" t="e">
        <f t="shared" ca="1" si="2"/>
        <v>#REF!</v>
      </c>
      <c r="L63" s="27" t="e">
        <f t="shared" ca="1" si="3"/>
        <v>#REF!</v>
      </c>
      <c r="M63" s="30">
        <f t="shared" si="4"/>
        <v>56851600</v>
      </c>
    </row>
    <row r="64" spans="1:13">
      <c r="A64">
        <v>62</v>
      </c>
      <c r="B64">
        <v>2020</v>
      </c>
      <c r="C64">
        <v>2</v>
      </c>
      <c r="D64">
        <v>18492</v>
      </c>
      <c r="E64" t="e">
        <f t="shared" ca="1" si="5"/>
        <v>#REF!</v>
      </c>
      <c r="F64" t="e">
        <f t="shared" ca="1" si="6"/>
        <v>#REF!</v>
      </c>
      <c r="G64" t="e">
        <f t="shared" ca="1" si="7"/>
        <v>#REF!</v>
      </c>
      <c r="H64" t="e">
        <f t="shared" ca="1" si="8"/>
        <v>#REF!</v>
      </c>
      <c r="I64" t="e">
        <f t="shared" ca="1" si="0"/>
        <v>#REF!</v>
      </c>
      <c r="J64" t="e">
        <f t="shared" ca="1" si="1"/>
        <v>#REF!</v>
      </c>
      <c r="K64" t="e">
        <f t="shared" ca="1" si="2"/>
        <v>#REF!</v>
      </c>
      <c r="L64" s="27" t="e">
        <f t="shared" ca="1" si="3"/>
        <v>#REF!</v>
      </c>
      <c r="M64" s="30">
        <f t="shared" si="4"/>
        <v>7744</v>
      </c>
    </row>
    <row r="65" spans="1:13">
      <c r="A65">
        <v>63</v>
      </c>
      <c r="B65">
        <v>2020</v>
      </c>
      <c r="C65">
        <v>3</v>
      </c>
      <c r="D65">
        <v>19724</v>
      </c>
      <c r="E65" t="e">
        <f t="shared" ca="1" si="5"/>
        <v>#REF!</v>
      </c>
      <c r="F65" t="e">
        <f t="shared" ca="1" si="6"/>
        <v>#REF!</v>
      </c>
      <c r="G65" t="e">
        <f t="shared" ca="1" si="7"/>
        <v>#REF!</v>
      </c>
      <c r="H65" t="e">
        <f t="shared" ca="1" si="8"/>
        <v>#REF!</v>
      </c>
      <c r="I65" t="e">
        <f t="shared" ca="1" si="0"/>
        <v>#REF!</v>
      </c>
      <c r="J65" t="e">
        <f t="shared" ca="1" si="1"/>
        <v>#REF!</v>
      </c>
      <c r="K65" t="e">
        <f t="shared" ca="1" si="2"/>
        <v>#REF!</v>
      </c>
      <c r="L65" s="27" t="e">
        <f t="shared" ca="1" si="3"/>
        <v>#REF!</v>
      </c>
      <c r="M65" s="30">
        <f t="shared" si="4"/>
        <v>1517824</v>
      </c>
    </row>
    <row r="66" spans="1:13">
      <c r="A66">
        <v>64</v>
      </c>
      <c r="B66">
        <v>2020</v>
      </c>
      <c r="C66">
        <v>4</v>
      </c>
      <c r="D66">
        <v>20123</v>
      </c>
      <c r="E66" t="e">
        <f t="shared" ca="1" si="5"/>
        <v>#REF!</v>
      </c>
      <c r="F66" t="e">
        <f t="shared" ca="1" si="6"/>
        <v>#REF!</v>
      </c>
      <c r="G66" t="e">
        <f t="shared" ca="1" si="7"/>
        <v>#REF!</v>
      </c>
      <c r="H66" t="e">
        <f t="shared" ca="1" si="8"/>
        <v>#REF!</v>
      </c>
      <c r="I66" t="e">
        <f t="shared" ca="1" si="0"/>
        <v>#REF!</v>
      </c>
      <c r="J66" t="e">
        <f t="shared" ca="1" si="1"/>
        <v>#REF!</v>
      </c>
      <c r="K66" t="e">
        <f t="shared" ca="1" si="2"/>
        <v>#REF!</v>
      </c>
      <c r="L66" s="27" t="e">
        <f t="shared" ca="1" si="3"/>
        <v>#REF!</v>
      </c>
      <c r="M66" s="30">
        <f t="shared" si="4"/>
        <v>159201</v>
      </c>
    </row>
    <row r="67" spans="1:13">
      <c r="A67">
        <v>65</v>
      </c>
      <c r="B67">
        <v>2020</v>
      </c>
      <c r="C67">
        <v>5</v>
      </c>
      <c r="D67">
        <v>22582</v>
      </c>
      <c r="E67" t="e">
        <f t="shared" ca="1" si="5"/>
        <v>#REF!</v>
      </c>
      <c r="F67" t="e">
        <f t="shared" ca="1" si="6"/>
        <v>#REF!</v>
      </c>
      <c r="G67" t="e">
        <f t="shared" ca="1" si="7"/>
        <v>#REF!</v>
      </c>
      <c r="H67" t="e">
        <f t="shared" ca="1" si="8"/>
        <v>#REF!</v>
      </c>
      <c r="I67" t="e">
        <f t="shared" ca="1" si="0"/>
        <v>#REF!</v>
      </c>
      <c r="J67" t="e">
        <f t="shared" ca="1" si="1"/>
        <v>#REF!</v>
      </c>
      <c r="K67" t="e">
        <f t="shared" ca="1" si="2"/>
        <v>#REF!</v>
      </c>
      <c r="L67" s="27" t="e">
        <f t="shared" ca="1" si="3"/>
        <v>#REF!</v>
      </c>
      <c r="M67" s="30">
        <f t="shared" si="4"/>
        <v>6046681</v>
      </c>
    </row>
    <row r="68" spans="1:13">
      <c r="A68">
        <v>66</v>
      </c>
      <c r="B68">
        <v>2020</v>
      </c>
      <c r="C68">
        <v>6</v>
      </c>
      <c r="D68">
        <v>22595</v>
      </c>
      <c r="E68" t="e">
        <f t="shared" ca="1" si="5"/>
        <v>#REF!</v>
      </c>
      <c r="F68" t="e">
        <f t="shared" ca="1" si="6"/>
        <v>#REF!</v>
      </c>
      <c r="G68" t="e">
        <f t="shared" ca="1" si="7"/>
        <v>#REF!</v>
      </c>
      <c r="H68" t="e">
        <f t="shared" ca="1" si="8"/>
        <v>#REF!</v>
      </c>
      <c r="I68" t="e">
        <f t="shared" ca="1" si="0"/>
        <v>#REF!</v>
      </c>
      <c r="J68" t="e">
        <f t="shared" ca="1" si="1"/>
        <v>#REF!</v>
      </c>
      <c r="K68" t="e">
        <f t="shared" ca="1" si="2"/>
        <v>#REF!</v>
      </c>
      <c r="L68" s="27" t="e">
        <f t="shared" ca="1" si="3"/>
        <v>#REF!</v>
      </c>
      <c r="M68" s="30">
        <f t="shared" si="4"/>
        <v>169</v>
      </c>
    </row>
    <row r="69" spans="1:13">
      <c r="A69">
        <v>67</v>
      </c>
      <c r="B69">
        <v>2020</v>
      </c>
      <c r="C69">
        <v>7</v>
      </c>
      <c r="D69">
        <v>23379</v>
      </c>
      <c r="E69" t="e">
        <f t="shared" ca="1" si="5"/>
        <v>#REF!</v>
      </c>
      <c r="F69" t="e">
        <f t="shared" ca="1" si="6"/>
        <v>#REF!</v>
      </c>
      <c r="G69" t="e">
        <f t="shared" ca="1" si="7"/>
        <v>#REF!</v>
      </c>
      <c r="H69" t="e">
        <f t="shared" ca="1" si="8"/>
        <v>#REF!</v>
      </c>
      <c r="I69" t="e">
        <f t="shared" ca="1" si="0"/>
        <v>#REF!</v>
      </c>
      <c r="J69" t="e">
        <f t="shared" ca="1" si="1"/>
        <v>#REF!</v>
      </c>
      <c r="K69" t="e">
        <f t="shared" ca="1" si="2"/>
        <v>#REF!</v>
      </c>
      <c r="L69" s="27" t="e">
        <f t="shared" ca="1" si="3"/>
        <v>#REF!</v>
      </c>
      <c r="M69" s="30">
        <f t="shared" si="4"/>
        <v>614656</v>
      </c>
    </row>
    <row r="70" spans="1:13">
      <c r="A70">
        <v>68</v>
      </c>
      <c r="B70">
        <v>2020</v>
      </c>
      <c r="C70">
        <v>8</v>
      </c>
      <c r="D70">
        <v>24920</v>
      </c>
      <c r="E70" t="e">
        <f t="shared" ca="1" si="5"/>
        <v>#REF!</v>
      </c>
      <c r="F70" t="e">
        <f t="shared" ca="1" si="6"/>
        <v>#REF!</v>
      </c>
      <c r="G70" t="e">
        <f t="shared" ca="1" si="7"/>
        <v>#REF!</v>
      </c>
      <c r="H70" t="e">
        <f t="shared" ca="1" si="8"/>
        <v>#REF!</v>
      </c>
      <c r="I70" t="e">
        <f t="shared" ca="1" si="0"/>
        <v>#REF!</v>
      </c>
      <c r="J70" t="e">
        <f t="shared" ca="1" si="1"/>
        <v>#REF!</v>
      </c>
      <c r="K70" t="e">
        <f t="shared" ca="1" si="2"/>
        <v>#REF!</v>
      </c>
      <c r="L70" s="27" t="e">
        <f t="shared" ca="1" si="3"/>
        <v>#REF!</v>
      </c>
      <c r="M70" s="30">
        <f t="shared" si="4"/>
        <v>2374681</v>
      </c>
    </row>
    <row r="71" spans="1:13">
      <c r="A71">
        <v>69</v>
      </c>
      <c r="B71">
        <v>2020</v>
      </c>
      <c r="C71">
        <v>9</v>
      </c>
      <c r="D71">
        <v>20325</v>
      </c>
      <c r="E71" t="e">
        <f t="shared" ca="1" si="5"/>
        <v>#REF!</v>
      </c>
      <c r="F71" t="e">
        <f t="shared" ca="1" si="6"/>
        <v>#REF!</v>
      </c>
      <c r="G71" t="e">
        <f t="shared" ca="1" si="7"/>
        <v>#REF!</v>
      </c>
      <c r="H71" t="e">
        <f t="shared" ca="1" si="8"/>
        <v>#REF!</v>
      </c>
      <c r="I71" t="e">
        <f t="shared" ref="I71:I74" ca="1" si="9">D71-H71</f>
        <v>#REF!</v>
      </c>
      <c r="J71" t="e">
        <f t="shared" ref="J71:J74" ca="1" si="10">ABS(I71)</f>
        <v>#REF!</v>
      </c>
      <c r="K71" t="e">
        <f t="shared" ref="K71:K74" ca="1" si="11">I71^2</f>
        <v>#REF!</v>
      </c>
      <c r="L71" s="27" t="e">
        <f t="shared" ref="L71:L74" ca="1" si="12">ABS(D71-H71)/D71*100</f>
        <v>#REF!</v>
      </c>
      <c r="M71" s="30">
        <f t="shared" ref="M71:M74" si="13">(D71-D70)^2</f>
        <v>21114025</v>
      </c>
    </row>
    <row r="72" spans="1:13">
      <c r="A72">
        <v>70</v>
      </c>
      <c r="B72">
        <v>2020</v>
      </c>
      <c r="C72">
        <v>10</v>
      </c>
      <c r="D72">
        <v>22038</v>
      </c>
      <c r="E72" t="e">
        <f t="shared" ca="1" si="5"/>
        <v>#REF!</v>
      </c>
      <c r="F72" t="e">
        <f t="shared" ca="1" si="6"/>
        <v>#REF!</v>
      </c>
      <c r="G72" t="e">
        <f t="shared" ca="1" si="7"/>
        <v>#REF!</v>
      </c>
      <c r="H72" t="e">
        <f t="shared" ca="1" si="8"/>
        <v>#REF!</v>
      </c>
      <c r="I72" t="e">
        <f t="shared" ca="1" si="9"/>
        <v>#REF!</v>
      </c>
      <c r="J72" t="e">
        <f t="shared" ca="1" si="10"/>
        <v>#REF!</v>
      </c>
      <c r="K72" t="e">
        <f t="shared" ca="1" si="11"/>
        <v>#REF!</v>
      </c>
      <c r="L72" s="27" t="e">
        <f t="shared" ca="1" si="12"/>
        <v>#REF!</v>
      </c>
      <c r="M72" s="30">
        <f t="shared" si="13"/>
        <v>2934369</v>
      </c>
    </row>
    <row r="73" spans="1:13">
      <c r="A73">
        <v>71</v>
      </c>
      <c r="B73">
        <v>2020</v>
      </c>
      <c r="C73">
        <v>11</v>
      </c>
      <c r="D73">
        <v>20988</v>
      </c>
      <c r="E73" t="e">
        <f t="shared" ca="1" si="5"/>
        <v>#REF!</v>
      </c>
      <c r="F73" t="e">
        <f t="shared" ca="1" si="6"/>
        <v>#REF!</v>
      </c>
      <c r="G73" t="e">
        <f t="shared" ca="1" si="7"/>
        <v>#REF!</v>
      </c>
      <c r="H73" t="e">
        <f t="shared" ca="1" si="8"/>
        <v>#REF!</v>
      </c>
      <c r="I73" t="e">
        <f t="shared" ca="1" si="9"/>
        <v>#REF!</v>
      </c>
      <c r="J73" t="e">
        <f t="shared" ca="1" si="10"/>
        <v>#REF!</v>
      </c>
      <c r="K73" t="e">
        <f t="shared" ca="1" si="11"/>
        <v>#REF!</v>
      </c>
      <c r="L73" s="27" t="e">
        <f t="shared" ca="1" si="12"/>
        <v>#REF!</v>
      </c>
      <c r="M73" s="30">
        <f t="shared" si="13"/>
        <v>1102500</v>
      </c>
    </row>
    <row r="74" spans="1:13">
      <c r="A74">
        <v>72</v>
      </c>
      <c r="B74">
        <v>2020</v>
      </c>
      <c r="C74">
        <v>12</v>
      </c>
      <c r="D74">
        <v>26675</v>
      </c>
      <c r="E74" t="e">
        <f t="shared" ca="1" si="5"/>
        <v>#REF!</v>
      </c>
      <c r="F74" t="e">
        <f t="shared" ca="1" si="6"/>
        <v>#REF!</v>
      </c>
      <c r="G74" t="e">
        <f t="shared" ca="1" si="7"/>
        <v>#REF!</v>
      </c>
      <c r="H74" t="e">
        <f t="shared" ca="1" si="8"/>
        <v>#REF!</v>
      </c>
      <c r="I74" t="e">
        <f t="shared" ca="1" si="9"/>
        <v>#REF!</v>
      </c>
      <c r="J74" t="e">
        <f t="shared" ca="1" si="10"/>
        <v>#REF!</v>
      </c>
      <c r="K74" t="e">
        <f t="shared" ca="1" si="11"/>
        <v>#REF!</v>
      </c>
      <c r="L74" s="27" t="e">
        <f t="shared" ca="1" si="12"/>
        <v>#REF!</v>
      </c>
      <c r="M74" s="30">
        <f t="shared" si="13"/>
        <v>32341969</v>
      </c>
    </row>
    <row r="75" spans="1:13">
      <c r="A75">
        <v>73</v>
      </c>
      <c r="B75">
        <v>2021</v>
      </c>
      <c r="C75">
        <v>1</v>
      </c>
    </row>
    <row r="76" spans="1:13">
      <c r="A76">
        <v>74</v>
      </c>
      <c r="B76">
        <v>2021</v>
      </c>
      <c r="C76">
        <v>2</v>
      </c>
    </row>
    <row r="77" spans="1:13">
      <c r="A77">
        <v>75</v>
      </c>
      <c r="B77">
        <v>2021</v>
      </c>
      <c r="C77">
        <v>3</v>
      </c>
    </row>
    <row r="78" spans="1:13">
      <c r="A78">
        <v>76</v>
      </c>
      <c r="B78">
        <v>2021</v>
      </c>
      <c r="C78">
        <v>4</v>
      </c>
    </row>
    <row r="79" spans="1:13">
      <c r="A79">
        <v>77</v>
      </c>
      <c r="B79">
        <v>2021</v>
      </c>
      <c r="C79">
        <v>5</v>
      </c>
    </row>
    <row r="80" spans="1:13">
      <c r="A80">
        <v>78</v>
      </c>
      <c r="B80">
        <v>2021</v>
      </c>
      <c r="C80">
        <v>6</v>
      </c>
    </row>
    <row r="81" spans="1:3">
      <c r="A81">
        <v>79</v>
      </c>
      <c r="B81">
        <v>2021</v>
      </c>
      <c r="C81">
        <v>7</v>
      </c>
    </row>
    <row r="82" spans="1:3">
      <c r="A82">
        <v>80</v>
      </c>
      <c r="B82">
        <v>2021</v>
      </c>
      <c r="C82">
        <v>8</v>
      </c>
    </row>
    <row r="83" spans="1:3">
      <c r="A83">
        <v>81</v>
      </c>
      <c r="B83">
        <v>2021</v>
      </c>
      <c r="C83">
        <v>9</v>
      </c>
    </row>
    <row r="84" spans="1:3">
      <c r="A84">
        <v>82</v>
      </c>
      <c r="B84">
        <v>2021</v>
      </c>
      <c r="C84">
        <v>10</v>
      </c>
    </row>
    <row r="85" spans="1:3">
      <c r="A85">
        <v>83</v>
      </c>
      <c r="B85">
        <v>2021</v>
      </c>
      <c r="C85">
        <v>11</v>
      </c>
    </row>
    <row r="86" spans="1:3">
      <c r="A86">
        <v>84</v>
      </c>
      <c r="B86">
        <v>2021</v>
      </c>
      <c r="C86">
        <v>12</v>
      </c>
    </row>
  </sheetData>
  <mergeCells count="2">
    <mergeCell ref="I1:M1"/>
    <mergeCell ref="O18:P2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Exam Instructions</vt:lpstr>
      <vt:lpstr>Qn3 PG</vt:lpstr>
      <vt:lpstr>Qn4 Debit Card Use (optional)</vt:lpstr>
      <vt:lpstr>Qn4 Debit Card Use (optiona (2)</vt:lpstr>
      <vt:lpstr>'Exam Instructions'!Print_Area</vt:lpstr>
    </vt:vector>
  </TitlesOfParts>
  <Company>radix</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chun</dc:creator>
  <cp:lastModifiedBy>Morman (US), Brian J</cp:lastModifiedBy>
  <cp:lastPrinted>2015-07-10T20:05:52Z</cp:lastPrinted>
  <dcterms:created xsi:type="dcterms:W3CDTF">2013-07-20T01:42:43Z</dcterms:created>
  <dcterms:modified xsi:type="dcterms:W3CDTF">2024-12-11T22:25:38Z</dcterms:modified>
</cp:coreProperties>
</file>