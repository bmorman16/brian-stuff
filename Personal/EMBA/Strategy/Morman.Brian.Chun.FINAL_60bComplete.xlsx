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showInkAnnotation="0" autoCompressPictures="0"/>
  <mc:AlternateContent xmlns:mc="http://schemas.openxmlformats.org/markup-compatibility/2006">
    <mc:Choice Requires="x15">
      <x15ac:absPath xmlns:x15ac="http://schemas.microsoft.com/office/spreadsheetml/2010/11/ac" url="C:\Users\gz173f\Documents\Personal\EMBA\Strategy\"/>
    </mc:Choice>
  </mc:AlternateContent>
  <xr:revisionPtr revIDLastSave="0" documentId="8_{B5AF9366-2BF2-40E5-A516-DA5C91F537B6}" xr6:coauthVersionLast="47" xr6:coauthVersionMax="47" xr10:uidLastSave="{00000000-0000-0000-0000-000000000000}"/>
  <bookViews>
    <workbookView xWindow="-120" yWindow="-120" windowWidth="29040" windowHeight="15840" tabRatio="595" activeTab="2" xr2:uid="{00000000-000D-0000-FFFF-FFFF00000000}"/>
  </bookViews>
  <sheets>
    <sheet name="Exam Instructions" sheetId="5" r:id="rId1"/>
    <sheet name="Qn3 PG" sheetId="28" r:id="rId2"/>
    <sheet name="Qn4 Debit Card Use (optional)" sheetId="29" r:id="rId3"/>
  </sheets>
  <definedNames>
    <definedName name="_xlnm.Print_Area" localSheetId="0">'Exam Instructions'!$B$1:$B$18</definedName>
    <definedName name="solver_adj" localSheetId="2" hidden="1">'Qn4 Debit Card Use (optional)'!$O$4:$O$6</definedName>
    <definedName name="solver_cvg" localSheetId="2" hidden="1">0.0001</definedName>
    <definedName name="solver_drv" localSheetId="2" hidden="1">2</definedName>
    <definedName name="solver_eng" localSheetId="2" hidden="1">3</definedName>
    <definedName name="solver_est" localSheetId="2" hidden="1">1</definedName>
    <definedName name="solver_itr" localSheetId="2" hidden="1">2147483647</definedName>
    <definedName name="solver_lhs1" localSheetId="2" hidden="1">'Qn4 Debit Card Use (optional)'!$O$4</definedName>
    <definedName name="solver_lhs2" localSheetId="2" hidden="1">'Qn4 Debit Card Use (optional)'!$O$4</definedName>
    <definedName name="solver_lhs3" localSheetId="2" hidden="1">'Qn4 Debit Card Use (optional)'!$O$5</definedName>
    <definedName name="solver_lhs4" localSheetId="2" hidden="1">'Qn4 Debit Card Use (optional)'!$O$5</definedName>
    <definedName name="solver_lhs5" localSheetId="2" hidden="1">'Qn4 Debit Card Use (optional)'!$O$6</definedName>
    <definedName name="solver_lhs6" localSheetId="2" hidden="1">'Qn4 Debit Card Use (optional)'!$O$6</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2" hidden="1">1</definedName>
    <definedName name="solver_nod" localSheetId="2" hidden="1">2147483647</definedName>
    <definedName name="solver_num" localSheetId="2" hidden="1">6</definedName>
    <definedName name="solver_nwt" localSheetId="2" hidden="1">1</definedName>
    <definedName name="solver_opt" localSheetId="2" hidden="1">'Qn4 Debit Card Use (optional)'!$O$12</definedName>
    <definedName name="solver_pre" localSheetId="2" hidden="1">0.000001</definedName>
    <definedName name="solver_rbv" localSheetId="2" hidden="1">2</definedName>
    <definedName name="solver_rel1" localSheetId="2" hidden="1">1</definedName>
    <definedName name="solver_rel2" localSheetId="2" hidden="1">3</definedName>
    <definedName name="solver_rel3" localSheetId="2" hidden="1">1</definedName>
    <definedName name="solver_rel4" localSheetId="2" hidden="1">3</definedName>
    <definedName name="solver_rel5" localSheetId="2" hidden="1">1</definedName>
    <definedName name="solver_rel6" localSheetId="2" hidden="1">3</definedName>
    <definedName name="solver_rhs1" localSheetId="2" hidden="1">1</definedName>
    <definedName name="solver_rhs2" localSheetId="2" hidden="1">0</definedName>
    <definedName name="solver_rhs3" localSheetId="2" hidden="1">1</definedName>
    <definedName name="solver_rhs4" localSheetId="2" hidden="1">0</definedName>
    <definedName name="solver_rhs5" localSheetId="2" hidden="1">1</definedName>
    <definedName name="solver_rhs6" localSheetId="2" hidden="1">0</definedName>
    <definedName name="solver_rlx" localSheetId="2" hidden="1">2</definedName>
    <definedName name="solver_rsd" localSheetId="2" hidden="1">0</definedName>
    <definedName name="solver_scl" localSheetId="2" hidden="1">2</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2" hidden="1">2</definedName>
    <definedName name="solver_val" localSheetId="2" hidden="1">0</definedName>
    <definedName name="solver_ver" localSheetId="2" hidden="1">3</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75" i="29" l="1"/>
  <c r="H76" i="29"/>
  <c r="G75" i="29"/>
  <c r="F75" i="29"/>
  <c r="F74" i="29"/>
  <c r="E75" i="29"/>
  <c r="E74" i="29"/>
  <c r="D76" i="29"/>
  <c r="E76" i="29" s="1"/>
  <c r="D77" i="29"/>
  <c r="D75" i="29"/>
  <c r="H74" i="29"/>
  <c r="O3" i="29"/>
  <c r="F76" i="29" l="1"/>
  <c r="E77" i="29" s="1"/>
  <c r="H77" i="29"/>
  <c r="D78" i="29" s="1"/>
  <c r="G76" i="29"/>
  <c r="E26" i="29"/>
  <c r="M74" i="29"/>
  <c r="M73" i="29"/>
  <c r="M72" i="29"/>
  <c r="M71" i="29"/>
  <c r="M70" i="29"/>
  <c r="M69" i="29"/>
  <c r="M68" i="29"/>
  <c r="M67" i="29"/>
  <c r="M66" i="29"/>
  <c r="M65" i="29"/>
  <c r="M64" i="29"/>
  <c r="M63" i="29"/>
  <c r="M62" i="29"/>
  <c r="M61" i="29"/>
  <c r="M60" i="29"/>
  <c r="M59" i="29"/>
  <c r="M58" i="29"/>
  <c r="M57" i="29"/>
  <c r="M56" i="29"/>
  <c r="M55" i="29"/>
  <c r="M54" i="29"/>
  <c r="M53" i="29"/>
  <c r="M52" i="29"/>
  <c r="M51" i="29"/>
  <c r="M50" i="29"/>
  <c r="M49" i="29"/>
  <c r="M48" i="29"/>
  <c r="M47" i="29"/>
  <c r="M46" i="29"/>
  <c r="M45" i="29"/>
  <c r="M44" i="29"/>
  <c r="M43" i="29"/>
  <c r="M42" i="29"/>
  <c r="M41" i="29"/>
  <c r="M40" i="29"/>
  <c r="M39" i="29"/>
  <c r="M38" i="29"/>
  <c r="M37" i="29"/>
  <c r="M36" i="29"/>
  <c r="M35" i="29"/>
  <c r="M34" i="29"/>
  <c r="M33" i="29"/>
  <c r="M32" i="29"/>
  <c r="M31" i="29"/>
  <c r="M30" i="29"/>
  <c r="M29" i="29"/>
  <c r="M28" i="29"/>
  <c r="M27" i="29"/>
  <c r="H78" i="29" l="1"/>
  <c r="D79" i="29" s="1"/>
  <c r="G77" i="29"/>
  <c r="F77" i="29"/>
  <c r="E78" i="29"/>
  <c r="G19" i="29"/>
  <c r="G26" i="29"/>
  <c r="G15" i="29"/>
  <c r="E27" i="29" s="1"/>
  <c r="G13" i="29"/>
  <c r="G12" i="29"/>
  <c r="G11" i="29"/>
  <c r="G10" i="29"/>
  <c r="G9" i="29"/>
  <c r="G18" i="29"/>
  <c r="G16" i="29"/>
  <c r="G17" i="29"/>
  <c r="G8" i="29"/>
  <c r="G24" i="29"/>
  <c r="G3" i="29"/>
  <c r="G7" i="29"/>
  <c r="G23" i="29"/>
  <c r="G14" i="29"/>
  <c r="G5" i="29"/>
  <c r="G25" i="29"/>
  <c r="G22" i="29"/>
  <c r="G21" i="29"/>
  <c r="G6" i="29"/>
  <c r="G4" i="29"/>
  <c r="G20" i="29"/>
  <c r="G27" i="29"/>
  <c r="G79" i="29" l="1"/>
  <c r="H79" i="29"/>
  <c r="D80" i="29" s="1"/>
  <c r="G78" i="29"/>
  <c r="F78" i="29"/>
  <c r="E79" i="29"/>
  <c r="H27" i="29"/>
  <c r="D256" i="28"/>
  <c r="D4" i="28"/>
  <c r="G4" i="28" s="1"/>
  <c r="D5" i="28"/>
  <c r="D6" i="28"/>
  <c r="D7" i="28"/>
  <c r="D8" i="28"/>
  <c r="D9" i="28"/>
  <c r="D10" i="28"/>
  <c r="D11" i="28"/>
  <c r="D12" i="28"/>
  <c r="D13" i="28"/>
  <c r="D14" i="28"/>
  <c r="D15" i="28"/>
  <c r="D16" i="28"/>
  <c r="D17" i="28"/>
  <c r="D18" i="28"/>
  <c r="D19" i="28"/>
  <c r="D20" i="28"/>
  <c r="D21" i="28"/>
  <c r="D22" i="28"/>
  <c r="D23" i="28"/>
  <c r="D24" i="28"/>
  <c r="D25" i="28"/>
  <c r="D26" i="28"/>
  <c r="D27" i="28"/>
  <c r="D28" i="28"/>
  <c r="D29" i="28"/>
  <c r="D30" i="28"/>
  <c r="D31" i="28"/>
  <c r="D32" i="28"/>
  <c r="D33" i="28"/>
  <c r="D34" i="28"/>
  <c r="D35" i="28"/>
  <c r="D36" i="28"/>
  <c r="D37" i="28"/>
  <c r="D38" i="28"/>
  <c r="D39" i="28"/>
  <c r="D40" i="28"/>
  <c r="D41" i="28"/>
  <c r="D42" i="28"/>
  <c r="D43" i="28"/>
  <c r="D44" i="28"/>
  <c r="D45" i="28"/>
  <c r="D46" i="28"/>
  <c r="D47" i="28"/>
  <c r="D48" i="28"/>
  <c r="D49" i="28"/>
  <c r="D50" i="28"/>
  <c r="D51" i="28"/>
  <c r="D52" i="28"/>
  <c r="D53" i="28"/>
  <c r="D54" i="28"/>
  <c r="D55" i="28"/>
  <c r="D56" i="28"/>
  <c r="D57" i="28"/>
  <c r="D58" i="28"/>
  <c r="D59" i="28"/>
  <c r="D60" i="28"/>
  <c r="D61" i="28"/>
  <c r="D62" i="28"/>
  <c r="D63" i="28"/>
  <c r="D64" i="28"/>
  <c r="D65" i="28"/>
  <c r="D66" i="28"/>
  <c r="D67" i="28"/>
  <c r="D68" i="28"/>
  <c r="D69" i="28"/>
  <c r="D70" i="28"/>
  <c r="D71" i="28"/>
  <c r="D72" i="28"/>
  <c r="D73" i="28"/>
  <c r="D74" i="28"/>
  <c r="D75" i="28"/>
  <c r="D76" i="28"/>
  <c r="D77" i="28"/>
  <c r="D78" i="28"/>
  <c r="D79" i="28"/>
  <c r="D80" i="28"/>
  <c r="D81" i="28"/>
  <c r="D82" i="28"/>
  <c r="D83" i="28"/>
  <c r="D84" i="28"/>
  <c r="D85" i="28"/>
  <c r="D86" i="28"/>
  <c r="D87" i="28"/>
  <c r="D88" i="28"/>
  <c r="D89" i="28"/>
  <c r="D90" i="28"/>
  <c r="D91" i="28"/>
  <c r="D92" i="28"/>
  <c r="D93" i="28"/>
  <c r="D94" i="28"/>
  <c r="D95" i="28"/>
  <c r="D96" i="28"/>
  <c r="D97" i="28"/>
  <c r="D98" i="28"/>
  <c r="D99" i="28"/>
  <c r="D100" i="28"/>
  <c r="D101" i="28"/>
  <c r="D102" i="28"/>
  <c r="D103" i="28"/>
  <c r="D104" i="28"/>
  <c r="D105" i="28"/>
  <c r="D106" i="28"/>
  <c r="D107" i="28"/>
  <c r="D108" i="28"/>
  <c r="D109" i="28"/>
  <c r="D110" i="28"/>
  <c r="D111" i="28"/>
  <c r="D112" i="28"/>
  <c r="D113" i="28"/>
  <c r="D114" i="28"/>
  <c r="D115" i="28"/>
  <c r="D116" i="28"/>
  <c r="D117" i="28"/>
  <c r="D118" i="28"/>
  <c r="D119" i="28"/>
  <c r="D120" i="28"/>
  <c r="D121" i="28"/>
  <c r="D122" i="28"/>
  <c r="D123" i="28"/>
  <c r="D124" i="28"/>
  <c r="D125" i="28"/>
  <c r="D126" i="28"/>
  <c r="D127" i="28"/>
  <c r="D128" i="28"/>
  <c r="D129" i="28"/>
  <c r="D130" i="28"/>
  <c r="D131" i="28"/>
  <c r="D132" i="28"/>
  <c r="D133" i="28"/>
  <c r="D134" i="28"/>
  <c r="D135" i="28"/>
  <c r="D136" i="28"/>
  <c r="D137" i="28"/>
  <c r="D138" i="28"/>
  <c r="D139" i="28"/>
  <c r="D140" i="28"/>
  <c r="D141" i="28"/>
  <c r="D142" i="28"/>
  <c r="D143" i="28"/>
  <c r="D144" i="28"/>
  <c r="D145" i="28"/>
  <c r="D146" i="28"/>
  <c r="D147" i="28"/>
  <c r="D148" i="28"/>
  <c r="D149" i="28"/>
  <c r="D150" i="28"/>
  <c r="D151" i="28"/>
  <c r="D152" i="28"/>
  <c r="D153" i="28"/>
  <c r="D154" i="28"/>
  <c r="D155" i="28"/>
  <c r="D156" i="28"/>
  <c r="D157" i="28"/>
  <c r="D158" i="28"/>
  <c r="D159" i="28"/>
  <c r="D160" i="28"/>
  <c r="D161" i="28"/>
  <c r="D162" i="28"/>
  <c r="D163" i="28"/>
  <c r="D164" i="28"/>
  <c r="D165" i="28"/>
  <c r="D166" i="28"/>
  <c r="D167" i="28"/>
  <c r="D168" i="28"/>
  <c r="D169" i="28"/>
  <c r="D170" i="28"/>
  <c r="D171" i="28"/>
  <c r="D172" i="28"/>
  <c r="D173" i="28"/>
  <c r="D174" i="28"/>
  <c r="D175" i="28"/>
  <c r="D176" i="28"/>
  <c r="D177" i="28"/>
  <c r="D178" i="28"/>
  <c r="D179" i="28"/>
  <c r="D180" i="28"/>
  <c r="D181" i="28"/>
  <c r="D182" i="28"/>
  <c r="D183" i="28"/>
  <c r="D184" i="28"/>
  <c r="D185" i="28"/>
  <c r="D186" i="28"/>
  <c r="D187" i="28"/>
  <c r="D188" i="28"/>
  <c r="D189" i="28"/>
  <c r="D190" i="28"/>
  <c r="D191" i="28"/>
  <c r="D192" i="28"/>
  <c r="D193" i="28"/>
  <c r="D194" i="28"/>
  <c r="D195" i="28"/>
  <c r="D196" i="28"/>
  <c r="D197" i="28"/>
  <c r="D198" i="28"/>
  <c r="D199" i="28"/>
  <c r="D200" i="28"/>
  <c r="D201" i="28"/>
  <c r="D202" i="28"/>
  <c r="D203" i="28"/>
  <c r="D204" i="28"/>
  <c r="D205" i="28"/>
  <c r="D206" i="28"/>
  <c r="D207" i="28"/>
  <c r="D208" i="28"/>
  <c r="D209" i="28"/>
  <c r="D210" i="28"/>
  <c r="D211" i="28"/>
  <c r="D212" i="28"/>
  <c r="D213" i="28"/>
  <c r="D214" i="28"/>
  <c r="D215" i="28"/>
  <c r="D216" i="28"/>
  <c r="D217" i="28"/>
  <c r="D218" i="28"/>
  <c r="D219" i="28"/>
  <c r="D220" i="28"/>
  <c r="D221" i="28"/>
  <c r="D222" i="28"/>
  <c r="D223" i="28"/>
  <c r="D224" i="28"/>
  <c r="D225" i="28"/>
  <c r="D226" i="28"/>
  <c r="D227" i="28"/>
  <c r="D228" i="28"/>
  <c r="D229" i="28"/>
  <c r="D230" i="28"/>
  <c r="D231" i="28"/>
  <c r="D232" i="28"/>
  <c r="D233" i="28"/>
  <c r="D234" i="28"/>
  <c r="D235" i="28"/>
  <c r="D236" i="28"/>
  <c r="D237" i="28"/>
  <c r="D238" i="28"/>
  <c r="D239" i="28"/>
  <c r="D240" i="28"/>
  <c r="D241" i="28"/>
  <c r="D242" i="28"/>
  <c r="D243" i="28"/>
  <c r="D244" i="28"/>
  <c r="D245" i="28"/>
  <c r="D246" i="28"/>
  <c r="D247" i="28"/>
  <c r="D248" i="28"/>
  <c r="D249" i="28"/>
  <c r="D250" i="28"/>
  <c r="D251" i="28"/>
  <c r="D252" i="28"/>
  <c r="D253" i="28"/>
  <c r="D254" i="28"/>
  <c r="D255" i="28"/>
  <c r="D257" i="28"/>
  <c r="D258" i="28"/>
  <c r="D259" i="28"/>
  <c r="D260" i="28"/>
  <c r="D261" i="28"/>
  <c r="D262" i="28"/>
  <c r="D263" i="28"/>
  <c r="G80" i="29" l="1"/>
  <c r="H80" i="29"/>
  <c r="D81" i="29" s="1"/>
  <c r="F79" i="29"/>
  <c r="E80" i="29" s="1"/>
  <c r="E4" i="28"/>
  <c r="E6" i="28" s="1"/>
  <c r="C264" i="28" s="1"/>
  <c r="C265" i="28" s="1"/>
  <c r="C266" i="28" s="1"/>
  <c r="C267" i="28" s="1"/>
  <c r="C268" i="28" s="1"/>
  <c r="F4" i="28"/>
  <c r="G81" i="29" l="1"/>
  <c r="H81" i="29"/>
  <c r="D82" i="29" s="1"/>
  <c r="F80" i="29"/>
  <c r="E81" i="29" s="1"/>
  <c r="C269" i="28"/>
  <c r="C270" i="28" s="1"/>
  <c r="C271" i="28" s="1"/>
  <c r="C272" i="28" s="1"/>
  <c r="C273" i="28" s="1"/>
  <c r="C274" i="28" s="1"/>
  <c r="C275" i="28" s="1"/>
  <c r="C276" i="28" s="1"/>
  <c r="G82" i="29" l="1"/>
  <c r="H82" i="29"/>
  <c r="D83" i="29" s="1"/>
  <c r="F81" i="29"/>
  <c r="E82" i="29" s="1"/>
  <c r="C277" i="28"/>
  <c r="C278" i="28" s="1"/>
  <c r="C279" i="28" s="1"/>
  <c r="C280" i="28" s="1"/>
  <c r="C281" i="28" s="1"/>
  <c r="C282" i="28" s="1"/>
  <c r="C283" i="28" s="1"/>
  <c r="C284" i="28" s="1"/>
  <c r="C285" i="28" s="1"/>
  <c r="C286" i="28" s="1"/>
  <c r="C287" i="28" s="1"/>
  <c r="C288" i="28" s="1"/>
  <c r="C291" i="28" s="1"/>
  <c r="G83" i="29" l="1"/>
  <c r="H83" i="29"/>
  <c r="D84" i="29" s="1"/>
  <c r="F82" i="29"/>
  <c r="E83" i="29" s="1"/>
  <c r="F291" i="28"/>
  <c r="F294" i="28"/>
  <c r="F296" i="28"/>
  <c r="H84" i="29" l="1"/>
  <c r="D85" i="29" s="1"/>
  <c r="F83" i="29"/>
  <c r="E84" i="29" s="1"/>
  <c r="F295" i="28"/>
  <c r="F292" i="28"/>
  <c r="F297" i="28"/>
  <c r="F293" i="28"/>
  <c r="F298" i="28"/>
  <c r="H85" i="29" l="1"/>
  <c r="D86" i="29" s="1"/>
  <c r="G84" i="29"/>
  <c r="F84" i="29"/>
  <c r="E85" i="29" s="1"/>
  <c r="F27" i="29"/>
  <c r="E28" i="29" s="1"/>
  <c r="G86" i="29" l="1"/>
  <c r="H86" i="29"/>
  <c r="G85" i="29"/>
  <c r="F85" i="29"/>
  <c r="E86" i="29" s="1"/>
  <c r="F86" i="29" s="1"/>
  <c r="H28" i="29"/>
  <c r="F28" i="29" l="1"/>
  <c r="G28" i="29"/>
  <c r="H29" i="29" l="1"/>
  <c r="E29" i="29"/>
  <c r="G29" i="29"/>
  <c r="F29" i="29"/>
  <c r="E30" i="29" s="1"/>
  <c r="F30" i="29" l="1"/>
  <c r="G30" i="29"/>
  <c r="H30" i="29"/>
  <c r="E31" i="29" l="1"/>
  <c r="F31" i="29"/>
  <c r="H31" i="29"/>
  <c r="E32" i="29" l="1"/>
  <c r="F32" i="29" s="1"/>
  <c r="H33" i="29" s="1"/>
  <c r="G31" i="29"/>
  <c r="H32" i="29"/>
  <c r="G32" i="29"/>
  <c r="E33" i="29" l="1"/>
  <c r="G33" i="29" l="1"/>
  <c r="F33" i="29"/>
  <c r="H34" i="29" s="1"/>
  <c r="E34" i="29" l="1"/>
  <c r="G34" i="29"/>
  <c r="F34" i="29"/>
  <c r="E35" i="29" s="1"/>
  <c r="G35" i="29" l="1"/>
  <c r="F35" i="29"/>
  <c r="H36" i="29" s="1"/>
  <c r="H35" i="29"/>
  <c r="E36" i="29" l="1"/>
  <c r="G36" i="29"/>
  <c r="F36" i="29"/>
  <c r="E37" i="29" s="1"/>
  <c r="G37" i="29" l="1"/>
  <c r="F37" i="29"/>
  <c r="E38" i="29" s="1"/>
  <c r="H37" i="29"/>
  <c r="F38" i="29" l="1"/>
  <c r="E39" i="29" s="1"/>
  <c r="G38" i="29"/>
  <c r="H39" i="29"/>
  <c r="H38" i="29"/>
  <c r="F39" i="29" l="1"/>
  <c r="E40" i="29" s="1"/>
  <c r="G39" i="29"/>
  <c r="H40" i="29" l="1"/>
  <c r="G40" i="29"/>
  <c r="F40" i="29"/>
  <c r="E41" i="29" s="1"/>
  <c r="G41" i="29" l="1"/>
  <c r="F41" i="29"/>
  <c r="E42" i="29" s="1"/>
  <c r="H41" i="29"/>
  <c r="F42" i="29" l="1"/>
  <c r="E43" i="29" s="1"/>
  <c r="G42" i="29"/>
  <c r="H43" i="29"/>
  <c r="H42" i="29"/>
  <c r="G43" i="29" l="1"/>
  <c r="F43" i="29"/>
  <c r="E44" i="29" s="1"/>
  <c r="G44" i="29" l="1"/>
  <c r="F44" i="29"/>
  <c r="E45" i="29" s="1"/>
  <c r="H44" i="29"/>
  <c r="G45" i="29" l="1"/>
  <c r="F45" i="29"/>
  <c r="E46" i="29" s="1"/>
  <c r="H45" i="29"/>
  <c r="H46" i="29" l="1"/>
  <c r="F46" i="29"/>
  <c r="E47" i="29" s="1"/>
  <c r="G46" i="29"/>
  <c r="H47" i="29"/>
  <c r="F47" i="29" l="1"/>
  <c r="E48" i="29" s="1"/>
  <c r="G47" i="29"/>
  <c r="H48" i="29"/>
  <c r="L28" i="29"/>
  <c r="I28" i="29"/>
  <c r="L27" i="29"/>
  <c r="I27" i="29"/>
  <c r="G48" i="29" l="1"/>
  <c r="F48" i="29"/>
  <c r="E49" i="29" s="1"/>
  <c r="K28" i="29"/>
  <c r="J28" i="29"/>
  <c r="J27" i="29"/>
  <c r="K27" i="29"/>
  <c r="L29" i="29"/>
  <c r="I29" i="29"/>
  <c r="H49" i="29" l="1"/>
  <c r="G49" i="29"/>
  <c r="F49" i="29"/>
  <c r="E50" i="29" s="1"/>
  <c r="K29" i="29"/>
  <c r="J29" i="29"/>
  <c r="H50" i="29" l="1"/>
  <c r="F50" i="29"/>
  <c r="E51" i="29" s="1"/>
  <c r="G50" i="29"/>
  <c r="H51" i="29"/>
  <c r="I30" i="29"/>
  <c r="L30" i="29"/>
  <c r="I31" i="29"/>
  <c r="L31" i="29"/>
  <c r="G51" i="29" l="1"/>
  <c r="F51" i="29"/>
  <c r="E52" i="29" s="1"/>
  <c r="I32" i="29"/>
  <c r="L32" i="29"/>
  <c r="K31" i="29"/>
  <c r="J31" i="29"/>
  <c r="K30" i="29"/>
  <c r="J30" i="29"/>
  <c r="G52" i="29" l="1"/>
  <c r="F52" i="29"/>
  <c r="E53" i="29" s="1"/>
  <c r="H52" i="29"/>
  <c r="K32" i="29"/>
  <c r="J32" i="29"/>
  <c r="F53" i="29" l="1"/>
  <c r="E54" i="29" s="1"/>
  <c r="G53" i="29"/>
  <c r="H54" i="29"/>
  <c r="H53" i="29"/>
  <c r="L33" i="29"/>
  <c r="I33" i="29"/>
  <c r="G54" i="29" l="1"/>
  <c r="F54" i="29"/>
  <c r="E55" i="29" s="1"/>
  <c r="L34" i="29"/>
  <c r="I34" i="29"/>
  <c r="K33" i="29"/>
  <c r="J33" i="29"/>
  <c r="G55" i="29" l="1"/>
  <c r="F55" i="29"/>
  <c r="E56" i="29" s="1"/>
  <c r="H55" i="29"/>
  <c r="K34" i="29"/>
  <c r="J34" i="29"/>
  <c r="H56" i="29" l="1"/>
  <c r="F56" i="29"/>
  <c r="E57" i="29" s="1"/>
  <c r="G56" i="29"/>
  <c r="H57" i="29"/>
  <c r="I35" i="29"/>
  <c r="L35" i="29"/>
  <c r="G57" i="29" l="1"/>
  <c r="F57" i="29"/>
  <c r="E58" i="29" s="1"/>
  <c r="L36" i="29"/>
  <c r="I36" i="29"/>
  <c r="K35" i="29"/>
  <c r="J35" i="29"/>
  <c r="G58" i="29" l="1"/>
  <c r="F58" i="29"/>
  <c r="E59" i="29" s="1"/>
  <c r="H59" i="29"/>
  <c r="H58" i="29"/>
  <c r="J36" i="29"/>
  <c r="K36" i="29"/>
  <c r="F59" i="29" l="1"/>
  <c r="E60" i="29" s="1"/>
  <c r="G59" i="29"/>
  <c r="H60" i="29"/>
  <c r="L38" i="29"/>
  <c r="I38" i="29"/>
  <c r="L37" i="29"/>
  <c r="I37" i="29"/>
  <c r="G60" i="29" l="1"/>
  <c r="F60" i="29"/>
  <c r="E61" i="29" s="1"/>
  <c r="K37" i="29"/>
  <c r="J37" i="29"/>
  <c r="K38" i="29"/>
  <c r="J38" i="29"/>
  <c r="F61" i="29" l="1"/>
  <c r="E62" i="29" s="1"/>
  <c r="G61" i="29"/>
  <c r="H62" i="29"/>
  <c r="H61" i="29"/>
  <c r="L39" i="29"/>
  <c r="I39" i="29"/>
  <c r="G62" i="29" l="1"/>
  <c r="F62" i="29"/>
  <c r="E63" i="29" s="1"/>
  <c r="H63" i="29"/>
  <c r="I40" i="29"/>
  <c r="L40" i="29"/>
  <c r="K39" i="29"/>
  <c r="J39" i="29"/>
  <c r="G63" i="29" l="1"/>
  <c r="F63" i="29"/>
  <c r="E64" i="29" s="1"/>
  <c r="H64" i="29"/>
  <c r="I41" i="29"/>
  <c r="L41" i="29"/>
  <c r="J40" i="29"/>
  <c r="K40" i="29"/>
  <c r="G64" i="29" l="1"/>
  <c r="F64" i="29"/>
  <c r="E65" i="29" s="1"/>
  <c r="L42" i="29"/>
  <c r="I42" i="29"/>
  <c r="J41" i="29"/>
  <c r="K41" i="29"/>
  <c r="G65" i="29" l="1"/>
  <c r="F65" i="29"/>
  <c r="E66" i="29" s="1"/>
  <c r="H65" i="29"/>
  <c r="K42" i="29"/>
  <c r="J42" i="29"/>
  <c r="G66" i="29" l="1"/>
  <c r="F66" i="29"/>
  <c r="E67" i="29" s="1"/>
  <c r="H66" i="29"/>
  <c r="L43" i="29"/>
  <c r="I43" i="29"/>
  <c r="L44" i="29"/>
  <c r="I44" i="29"/>
  <c r="G67" i="29" l="1"/>
  <c r="F67" i="29"/>
  <c r="E68" i="29" s="1"/>
  <c r="H67" i="29"/>
  <c r="J44" i="29"/>
  <c r="K44" i="29"/>
  <c r="K43" i="29"/>
  <c r="J43" i="29"/>
  <c r="G68" i="29" l="1"/>
  <c r="F68" i="29"/>
  <c r="E69" i="29" s="1"/>
  <c r="H68" i="29"/>
  <c r="L46" i="29"/>
  <c r="I46" i="29"/>
  <c r="L45" i="29"/>
  <c r="I45" i="29"/>
  <c r="G69" i="29" l="1"/>
  <c r="F69" i="29"/>
  <c r="E70" i="29" s="1"/>
  <c r="H70" i="29"/>
  <c r="H69" i="29"/>
  <c r="K45" i="29"/>
  <c r="J45" i="29"/>
  <c r="K46" i="29"/>
  <c r="J46" i="29"/>
  <c r="G70" i="29" l="1"/>
  <c r="F70" i="29"/>
  <c r="E71" i="29" s="1"/>
  <c r="L47" i="29"/>
  <c r="I47" i="29"/>
  <c r="L48" i="29"/>
  <c r="I48" i="29"/>
  <c r="G71" i="29" l="1"/>
  <c r="F71" i="29"/>
  <c r="E72" i="29" s="1"/>
  <c r="H72" i="29"/>
  <c r="H71" i="29"/>
  <c r="K48" i="29"/>
  <c r="J48" i="29"/>
  <c r="L49" i="29"/>
  <c r="I49" i="29"/>
  <c r="J47" i="29"/>
  <c r="K47" i="29"/>
  <c r="G72" i="29" l="1"/>
  <c r="F72" i="29"/>
  <c r="E73" i="29" s="1"/>
  <c r="K49" i="29"/>
  <c r="J49" i="29"/>
  <c r="G73" i="29" l="1"/>
  <c r="F73" i="29"/>
  <c r="H73" i="29"/>
  <c r="I50" i="29"/>
  <c r="L50" i="29"/>
  <c r="I51" i="29"/>
  <c r="L51" i="29"/>
  <c r="K51" i="29" l="1"/>
  <c r="J51" i="29"/>
  <c r="J50" i="29"/>
  <c r="K50" i="29"/>
  <c r="G74" i="29" l="1"/>
  <c r="L53" i="29"/>
  <c r="I53" i="29"/>
  <c r="I52" i="29"/>
  <c r="L52" i="29"/>
  <c r="K52" i="29" l="1"/>
  <c r="J52" i="29"/>
  <c r="K53" i="29"/>
  <c r="J53" i="29"/>
  <c r="L54" i="29" l="1"/>
  <c r="I54" i="29"/>
  <c r="I55" i="29"/>
  <c r="L55" i="29"/>
  <c r="I56" i="29" l="1"/>
  <c r="L56" i="29"/>
  <c r="K55" i="29"/>
  <c r="J55" i="29"/>
  <c r="K54" i="29"/>
  <c r="J54" i="29"/>
  <c r="I57" i="29" l="1"/>
  <c r="L57" i="29"/>
  <c r="K56" i="29"/>
  <c r="J56" i="29"/>
  <c r="K57" i="29" l="1"/>
  <c r="J57" i="29"/>
  <c r="L59" i="29" l="1"/>
  <c r="I59" i="29"/>
  <c r="L58" i="29"/>
  <c r="I58" i="29"/>
  <c r="K58" i="29" l="1"/>
  <c r="J58" i="29"/>
  <c r="L60" i="29"/>
  <c r="I60" i="29"/>
  <c r="K59" i="29"/>
  <c r="J59" i="29"/>
  <c r="J60" i="29" l="1"/>
  <c r="K60" i="29"/>
  <c r="I61" i="29" l="1"/>
  <c r="L61" i="29"/>
  <c r="L62" i="29"/>
  <c r="I62" i="29"/>
  <c r="L63" i="29" l="1"/>
  <c r="I63" i="29"/>
  <c r="K62" i="29"/>
  <c r="J62" i="29"/>
  <c r="J61" i="29"/>
  <c r="K61" i="29"/>
  <c r="L64" i="29" l="1"/>
  <c r="I64" i="29"/>
  <c r="K63" i="29"/>
  <c r="J63" i="29"/>
  <c r="L65" i="29" l="1"/>
  <c r="I65" i="29"/>
  <c r="J64" i="29"/>
  <c r="K64" i="29"/>
  <c r="L66" i="29" l="1"/>
  <c r="I66" i="29"/>
  <c r="K65" i="29"/>
  <c r="J65" i="29"/>
  <c r="L67" i="29" l="1"/>
  <c r="I67" i="29"/>
  <c r="J66" i="29"/>
  <c r="K66" i="29"/>
  <c r="L68" i="29" l="1"/>
  <c r="I68" i="29"/>
  <c r="J67" i="29"/>
  <c r="K67" i="29"/>
  <c r="L69" i="29" l="1"/>
  <c r="I69" i="29"/>
  <c r="J68" i="29"/>
  <c r="K68" i="29"/>
  <c r="K69" i="29" l="1"/>
  <c r="J69" i="29"/>
  <c r="I70" i="29" l="1"/>
  <c r="L70" i="29"/>
  <c r="I71" i="29"/>
  <c r="L71" i="29"/>
  <c r="K71" i="29" l="1"/>
  <c r="J71" i="29"/>
  <c r="J70" i="29"/>
  <c r="K70" i="29"/>
  <c r="I72" i="29" l="1"/>
  <c r="L72" i="29"/>
  <c r="L73" i="29"/>
  <c r="I73" i="29"/>
  <c r="K73" i="29" l="1"/>
  <c r="J73" i="29"/>
  <c r="K72" i="29"/>
  <c r="J72" i="29"/>
  <c r="L74" i="29" l="1"/>
  <c r="O10" i="29" s="1"/>
  <c r="I74" i="29"/>
  <c r="O8" i="29" s="1"/>
  <c r="K74" i="29" l="1"/>
  <c r="J74" i="29"/>
  <c r="O9" i="29" s="1"/>
  <c r="O12" i="29" l="1"/>
  <c r="O11" i="29"/>
</calcChain>
</file>

<file path=xl/sharedStrings.xml><?xml version="1.0" encoding="utf-8"?>
<sst xmlns="http://schemas.openxmlformats.org/spreadsheetml/2006/main" count="76" uniqueCount="69">
  <si>
    <t xml:space="preserve"> </t>
  </si>
  <si>
    <t>Place your answer to question 3 on this page only</t>
  </si>
  <si>
    <t>Place your answer to question 4 on this page only</t>
  </si>
  <si>
    <t>debit(000)</t>
  </si>
  <si>
    <t>month</t>
  </si>
  <si>
    <t>year</t>
  </si>
  <si>
    <t>obs. no.</t>
  </si>
  <si>
    <t xml:space="preserve">(3 pts): HOLT WINTERS Triple Exponential Smoothing: Watch the following twelve minute video. (This is best watched in HD 1080 pixel resolution achievable through the settings button on youtube -- again, feel free to use other video/internet resources). </t>
  </si>
  <si>
    <t>https://www.youtube.com/watch?v=VLlGO_fCdX0</t>
  </si>
  <si>
    <t>Below is a text description of the method, as well.</t>
  </si>
  <si>
    <t>Date</t>
  </si>
  <si>
    <r>
      <rPr>
        <b/>
        <sz val="22"/>
        <color theme="1"/>
        <rFont val="Calibri"/>
        <family val="2"/>
      </rPr>
      <t>LP</t>
    </r>
    <r>
      <rPr>
        <sz val="22"/>
        <color theme="1"/>
        <rFont val="Calibri"/>
        <family val="2"/>
      </rPr>
      <t>: At least 1 well-addressed out of questions 1, 2, 3</t>
    </r>
  </si>
  <si>
    <r>
      <rPr>
        <b/>
        <sz val="22"/>
        <color theme="1"/>
        <rFont val="Calibri (Body)"/>
      </rPr>
      <t>P</t>
    </r>
    <r>
      <rPr>
        <sz val="22"/>
        <color theme="1"/>
        <rFont val="Calibri (Body)"/>
      </rPr>
      <t>: At least 2 well-addressed out of questions 1, 2, 3</t>
    </r>
  </si>
  <si>
    <t>https://otexts.com/fpp2/holt-winters.html</t>
  </si>
  <si>
    <t>(3 pts): Watch the following fourteen minute video. (This is best watched in HD 1080 pixel resolution achievable through the settings button on youtube -- and feel free to use other video/internet resources as well.)</t>
  </si>
  <si>
    <t>https://www.youtube.com/watch?v=3gcLRU24-w0</t>
  </si>
  <si>
    <r>
      <rPr>
        <b/>
        <sz val="22"/>
        <color theme="1"/>
        <rFont val="Calibri (Body)"/>
      </rPr>
      <t>HP</t>
    </r>
    <r>
      <rPr>
        <sz val="22"/>
        <color theme="1"/>
        <rFont val="Calibri (Body)"/>
      </rPr>
      <t>: All 4 questions well-addressed -- Must do question 4</t>
    </r>
  </si>
  <si>
    <t>Sim Week</t>
  </si>
  <si>
    <t>PG Wkly Adj Close</t>
  </si>
  <si>
    <r>
      <rPr>
        <b/>
        <sz val="22"/>
        <color theme="1"/>
        <rFont val="Calibri"/>
        <family val="2"/>
      </rPr>
      <t>NP</t>
    </r>
    <r>
      <rPr>
        <sz val="22"/>
        <color theme="1"/>
        <rFont val="Calibri"/>
        <family val="2"/>
      </rPr>
      <t>: No questions adequately addressed</t>
    </r>
  </si>
  <si>
    <r>
      <rPr>
        <b/>
        <i/>
        <u/>
        <sz val="22"/>
        <color theme="1"/>
        <rFont val="Calibri"/>
        <family val="2"/>
      </rPr>
      <t>NOTE:</t>
    </r>
    <r>
      <rPr>
        <i/>
        <u/>
        <sz val="22"/>
        <color theme="1"/>
        <rFont val="Calibri"/>
        <family val="2"/>
      </rPr>
      <t xml:space="preserve"> </t>
    </r>
    <r>
      <rPr>
        <b/>
        <u/>
        <sz val="22"/>
        <color theme="1"/>
        <rFont val="Calibri"/>
        <family val="2"/>
      </rPr>
      <t>Rescale</t>
    </r>
    <r>
      <rPr>
        <i/>
        <u/>
        <sz val="22"/>
        <color theme="1"/>
        <rFont val="Calibri"/>
        <family val="2"/>
      </rPr>
      <t xml:space="preserve"> this page if you intend to print it!</t>
    </r>
  </si>
  <si>
    <r>
      <t>Question 3 – Data Set: P&amp;G (</t>
    </r>
    <r>
      <rPr>
        <i/>
        <sz val="22"/>
        <color theme="1"/>
        <rFont val="Calibri"/>
        <family val="2"/>
      </rPr>
      <t>Monte Carlo Return Rate Simulation</t>
    </r>
    <r>
      <rPr>
        <b/>
        <sz val="22"/>
        <color theme="1"/>
        <rFont val="Calibri"/>
        <family val="2"/>
      </rPr>
      <t>)</t>
    </r>
  </si>
  <si>
    <t>PDR</t>
  </si>
  <si>
    <r>
      <t xml:space="preserve">Question 4 </t>
    </r>
    <r>
      <rPr>
        <b/>
        <sz val="22"/>
        <color rgb="FFC00000"/>
        <rFont val="Calibri"/>
        <family val="2"/>
      </rPr>
      <t>[OPTIONAL]</t>
    </r>
    <r>
      <rPr>
        <b/>
        <sz val="22"/>
        <color theme="1"/>
        <rFont val="Calibri"/>
        <family val="2"/>
      </rPr>
      <t xml:space="preserve"> – Data Set: Debit Card (</t>
    </r>
    <r>
      <rPr>
        <i/>
        <sz val="22"/>
        <color theme="1"/>
        <rFont val="Calibri"/>
        <family val="2"/>
      </rPr>
      <t>time series forecasting -</t>
    </r>
    <r>
      <rPr>
        <b/>
        <sz val="22"/>
        <color rgb="FFC00000"/>
        <rFont val="Calibri"/>
        <family val="2"/>
      </rPr>
      <t xml:space="preserve"> HIGH PASS QUALIFIER</t>
    </r>
    <r>
      <rPr>
        <b/>
        <sz val="22"/>
        <color theme="1"/>
        <rFont val="Calibri"/>
        <family val="2"/>
      </rPr>
      <t>)</t>
    </r>
  </si>
  <si>
    <t>NOTE: Only attempt question 4 after first having addressed the first three questions well.</t>
  </si>
  <si>
    <t>Sim Run</t>
  </si>
  <si>
    <t>Using the spreadsheet tab containing five years of P&amp;G (PG) weekly closing prices. Create a monte carlo simulation mirroring the video’s technique to model PG weekly closing prices for 6 months out (24 weeks). Note that the video technique is NOT complete - you need to complete it as we've done in class. How is the simulation of the periodic weekly (daily) rate approach different from the ones we did in class? Is it an improvement? Based on what you've modeled, would you have bought this stock for a 1-month holding period at the last price of the series? How about for 1 quarter (3 months)? How about for 2 quarters? Should you use all five years of data? If not, what time period makes most sense? (Limit the monte carlo to 1000 runs.)</t>
  </si>
  <si>
    <t>A) Apply the Holt-Winters approach described in the video to the “Debit Card Use” data for a small European nation. Provide a 12 month forecast  (go to 12/2021). B) How does this forecasting technique compare to regression and monte carlo approaches?</t>
  </si>
  <si>
    <t>NOTE: You can save RAM issues by going to Excel preferences -&gt; Calculation -&gt; Calculation Options -&gt; Manual.</t>
  </si>
  <si>
    <r>
      <t xml:space="preserve">This examination is open book, notes, internet, whatever information source you’d like to use. </t>
    </r>
    <r>
      <rPr>
        <b/>
        <sz val="22"/>
        <color rgb="FFFF0000"/>
        <rFont val="Calibri"/>
        <family val="2"/>
      </rPr>
      <t>Just don’t talk about or discuss the exam with each other (or former students):</t>
    </r>
    <r>
      <rPr>
        <sz val="22"/>
        <color theme="1"/>
        <rFont val="Calibri"/>
        <family val="2"/>
      </rPr>
      <t xml:space="preserve"> all exams are to be </t>
    </r>
    <r>
      <rPr>
        <b/>
        <u/>
        <sz val="22"/>
        <color rgb="FFFF0000"/>
        <rFont val="Calibri"/>
        <family val="2"/>
      </rPr>
      <t>completed individually</t>
    </r>
    <r>
      <rPr>
        <sz val="22"/>
        <color theme="1"/>
        <rFont val="Calibri"/>
        <family val="2"/>
      </rPr>
      <t xml:space="preserve">. Please keep your answers to the tabs below. DO NOT ADD NEW TABS - they will be ignored. Please email to </t>
    </r>
    <r>
      <rPr>
        <b/>
        <sz val="22"/>
        <color rgb="FF0070C0"/>
        <rFont val="Calibri"/>
        <family val="2"/>
      </rPr>
      <t>schun@wustl.edu</t>
    </r>
    <r>
      <rPr>
        <sz val="22"/>
        <color theme="1"/>
        <rFont val="Calibri"/>
        <family val="2"/>
      </rPr>
      <t xml:space="preserve"> </t>
    </r>
    <r>
      <rPr>
        <b/>
        <u/>
        <sz val="22"/>
        <color rgb="FFFF0000"/>
        <rFont val="Calibri"/>
        <family val="2"/>
      </rPr>
      <t>ONE Microsoft EXCEL FILE</t>
    </r>
    <r>
      <rPr>
        <sz val="22"/>
        <color theme="1"/>
        <rFont val="Calibri"/>
        <family val="2"/>
      </rPr>
      <t xml:space="preserve">. </t>
    </r>
    <r>
      <rPr>
        <b/>
        <sz val="22"/>
        <color theme="1"/>
        <rFont val="Calibri"/>
        <family val="2"/>
      </rPr>
      <t>NAME THE FILE WITH YOUR NAME, LAST NAME FIRST</t>
    </r>
    <r>
      <rPr>
        <sz val="22"/>
        <color theme="1"/>
        <rFont val="Calibri"/>
        <family val="2"/>
      </rPr>
      <t xml:space="preserve">. </t>
    </r>
  </si>
  <si>
    <r>
      <t>Due:</t>
    </r>
    <r>
      <rPr>
        <sz val="24"/>
        <color rgb="FF000000"/>
        <rFont val="Calibri"/>
        <family val="2"/>
      </rPr>
      <t xml:space="preserve"> Sunday, December 15, 2024</t>
    </r>
  </si>
  <si>
    <r>
      <t xml:space="preserve">Business Analytics and Decisions: </t>
    </r>
    <r>
      <rPr>
        <sz val="36"/>
        <color theme="1"/>
        <rFont val="Calibri"/>
        <family val="2"/>
      </rPr>
      <t>Final Examination</t>
    </r>
    <r>
      <rPr>
        <b/>
        <sz val="36"/>
        <color theme="1"/>
        <rFont val="Calibri"/>
        <family val="2"/>
      </rPr>
      <t xml:space="preserve"> </t>
    </r>
    <r>
      <rPr>
        <sz val="36"/>
        <color theme="1"/>
        <rFont val="Calibri"/>
        <family val="2"/>
      </rPr>
      <t>(B-Individual)</t>
    </r>
  </si>
  <si>
    <t>Rough Grading Criteria for FULL EXAM (A + B)</t>
  </si>
  <si>
    <t xml:space="preserve"> Periodic Daily Return</t>
  </si>
  <si>
    <t>Average</t>
  </si>
  <si>
    <t>Variance</t>
  </si>
  <si>
    <t>Std Dev</t>
  </si>
  <si>
    <t>Drift</t>
  </si>
  <si>
    <t>StDev</t>
  </si>
  <si>
    <t>Probs</t>
  </si>
  <si>
    <t>&lt;-C288 = 24 wks</t>
  </si>
  <si>
    <t>C291 sets number of weeks simulated</t>
  </si>
  <si>
    <t>Results from one 24 wk run</t>
  </si>
  <si>
    <t>Results from one 4 wk run</t>
  </si>
  <si>
    <t>Results from one 12 wk run</t>
  </si>
  <si>
    <t xml:space="preserve">Discussion Questions: The simulation done here uses Geometric Brownian Motion as used in the youtube video shared.  GBM is an improvement upon what we used in class because it prevents the stock price from ever going negitive using the logritmic equation in its simulation.  This would prove particularly helpful in a more volitile, lower priced stock.  It does not however, solve a bigger problem in both simulations that assume a normal distribution in stock behavior.  Since stock price is heavily influenced by news in some cases the distribution would very quickly get away from a normal distribution for a great deal of single stocks.  For a fairly stable stock GBM is a reasonable method of simulating stock price over time but using it for many single stocks would prove problematic.  It also takes into account the stocks general drift and relies less on complete randomness.  This principle lends itself well to simulating future stock performance.  
- Would you buy a 24 wk holding period - yes, in general PnG's stock yields a positive return over a 24 week period.  It is a fairly stable low risk stock with good return.
- Would you buy a 12 wk holding period - Yes, for the same reasons as above.
- Would you buy a 4 wk holding period - No, PnG's stock does have some short term volatility.  Over a 4 wk period there is opportunity to lose money and no great opportunity to make money back.  I would choose a different option for this short a hold.
Should you use all 5 years of data - In the case of P and G i think its ok to use all five years of data.  To make this assessment I considered world events and news and how it impacted PnG.  I see no drastic changes that would unfairly skew their stock price for the better or worse.  PnG's stock was greatly uneffected by the Covid pandemic.  Since world events didn't create a skew in the data, I think more data is good data in this case.  All five years can be used in the simulation.  </t>
  </si>
  <si>
    <t>Level</t>
  </si>
  <si>
    <t>Trend</t>
  </si>
  <si>
    <t>Seasonal</t>
  </si>
  <si>
    <t>Forecast</t>
  </si>
  <si>
    <t>S-ind_Avg</t>
  </si>
  <si>
    <t>alpha</t>
  </si>
  <si>
    <t>beta</t>
  </si>
  <si>
    <t>gamma</t>
  </si>
  <si>
    <t>U-stat</t>
  </si>
  <si>
    <t>Error</t>
  </si>
  <si>
    <t>Error squared</t>
  </si>
  <si>
    <t>Mean Error</t>
  </si>
  <si>
    <t>Mean Absolute Error</t>
  </si>
  <si>
    <t>Mean Squared Error</t>
  </si>
  <si>
    <t>Mean Average Percentage Error</t>
  </si>
  <si>
    <t>Absolute percent error</t>
  </si>
  <si>
    <t>U-Stat</t>
  </si>
  <si>
    <t>Exponential Smoothing</t>
  </si>
  <si>
    <t>Absolute Error</t>
  </si>
  <si>
    <t>I chose to use a period of 24 months by a look at the plot of debits.  To me it seemed the period of repition fit better to two years than one.</t>
  </si>
  <si>
    <t xml:space="preserve">Since Dt is needed to calculated Level, Trend, and Seasonal.  I used the past months Forecast to be the current month debit for these calculations. </t>
  </si>
  <si>
    <t>Forecasted Year</t>
  </si>
  <si>
    <t>Discussion Question: This technique adds an coefficient to three terms used to predict potential outcomes.  Those three terms are Level, Trend, and Seasonality.  Put simply those are how much of an impact to the regression analysis is the y intercept (level), the slope of the regression trend line (trend), and Seasonality which is a measure of repeating patterns of seasonality to the plot of historical data.  Using the solver we are able to test different weight assignments to these three factors through the coefficents alpha, beta, and gamma to minimize error and create a trend line that matches the historical data very well.  This type of trend line works very well I imagine in many financial analysis since there is seasonality to the way cash flows in many businesses.  This analysis is also an improvement upon a monte carlo since it utelizes more of the data in its forecasting and relies less on a random normal distribution.   This analysis does a better job of predicting a likely scenario but Monte Carlo analysis still has the major benefit of laying out the best and worst a forecast is likely to go.  Both analysis are valuable in their own right but the simplicity and large scope of information gained from a Monte Carlo analysis makes it the more common tool in my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</si>
</sst>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0">
    <font>
      <sz val="12"/>
      <color theme="1"/>
      <name val="Calibri"/>
      <family val="2"/>
      <scheme val="minor"/>
    </font>
    <font>
      <u/>
      <sz val="12"/>
      <color theme="10"/>
      <name val="Calibri"/>
      <family val="2"/>
      <scheme val="minor"/>
    </font>
    <font>
      <u/>
      <sz val="12"/>
      <color theme="11"/>
      <name val="Calibri"/>
      <family val="2"/>
      <scheme val="minor"/>
    </font>
    <font>
      <sz val="10"/>
      <color indexed="8"/>
      <name val="Arial"/>
      <family val="2"/>
    </font>
    <font>
      <sz val="10"/>
      <color theme="1"/>
      <name val="Calibri"/>
      <family val="2"/>
    </font>
    <font>
      <b/>
      <sz val="22"/>
      <color theme="1"/>
      <name val="Calibri"/>
      <family val="2"/>
    </font>
    <font>
      <sz val="22"/>
      <color theme="1"/>
      <name val="Calibri"/>
      <family val="2"/>
    </font>
    <font>
      <b/>
      <u/>
      <sz val="22"/>
      <color theme="1"/>
      <name val="Calibri"/>
      <family val="2"/>
    </font>
    <font>
      <b/>
      <u/>
      <sz val="22"/>
      <color rgb="FFFF0000"/>
      <name val="Calibri"/>
      <family val="2"/>
    </font>
    <font>
      <i/>
      <sz val="22"/>
      <color theme="1"/>
      <name val="Calibri"/>
      <family val="2"/>
    </font>
    <font>
      <sz val="8"/>
      <name val="Calibri"/>
      <family val="2"/>
      <scheme val="minor"/>
    </font>
    <font>
      <b/>
      <sz val="36"/>
      <color theme="1"/>
      <name val="Calibri"/>
      <family val="2"/>
    </font>
    <font>
      <sz val="36"/>
      <color theme="1"/>
      <name val="Calibri"/>
      <family val="2"/>
    </font>
    <font>
      <sz val="24"/>
      <color theme="1"/>
      <name val="Calibri"/>
      <family val="2"/>
    </font>
    <font>
      <sz val="24"/>
      <color rgb="FF000000"/>
      <name val="Calibri"/>
      <family val="2"/>
    </font>
    <font>
      <b/>
      <sz val="12"/>
      <color theme="1"/>
      <name val="Calibri"/>
      <family val="2"/>
      <scheme val="minor"/>
    </font>
    <font>
      <u/>
      <sz val="22"/>
      <color theme="10"/>
      <name val="Calibri"/>
      <family val="2"/>
      <scheme val="minor"/>
    </font>
    <font>
      <sz val="22"/>
      <color theme="1"/>
      <name val="Calibri (Body)"/>
    </font>
    <font>
      <b/>
      <sz val="22"/>
      <color theme="1"/>
      <name val="Calibri (Body)"/>
    </font>
    <font>
      <b/>
      <sz val="16"/>
      <color rgb="FFFF0000"/>
      <name val="Calibri"/>
      <family val="2"/>
      <scheme val="minor"/>
    </font>
    <font>
      <u/>
      <sz val="24"/>
      <color theme="10"/>
      <name val="Calibri"/>
      <family val="2"/>
      <scheme val="minor"/>
    </font>
    <font>
      <sz val="11"/>
      <color theme="1"/>
      <name val="Calibri"/>
      <family val="2"/>
      <scheme val="minor"/>
    </font>
    <font>
      <sz val="10"/>
      <name val="Arial"/>
      <family val="2"/>
    </font>
    <font>
      <sz val="22"/>
      <color theme="1"/>
      <name val="Calibri"/>
      <family val="2"/>
      <scheme val="minor"/>
    </font>
    <font>
      <b/>
      <sz val="22"/>
      <color rgb="FFC00000"/>
      <name val="Calibri"/>
      <family val="2"/>
    </font>
    <font>
      <b/>
      <sz val="22"/>
      <color rgb="FF0070C0"/>
      <name val="Calibri"/>
      <family val="2"/>
    </font>
    <font>
      <b/>
      <sz val="22"/>
      <color rgb="FFFF0000"/>
      <name val="Calibri"/>
      <family val="2"/>
    </font>
    <font>
      <i/>
      <u/>
      <sz val="22"/>
      <color theme="1"/>
      <name val="Calibri"/>
      <family val="2"/>
    </font>
    <font>
      <b/>
      <i/>
      <u/>
      <sz val="22"/>
      <color theme="1"/>
      <name val="Calibri"/>
      <family val="2"/>
    </font>
    <font>
      <b/>
      <sz val="16"/>
      <color rgb="FFC00000"/>
      <name val="Calibri"/>
      <family val="2"/>
      <scheme val="minor"/>
    </font>
  </fonts>
  <fills count="3">
    <fill>
      <patternFill patternType="none"/>
    </fill>
    <fill>
      <patternFill patternType="gray125"/>
    </fill>
    <fill>
      <patternFill patternType="solid">
        <fgColor rgb="FFFFFF0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3"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1" fillId="0" borderId="0"/>
    <xf numFmtId="0" fontId="22" fillId="0" borderId="0"/>
    <xf numFmtId="44" fontId="22" fillId="0" borderId="0" applyFont="0" applyFill="0" applyBorder="0" applyAlignment="0" applyProtection="0"/>
    <xf numFmtId="9" fontId="22" fillId="0" borderId="0" applyFont="0" applyFill="0" applyBorder="0" applyAlignment="0" applyProtection="0"/>
  </cellStyleXfs>
  <cellXfs count="43">
    <xf numFmtId="0" fontId="0" fillId="0" borderId="0" xfId="0"/>
    <xf numFmtId="0" fontId="0" fillId="0" borderId="0" xfId="0" applyAlignment="1">
      <alignment horizontal="left"/>
    </xf>
    <xf numFmtId="0" fontId="4" fillId="0" borderId="0" xfId="0" applyFont="1" applyAlignment="1">
      <alignment horizontal="left" vertical="center"/>
    </xf>
    <xf numFmtId="0" fontId="5" fillId="0" borderId="0" xfId="0" applyFont="1" applyAlignment="1">
      <alignment horizontal="left" vertical="center" wrapText="1"/>
    </xf>
    <xf numFmtId="0" fontId="6" fillId="0" borderId="0" xfId="0" applyFont="1" applyAlignment="1">
      <alignment horizontal="left" vertical="center" wrapText="1"/>
    </xf>
    <xf numFmtId="0" fontId="6" fillId="0" borderId="0" xfId="0" applyFont="1" applyAlignment="1">
      <alignment horizontal="left" wrapText="1"/>
    </xf>
    <xf numFmtId="0" fontId="11" fillId="0" borderId="0" xfId="0" applyFont="1" applyAlignment="1">
      <alignment horizontal="center" vertical="center" wrapText="1"/>
    </xf>
    <xf numFmtId="0" fontId="13" fillId="0" borderId="0" xfId="0" applyFont="1" applyAlignment="1">
      <alignment horizontal="center" vertical="center" wrapText="1"/>
    </xf>
    <xf numFmtId="0" fontId="13" fillId="0" borderId="0" xfId="0" applyFont="1" applyAlignment="1">
      <alignment horizontal="left"/>
    </xf>
    <xf numFmtId="0" fontId="15" fillId="0" borderId="0" xfId="0" applyFont="1"/>
    <xf numFmtId="0" fontId="16" fillId="0" borderId="0" xfId="26" applyFont="1" applyAlignment="1">
      <alignment vertical="center"/>
    </xf>
    <xf numFmtId="0" fontId="6" fillId="0" borderId="0" xfId="0" applyFont="1" applyAlignment="1">
      <alignment vertical="center" wrapText="1"/>
    </xf>
    <xf numFmtId="0" fontId="17" fillId="0" borderId="0" xfId="26" applyFont="1" applyAlignment="1">
      <alignment vertical="center"/>
    </xf>
    <xf numFmtId="0" fontId="19" fillId="0" borderId="0" xfId="0" applyFont="1"/>
    <xf numFmtId="0" fontId="5" fillId="0" borderId="0" xfId="0" applyFont="1" applyAlignment="1">
      <alignment horizontal="left" wrapText="1"/>
    </xf>
    <xf numFmtId="0" fontId="20" fillId="0" borderId="0" xfId="26" applyFont="1" applyAlignment="1">
      <alignment horizontal="left" vertical="center" wrapText="1"/>
    </xf>
    <xf numFmtId="0" fontId="17" fillId="0" borderId="0" xfId="0" applyFont="1" applyAlignment="1">
      <alignment horizontal="left" wrapText="1"/>
    </xf>
    <xf numFmtId="0" fontId="16" fillId="0" borderId="0" xfId="26" applyFont="1"/>
    <xf numFmtId="14" fontId="0" fillId="0" borderId="0" xfId="0" applyNumberFormat="1"/>
    <xf numFmtId="0" fontId="23" fillId="0" borderId="0" xfId="0" applyFont="1" applyAlignment="1">
      <alignment horizontal="left" wrapText="1"/>
    </xf>
    <xf numFmtId="0" fontId="27" fillId="0" borderId="0" xfId="0" applyFont="1" applyAlignment="1">
      <alignment horizontal="center" vertical="center" wrapText="1"/>
    </xf>
    <xf numFmtId="0" fontId="29" fillId="0" borderId="0" xfId="0" applyFont="1" applyAlignment="1">
      <alignment horizontal="left"/>
    </xf>
    <xf numFmtId="0" fontId="16" fillId="0" borderId="0" xfId="26" applyFont="1" applyAlignment="1">
      <alignment horizontal="left" vertical="center" wrapText="1"/>
    </xf>
    <xf numFmtId="0" fontId="0" fillId="0" borderId="0" xfId="0" applyAlignment="1">
      <alignment horizontal="center" wrapText="1"/>
    </xf>
    <xf numFmtId="9" fontId="0" fillId="0" borderId="0" xfId="0" applyNumberFormat="1"/>
    <xf numFmtId="10" fontId="0" fillId="0" borderId="0" xfId="0" applyNumberFormat="1"/>
    <xf numFmtId="0" fontId="15" fillId="0" borderId="0" xfId="0" applyFont="1" applyAlignment="1">
      <alignment wrapText="1"/>
    </xf>
    <xf numFmtId="0" fontId="15" fillId="0" borderId="0" xfId="0" applyFont="1" applyAlignment="1">
      <alignment horizontal="center" wrapText="1"/>
    </xf>
    <xf numFmtId="0" fontId="0" fillId="0" borderId="0" xfId="0" applyNumberFormat="1"/>
    <xf numFmtId="0" fontId="0" fillId="2" borderId="0" xfId="0" applyFill="1"/>
    <xf numFmtId="0" fontId="0" fillId="0" borderId="1" xfId="0" applyBorder="1"/>
    <xf numFmtId="0" fontId="0" fillId="0" borderId="2" xfId="0" applyBorder="1"/>
    <xf numFmtId="0" fontId="0" fillId="2" borderId="3" xfId="0" applyFill="1" applyBorder="1"/>
    <xf numFmtId="0" fontId="0" fillId="0" borderId="4" xfId="0" applyBorder="1"/>
    <xf numFmtId="0" fontId="0" fillId="0" borderId="0" xfId="0" applyBorder="1"/>
    <xf numFmtId="0" fontId="0" fillId="2" borderId="5" xfId="0" applyFill="1" applyBorder="1"/>
    <xf numFmtId="0" fontId="0" fillId="0" borderId="6" xfId="0" applyBorder="1"/>
    <xf numFmtId="0" fontId="0" fillId="0" borderId="7" xfId="0" applyBorder="1"/>
    <xf numFmtId="0" fontId="0" fillId="2" borderId="8" xfId="0" applyFill="1" applyBorder="1"/>
    <xf numFmtId="0" fontId="0" fillId="0" borderId="0" xfId="0" applyAlignment="1">
      <alignment horizontal="center"/>
    </xf>
    <xf numFmtId="0" fontId="0" fillId="2" borderId="0" xfId="0" applyFill="1" applyAlignment="1">
      <alignment horizontal="left" vertical="top" wrapText="1"/>
    </xf>
    <xf numFmtId="0" fontId="0" fillId="2" borderId="0" xfId="0" applyFill="1" applyAlignment="1">
      <alignment horizontal="center" wrapText="1"/>
    </xf>
    <xf numFmtId="0" fontId="0" fillId="2" borderId="4" xfId="0" applyFill="1" applyBorder="1" applyAlignment="1">
      <alignment horizontal="center" wrapText="1"/>
    </xf>
  </cellXfs>
  <cellStyles count="36">
    <cellStyle name="Currency 2" xfId="34" xr:uid="{EDFAD458-1F92-7045-82BF-129F20A27561}"/>
    <cellStyle name="Followed Hyperlink" xfId="2" builtinId="9" hidden="1"/>
    <cellStyle name="Followed Hyperlink" xfId="4" builtinId="9" hidden="1"/>
    <cellStyle name="Followed Hyperlink" xfId="6"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Hyperlink" xfId="1" builtinId="8" hidden="1"/>
    <cellStyle name="Hyperlink" xfId="3" builtinId="8" hidden="1"/>
    <cellStyle name="Hyperlink" xfId="5"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cellStyle name="Normal" xfId="0" builtinId="0"/>
    <cellStyle name="Normal 2" xfId="7" xr:uid="{00000000-0005-0000-0000-00001F000000}"/>
    <cellStyle name="Normal 2 2" xfId="33" xr:uid="{BC1BD9A8-4B22-9940-B654-6D805FE041EE}"/>
    <cellStyle name="Normal 3" xfId="32" xr:uid="{260B433C-BF08-CC48-8D16-6D80DCB876B6}"/>
    <cellStyle name="Percent 2" xfId="35" xr:uid="{306F2AD3-E997-B14A-8D8B-DAC0EB1036E3}"/>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Stock Price Given</a:t>
            </a:r>
            <a:r>
              <a:rPr lang="en-US" baseline="0"/>
              <a: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5358705161854769E-2"/>
          <c:y val="3.2824074074074089E-2"/>
          <c:w val="0.89019685039370078"/>
          <c:h val="0.72088764946048411"/>
        </c:manualLayout>
      </c:layout>
      <c:lineChart>
        <c:grouping val="standard"/>
        <c:varyColors val="0"/>
        <c:ser>
          <c:idx val="0"/>
          <c:order val="0"/>
          <c:spPr>
            <a:ln w="28575" cap="rnd">
              <a:solidFill>
                <a:schemeClr val="accent1"/>
              </a:solidFill>
              <a:round/>
            </a:ln>
            <a:effectLst/>
          </c:spPr>
          <c:marker>
            <c:symbol val="none"/>
          </c:marker>
          <c:cat>
            <c:numRef>
              <c:f>'Qn3 PG'!$B$3:$B$263</c:f>
              <c:numCache>
                <c:formatCode>m/d/yyyy</c:formatCode>
                <c:ptCount val="261"/>
                <c:pt idx="0">
                  <c:v>43409</c:v>
                </c:pt>
                <c:pt idx="1">
                  <c:v>43416</c:v>
                </c:pt>
                <c:pt idx="2">
                  <c:v>43423</c:v>
                </c:pt>
                <c:pt idx="3">
                  <c:v>43430</c:v>
                </c:pt>
                <c:pt idx="4">
                  <c:v>43437</c:v>
                </c:pt>
                <c:pt idx="5">
                  <c:v>43444</c:v>
                </c:pt>
                <c:pt idx="6">
                  <c:v>43451</c:v>
                </c:pt>
                <c:pt idx="7">
                  <c:v>43458</c:v>
                </c:pt>
                <c:pt idx="8">
                  <c:v>43465</c:v>
                </c:pt>
                <c:pt idx="9">
                  <c:v>43472</c:v>
                </c:pt>
                <c:pt idx="10">
                  <c:v>43479</c:v>
                </c:pt>
                <c:pt idx="11">
                  <c:v>43486</c:v>
                </c:pt>
                <c:pt idx="12">
                  <c:v>43493</c:v>
                </c:pt>
                <c:pt idx="13">
                  <c:v>43500</c:v>
                </c:pt>
                <c:pt idx="14">
                  <c:v>43507</c:v>
                </c:pt>
                <c:pt idx="15">
                  <c:v>43514</c:v>
                </c:pt>
                <c:pt idx="16">
                  <c:v>43521</c:v>
                </c:pt>
                <c:pt idx="17">
                  <c:v>43528</c:v>
                </c:pt>
                <c:pt idx="18">
                  <c:v>43535</c:v>
                </c:pt>
                <c:pt idx="19">
                  <c:v>43542</c:v>
                </c:pt>
                <c:pt idx="20">
                  <c:v>43549</c:v>
                </c:pt>
                <c:pt idx="21">
                  <c:v>43556</c:v>
                </c:pt>
                <c:pt idx="22">
                  <c:v>43563</c:v>
                </c:pt>
                <c:pt idx="23">
                  <c:v>43570</c:v>
                </c:pt>
                <c:pt idx="24">
                  <c:v>43577</c:v>
                </c:pt>
                <c:pt idx="25">
                  <c:v>43584</c:v>
                </c:pt>
                <c:pt idx="26">
                  <c:v>43591</c:v>
                </c:pt>
                <c:pt idx="27">
                  <c:v>43598</c:v>
                </c:pt>
                <c:pt idx="28">
                  <c:v>43605</c:v>
                </c:pt>
                <c:pt idx="29">
                  <c:v>43612</c:v>
                </c:pt>
                <c:pt idx="30">
                  <c:v>43619</c:v>
                </c:pt>
                <c:pt idx="31">
                  <c:v>43626</c:v>
                </c:pt>
                <c:pt idx="32">
                  <c:v>43633</c:v>
                </c:pt>
                <c:pt idx="33">
                  <c:v>43640</c:v>
                </c:pt>
                <c:pt idx="34">
                  <c:v>43647</c:v>
                </c:pt>
                <c:pt idx="35">
                  <c:v>43654</c:v>
                </c:pt>
                <c:pt idx="36">
                  <c:v>43661</c:v>
                </c:pt>
                <c:pt idx="37">
                  <c:v>43668</c:v>
                </c:pt>
                <c:pt idx="38">
                  <c:v>43675</c:v>
                </c:pt>
                <c:pt idx="39">
                  <c:v>43682</c:v>
                </c:pt>
                <c:pt idx="40">
                  <c:v>43689</c:v>
                </c:pt>
                <c:pt idx="41">
                  <c:v>43696</c:v>
                </c:pt>
                <c:pt idx="42">
                  <c:v>43703</c:v>
                </c:pt>
                <c:pt idx="43">
                  <c:v>43710</c:v>
                </c:pt>
                <c:pt idx="44">
                  <c:v>43717</c:v>
                </c:pt>
                <c:pt idx="45">
                  <c:v>43724</c:v>
                </c:pt>
                <c:pt idx="46">
                  <c:v>43731</c:v>
                </c:pt>
                <c:pt idx="47">
                  <c:v>43738</c:v>
                </c:pt>
                <c:pt idx="48">
                  <c:v>43745</c:v>
                </c:pt>
                <c:pt idx="49">
                  <c:v>43752</c:v>
                </c:pt>
                <c:pt idx="50">
                  <c:v>43759</c:v>
                </c:pt>
                <c:pt idx="51">
                  <c:v>43766</c:v>
                </c:pt>
                <c:pt idx="52">
                  <c:v>43773</c:v>
                </c:pt>
                <c:pt idx="53">
                  <c:v>43780</c:v>
                </c:pt>
                <c:pt idx="54">
                  <c:v>43787</c:v>
                </c:pt>
                <c:pt idx="55">
                  <c:v>43794</c:v>
                </c:pt>
                <c:pt idx="56">
                  <c:v>43801</c:v>
                </c:pt>
                <c:pt idx="57">
                  <c:v>43808</c:v>
                </c:pt>
                <c:pt idx="58">
                  <c:v>43815</c:v>
                </c:pt>
                <c:pt idx="59">
                  <c:v>43822</c:v>
                </c:pt>
                <c:pt idx="60">
                  <c:v>43829</c:v>
                </c:pt>
                <c:pt idx="61">
                  <c:v>43836</c:v>
                </c:pt>
                <c:pt idx="62">
                  <c:v>43843</c:v>
                </c:pt>
                <c:pt idx="63">
                  <c:v>43850</c:v>
                </c:pt>
                <c:pt idx="64">
                  <c:v>43857</c:v>
                </c:pt>
                <c:pt idx="65">
                  <c:v>43864</c:v>
                </c:pt>
                <c:pt idx="66">
                  <c:v>43871</c:v>
                </c:pt>
                <c:pt idx="67">
                  <c:v>43878</c:v>
                </c:pt>
                <c:pt idx="68">
                  <c:v>43885</c:v>
                </c:pt>
                <c:pt idx="69">
                  <c:v>43892</c:v>
                </c:pt>
                <c:pt idx="70">
                  <c:v>43899</c:v>
                </c:pt>
                <c:pt idx="71">
                  <c:v>43906</c:v>
                </c:pt>
                <c:pt idx="72">
                  <c:v>43913</c:v>
                </c:pt>
                <c:pt idx="73">
                  <c:v>43920</c:v>
                </c:pt>
                <c:pt idx="74">
                  <c:v>43927</c:v>
                </c:pt>
                <c:pt idx="75">
                  <c:v>43934</c:v>
                </c:pt>
                <c:pt idx="76">
                  <c:v>43941</c:v>
                </c:pt>
                <c:pt idx="77">
                  <c:v>43948</c:v>
                </c:pt>
                <c:pt idx="78">
                  <c:v>43955</c:v>
                </c:pt>
                <c:pt idx="79">
                  <c:v>43962</c:v>
                </c:pt>
                <c:pt idx="80">
                  <c:v>43969</c:v>
                </c:pt>
                <c:pt idx="81">
                  <c:v>43976</c:v>
                </c:pt>
                <c:pt idx="82">
                  <c:v>43983</c:v>
                </c:pt>
                <c:pt idx="83">
                  <c:v>43990</c:v>
                </c:pt>
                <c:pt idx="84">
                  <c:v>43997</c:v>
                </c:pt>
                <c:pt idx="85">
                  <c:v>44004</c:v>
                </c:pt>
                <c:pt idx="86">
                  <c:v>44011</c:v>
                </c:pt>
                <c:pt idx="87">
                  <c:v>44018</c:v>
                </c:pt>
                <c:pt idx="88">
                  <c:v>44025</c:v>
                </c:pt>
                <c:pt idx="89">
                  <c:v>44032</c:v>
                </c:pt>
                <c:pt idx="90">
                  <c:v>44039</c:v>
                </c:pt>
                <c:pt idx="91">
                  <c:v>44046</c:v>
                </c:pt>
                <c:pt idx="92">
                  <c:v>44053</c:v>
                </c:pt>
                <c:pt idx="93">
                  <c:v>44060</c:v>
                </c:pt>
                <c:pt idx="94">
                  <c:v>44067</c:v>
                </c:pt>
                <c:pt idx="95">
                  <c:v>44074</c:v>
                </c:pt>
                <c:pt idx="96">
                  <c:v>44081</c:v>
                </c:pt>
                <c:pt idx="97">
                  <c:v>44088</c:v>
                </c:pt>
                <c:pt idx="98">
                  <c:v>44095</c:v>
                </c:pt>
                <c:pt idx="99">
                  <c:v>44102</c:v>
                </c:pt>
                <c:pt idx="100">
                  <c:v>44109</c:v>
                </c:pt>
                <c:pt idx="101">
                  <c:v>44116</c:v>
                </c:pt>
                <c:pt idx="102">
                  <c:v>44123</c:v>
                </c:pt>
                <c:pt idx="103">
                  <c:v>44130</c:v>
                </c:pt>
                <c:pt idx="104">
                  <c:v>44137</c:v>
                </c:pt>
                <c:pt idx="105">
                  <c:v>44144</c:v>
                </c:pt>
                <c:pt idx="106">
                  <c:v>44151</c:v>
                </c:pt>
                <c:pt idx="107">
                  <c:v>44158</c:v>
                </c:pt>
                <c:pt idx="108">
                  <c:v>44165</c:v>
                </c:pt>
                <c:pt idx="109">
                  <c:v>44172</c:v>
                </c:pt>
                <c:pt idx="110">
                  <c:v>44179</c:v>
                </c:pt>
                <c:pt idx="111">
                  <c:v>44186</c:v>
                </c:pt>
                <c:pt idx="112">
                  <c:v>44193</c:v>
                </c:pt>
                <c:pt idx="113">
                  <c:v>44200</c:v>
                </c:pt>
                <c:pt idx="114">
                  <c:v>44207</c:v>
                </c:pt>
                <c:pt idx="115">
                  <c:v>44214</c:v>
                </c:pt>
                <c:pt idx="116">
                  <c:v>44221</c:v>
                </c:pt>
                <c:pt idx="117">
                  <c:v>44228</c:v>
                </c:pt>
                <c:pt idx="118">
                  <c:v>44235</c:v>
                </c:pt>
                <c:pt idx="119">
                  <c:v>44242</c:v>
                </c:pt>
                <c:pt idx="120">
                  <c:v>44249</c:v>
                </c:pt>
                <c:pt idx="121">
                  <c:v>44256</c:v>
                </c:pt>
                <c:pt idx="122">
                  <c:v>44263</c:v>
                </c:pt>
                <c:pt idx="123">
                  <c:v>44270</c:v>
                </c:pt>
                <c:pt idx="124">
                  <c:v>44277</c:v>
                </c:pt>
                <c:pt idx="125">
                  <c:v>44284</c:v>
                </c:pt>
                <c:pt idx="126">
                  <c:v>44291</c:v>
                </c:pt>
                <c:pt idx="127">
                  <c:v>44298</c:v>
                </c:pt>
                <c:pt idx="128">
                  <c:v>44305</c:v>
                </c:pt>
                <c:pt idx="129">
                  <c:v>44312</c:v>
                </c:pt>
                <c:pt idx="130">
                  <c:v>44319</c:v>
                </c:pt>
                <c:pt idx="131">
                  <c:v>44326</c:v>
                </c:pt>
                <c:pt idx="132">
                  <c:v>44333</c:v>
                </c:pt>
                <c:pt idx="133">
                  <c:v>44340</c:v>
                </c:pt>
                <c:pt idx="134">
                  <c:v>44347</c:v>
                </c:pt>
                <c:pt idx="135">
                  <c:v>44354</c:v>
                </c:pt>
                <c:pt idx="136">
                  <c:v>44361</c:v>
                </c:pt>
                <c:pt idx="137">
                  <c:v>44368</c:v>
                </c:pt>
                <c:pt idx="138">
                  <c:v>44375</c:v>
                </c:pt>
                <c:pt idx="139">
                  <c:v>44382</c:v>
                </c:pt>
                <c:pt idx="140">
                  <c:v>44389</c:v>
                </c:pt>
                <c:pt idx="141">
                  <c:v>44396</c:v>
                </c:pt>
                <c:pt idx="142">
                  <c:v>44403</c:v>
                </c:pt>
                <c:pt idx="143">
                  <c:v>44410</c:v>
                </c:pt>
                <c:pt idx="144">
                  <c:v>44417</c:v>
                </c:pt>
                <c:pt idx="145">
                  <c:v>44424</c:v>
                </c:pt>
                <c:pt idx="146">
                  <c:v>44431</c:v>
                </c:pt>
                <c:pt idx="147">
                  <c:v>44438</c:v>
                </c:pt>
                <c:pt idx="148">
                  <c:v>44445</c:v>
                </c:pt>
                <c:pt idx="149">
                  <c:v>44452</c:v>
                </c:pt>
                <c:pt idx="150">
                  <c:v>44459</c:v>
                </c:pt>
                <c:pt idx="151">
                  <c:v>44466</c:v>
                </c:pt>
                <c:pt idx="152">
                  <c:v>44473</c:v>
                </c:pt>
                <c:pt idx="153">
                  <c:v>44480</c:v>
                </c:pt>
                <c:pt idx="154">
                  <c:v>44487</c:v>
                </c:pt>
                <c:pt idx="155">
                  <c:v>44494</c:v>
                </c:pt>
                <c:pt idx="156">
                  <c:v>44501</c:v>
                </c:pt>
                <c:pt idx="157">
                  <c:v>44508</c:v>
                </c:pt>
                <c:pt idx="158">
                  <c:v>44515</c:v>
                </c:pt>
                <c:pt idx="159">
                  <c:v>44522</c:v>
                </c:pt>
                <c:pt idx="160">
                  <c:v>44529</c:v>
                </c:pt>
                <c:pt idx="161">
                  <c:v>44536</c:v>
                </c:pt>
                <c:pt idx="162">
                  <c:v>44543</c:v>
                </c:pt>
                <c:pt idx="163">
                  <c:v>44550</c:v>
                </c:pt>
                <c:pt idx="164">
                  <c:v>44557</c:v>
                </c:pt>
                <c:pt idx="165">
                  <c:v>44564</c:v>
                </c:pt>
                <c:pt idx="166">
                  <c:v>44571</c:v>
                </c:pt>
                <c:pt idx="167">
                  <c:v>44578</c:v>
                </c:pt>
                <c:pt idx="168">
                  <c:v>44585</c:v>
                </c:pt>
                <c:pt idx="169">
                  <c:v>44592</c:v>
                </c:pt>
                <c:pt idx="170">
                  <c:v>44599</c:v>
                </c:pt>
                <c:pt idx="171">
                  <c:v>44606</c:v>
                </c:pt>
                <c:pt idx="172">
                  <c:v>44613</c:v>
                </c:pt>
                <c:pt idx="173">
                  <c:v>44620</c:v>
                </c:pt>
                <c:pt idx="174">
                  <c:v>44627</c:v>
                </c:pt>
                <c:pt idx="175">
                  <c:v>44634</c:v>
                </c:pt>
                <c:pt idx="176">
                  <c:v>44641</c:v>
                </c:pt>
                <c:pt idx="177">
                  <c:v>44648</c:v>
                </c:pt>
                <c:pt idx="178">
                  <c:v>44655</c:v>
                </c:pt>
                <c:pt idx="179">
                  <c:v>44662</c:v>
                </c:pt>
                <c:pt idx="180">
                  <c:v>44669</c:v>
                </c:pt>
                <c:pt idx="181">
                  <c:v>44676</c:v>
                </c:pt>
                <c:pt idx="182">
                  <c:v>44683</c:v>
                </c:pt>
                <c:pt idx="183">
                  <c:v>44690</c:v>
                </c:pt>
                <c:pt idx="184">
                  <c:v>44697</c:v>
                </c:pt>
                <c:pt idx="185">
                  <c:v>44704</c:v>
                </c:pt>
                <c:pt idx="186">
                  <c:v>44711</c:v>
                </c:pt>
                <c:pt idx="187">
                  <c:v>44718</c:v>
                </c:pt>
                <c:pt idx="188">
                  <c:v>44725</c:v>
                </c:pt>
                <c:pt idx="189">
                  <c:v>44732</c:v>
                </c:pt>
                <c:pt idx="190">
                  <c:v>44739</c:v>
                </c:pt>
                <c:pt idx="191">
                  <c:v>44746</c:v>
                </c:pt>
                <c:pt idx="192">
                  <c:v>44753</c:v>
                </c:pt>
                <c:pt idx="193">
                  <c:v>44760</c:v>
                </c:pt>
                <c:pt idx="194">
                  <c:v>44767</c:v>
                </c:pt>
                <c:pt idx="195">
                  <c:v>44774</c:v>
                </c:pt>
                <c:pt idx="196">
                  <c:v>44781</c:v>
                </c:pt>
                <c:pt idx="197">
                  <c:v>44788</c:v>
                </c:pt>
                <c:pt idx="198">
                  <c:v>44795</c:v>
                </c:pt>
                <c:pt idx="199">
                  <c:v>44802</c:v>
                </c:pt>
                <c:pt idx="200">
                  <c:v>44809</c:v>
                </c:pt>
                <c:pt idx="201">
                  <c:v>44816</c:v>
                </c:pt>
                <c:pt idx="202">
                  <c:v>44823</c:v>
                </c:pt>
                <c:pt idx="203">
                  <c:v>44830</c:v>
                </c:pt>
                <c:pt idx="204">
                  <c:v>44837</c:v>
                </c:pt>
                <c:pt idx="205">
                  <c:v>44844</c:v>
                </c:pt>
                <c:pt idx="206">
                  <c:v>44851</c:v>
                </c:pt>
                <c:pt idx="207">
                  <c:v>44858</c:v>
                </c:pt>
                <c:pt idx="208">
                  <c:v>44865</c:v>
                </c:pt>
                <c:pt idx="209">
                  <c:v>44872</c:v>
                </c:pt>
                <c:pt idx="210">
                  <c:v>44879</c:v>
                </c:pt>
                <c:pt idx="211">
                  <c:v>44886</c:v>
                </c:pt>
                <c:pt idx="212">
                  <c:v>44893</c:v>
                </c:pt>
                <c:pt idx="213">
                  <c:v>44900</c:v>
                </c:pt>
                <c:pt idx="214">
                  <c:v>44907</c:v>
                </c:pt>
                <c:pt idx="215">
                  <c:v>44914</c:v>
                </c:pt>
                <c:pt idx="216">
                  <c:v>44921</c:v>
                </c:pt>
                <c:pt idx="217">
                  <c:v>44928</c:v>
                </c:pt>
                <c:pt idx="218">
                  <c:v>44935</c:v>
                </c:pt>
                <c:pt idx="219">
                  <c:v>44942</c:v>
                </c:pt>
                <c:pt idx="220">
                  <c:v>44949</c:v>
                </c:pt>
                <c:pt idx="221">
                  <c:v>44956</c:v>
                </c:pt>
                <c:pt idx="222">
                  <c:v>44963</c:v>
                </c:pt>
                <c:pt idx="223">
                  <c:v>44970</c:v>
                </c:pt>
                <c:pt idx="224">
                  <c:v>44977</c:v>
                </c:pt>
                <c:pt idx="225">
                  <c:v>44984</c:v>
                </c:pt>
                <c:pt idx="226">
                  <c:v>44991</c:v>
                </c:pt>
                <c:pt idx="227">
                  <c:v>44998</c:v>
                </c:pt>
                <c:pt idx="228">
                  <c:v>45005</c:v>
                </c:pt>
                <c:pt idx="229">
                  <c:v>45012</c:v>
                </c:pt>
                <c:pt idx="230">
                  <c:v>45019</c:v>
                </c:pt>
                <c:pt idx="231">
                  <c:v>45026</c:v>
                </c:pt>
                <c:pt idx="232">
                  <c:v>45033</c:v>
                </c:pt>
                <c:pt idx="233">
                  <c:v>45040</c:v>
                </c:pt>
                <c:pt idx="234">
                  <c:v>45047</c:v>
                </c:pt>
                <c:pt idx="235">
                  <c:v>45054</c:v>
                </c:pt>
                <c:pt idx="236">
                  <c:v>45061</c:v>
                </c:pt>
                <c:pt idx="237">
                  <c:v>45068</c:v>
                </c:pt>
                <c:pt idx="238">
                  <c:v>45075</c:v>
                </c:pt>
                <c:pt idx="239">
                  <c:v>45082</c:v>
                </c:pt>
                <c:pt idx="240">
                  <c:v>45089</c:v>
                </c:pt>
                <c:pt idx="241">
                  <c:v>45096</c:v>
                </c:pt>
                <c:pt idx="242">
                  <c:v>45103</c:v>
                </c:pt>
                <c:pt idx="243">
                  <c:v>45110</c:v>
                </c:pt>
                <c:pt idx="244">
                  <c:v>45117</c:v>
                </c:pt>
                <c:pt idx="245">
                  <c:v>45124</c:v>
                </c:pt>
                <c:pt idx="246">
                  <c:v>45131</c:v>
                </c:pt>
                <c:pt idx="247">
                  <c:v>45138</c:v>
                </c:pt>
                <c:pt idx="248">
                  <c:v>45145</c:v>
                </c:pt>
                <c:pt idx="249">
                  <c:v>45152</c:v>
                </c:pt>
                <c:pt idx="250">
                  <c:v>45159</c:v>
                </c:pt>
                <c:pt idx="251">
                  <c:v>45166</c:v>
                </c:pt>
                <c:pt idx="252">
                  <c:v>45173</c:v>
                </c:pt>
                <c:pt idx="253">
                  <c:v>45180</c:v>
                </c:pt>
                <c:pt idx="254">
                  <c:v>45187</c:v>
                </c:pt>
                <c:pt idx="255">
                  <c:v>45194</c:v>
                </c:pt>
                <c:pt idx="256">
                  <c:v>45201</c:v>
                </c:pt>
                <c:pt idx="257">
                  <c:v>45208</c:v>
                </c:pt>
                <c:pt idx="258">
                  <c:v>45215</c:v>
                </c:pt>
                <c:pt idx="259">
                  <c:v>45222</c:v>
                </c:pt>
                <c:pt idx="260">
                  <c:v>45226</c:v>
                </c:pt>
              </c:numCache>
            </c:numRef>
          </c:cat>
          <c:val>
            <c:numRef>
              <c:f>'Qn3 PG'!$C$3:$C$263</c:f>
              <c:numCache>
                <c:formatCode>General</c:formatCode>
                <c:ptCount val="261"/>
                <c:pt idx="0">
                  <c:v>81.423896999999997</c:v>
                </c:pt>
                <c:pt idx="1">
                  <c:v>82.666274999999999</c:v>
                </c:pt>
                <c:pt idx="2">
                  <c:v>80.657325999999998</c:v>
                </c:pt>
                <c:pt idx="3">
                  <c:v>83.274238999999994</c:v>
                </c:pt>
                <c:pt idx="4">
                  <c:v>81.459129000000004</c:v>
                </c:pt>
                <c:pt idx="5">
                  <c:v>85.151015999999998</c:v>
                </c:pt>
                <c:pt idx="6">
                  <c:v>80.155097999999995</c:v>
                </c:pt>
                <c:pt idx="7">
                  <c:v>80.340110999999993</c:v>
                </c:pt>
                <c:pt idx="8">
                  <c:v>81.494384999999994</c:v>
                </c:pt>
                <c:pt idx="9">
                  <c:v>80.859970000000004</c:v>
                </c:pt>
                <c:pt idx="10">
                  <c:v>80.551558999999997</c:v>
                </c:pt>
                <c:pt idx="11">
                  <c:v>83.124709999999993</c:v>
                </c:pt>
                <c:pt idx="12">
                  <c:v>86.561599999999999</c:v>
                </c:pt>
                <c:pt idx="13">
                  <c:v>86.774733999999995</c:v>
                </c:pt>
                <c:pt idx="14">
                  <c:v>87.458572000000004</c:v>
                </c:pt>
                <c:pt idx="15">
                  <c:v>89.030486999999994</c:v>
                </c:pt>
                <c:pt idx="16">
                  <c:v>87.423064999999994</c:v>
                </c:pt>
                <c:pt idx="17">
                  <c:v>87.396393000000003</c:v>
                </c:pt>
                <c:pt idx="18">
                  <c:v>90.975395000000006</c:v>
                </c:pt>
                <c:pt idx="19">
                  <c:v>90.282677000000007</c:v>
                </c:pt>
                <c:pt idx="20">
                  <c:v>92.405212000000006</c:v>
                </c:pt>
                <c:pt idx="21">
                  <c:v>92.049980000000005</c:v>
                </c:pt>
                <c:pt idx="22">
                  <c:v>93.302147000000005</c:v>
                </c:pt>
                <c:pt idx="23">
                  <c:v>94.181374000000005</c:v>
                </c:pt>
                <c:pt idx="24">
                  <c:v>94.676322999999996</c:v>
                </c:pt>
                <c:pt idx="25">
                  <c:v>94.873062000000004</c:v>
                </c:pt>
                <c:pt idx="26">
                  <c:v>94.810471000000007</c:v>
                </c:pt>
                <c:pt idx="27">
                  <c:v>96.098335000000006</c:v>
                </c:pt>
                <c:pt idx="28">
                  <c:v>95.418633</c:v>
                </c:pt>
                <c:pt idx="29">
                  <c:v>92.037964000000002</c:v>
                </c:pt>
                <c:pt idx="30">
                  <c:v>97.278885000000002</c:v>
                </c:pt>
                <c:pt idx="31">
                  <c:v>99.452171000000007</c:v>
                </c:pt>
                <c:pt idx="32">
                  <c:v>99.452171000000007</c:v>
                </c:pt>
                <c:pt idx="33">
                  <c:v>98.065933000000001</c:v>
                </c:pt>
                <c:pt idx="34">
                  <c:v>101.196144</c:v>
                </c:pt>
                <c:pt idx="35">
                  <c:v>102.84176600000001</c:v>
                </c:pt>
                <c:pt idx="36">
                  <c:v>102.859657</c:v>
                </c:pt>
                <c:pt idx="37">
                  <c:v>103.27375000000001</c:v>
                </c:pt>
                <c:pt idx="38">
                  <c:v>104.812988</c:v>
                </c:pt>
                <c:pt idx="39">
                  <c:v>105.119034</c:v>
                </c:pt>
                <c:pt idx="40">
                  <c:v>107.27939600000001</c:v>
                </c:pt>
                <c:pt idx="41">
                  <c:v>105.605118</c:v>
                </c:pt>
                <c:pt idx="42">
                  <c:v>108.224564</c:v>
                </c:pt>
                <c:pt idx="43">
                  <c:v>110.60092899999999</c:v>
                </c:pt>
                <c:pt idx="44">
                  <c:v>109.92581199999999</c:v>
                </c:pt>
                <c:pt idx="45">
                  <c:v>110.033829</c:v>
                </c:pt>
                <c:pt idx="46">
                  <c:v>112.131165</c:v>
                </c:pt>
                <c:pt idx="47">
                  <c:v>111.618088</c:v>
                </c:pt>
                <c:pt idx="48">
                  <c:v>108.99865</c:v>
                </c:pt>
                <c:pt idx="49">
                  <c:v>105.740143</c:v>
                </c:pt>
                <c:pt idx="50">
                  <c:v>111.65164900000001</c:v>
                </c:pt>
                <c:pt idx="51">
                  <c:v>112.21333300000001</c:v>
                </c:pt>
                <c:pt idx="52">
                  <c:v>108.435738</c:v>
                </c:pt>
                <c:pt idx="53">
                  <c:v>109.196701</c:v>
                </c:pt>
                <c:pt idx="54">
                  <c:v>108.970215</c:v>
                </c:pt>
                <c:pt idx="55">
                  <c:v>110.57364699999999</c:v>
                </c:pt>
                <c:pt idx="56">
                  <c:v>112.50322</c:v>
                </c:pt>
                <c:pt idx="57">
                  <c:v>113.66275</c:v>
                </c:pt>
                <c:pt idx="58">
                  <c:v>113.563103</c:v>
                </c:pt>
                <c:pt idx="59">
                  <c:v>114.224419</c:v>
                </c:pt>
                <c:pt idx="60">
                  <c:v>111.044708</c:v>
                </c:pt>
                <c:pt idx="61">
                  <c:v>112.303909</c:v>
                </c:pt>
                <c:pt idx="62">
                  <c:v>114.514313</c:v>
                </c:pt>
                <c:pt idx="63">
                  <c:v>113.363792</c:v>
                </c:pt>
                <c:pt idx="64">
                  <c:v>113.56345399999999</c:v>
                </c:pt>
                <c:pt idx="65">
                  <c:v>114.893929</c:v>
                </c:pt>
                <c:pt idx="66">
                  <c:v>114.948601</c:v>
                </c:pt>
                <c:pt idx="67">
                  <c:v>115.458916</c:v>
                </c:pt>
                <c:pt idx="68">
                  <c:v>103.184006</c:v>
                </c:pt>
                <c:pt idx="69">
                  <c:v>110.86608099999999</c:v>
                </c:pt>
                <c:pt idx="70">
                  <c:v>103.949471</c:v>
                </c:pt>
                <c:pt idx="71">
                  <c:v>93.342208999999997</c:v>
                </c:pt>
                <c:pt idx="72">
                  <c:v>100.39550800000001</c:v>
                </c:pt>
                <c:pt idx="73">
                  <c:v>104.86985799999999</c:v>
                </c:pt>
                <c:pt idx="74">
                  <c:v>104.487122</c:v>
                </c:pt>
                <c:pt idx="75">
                  <c:v>113.627251</c:v>
                </c:pt>
                <c:pt idx="76">
                  <c:v>108.24160000000001</c:v>
                </c:pt>
                <c:pt idx="77">
                  <c:v>107.165443</c:v>
                </c:pt>
                <c:pt idx="78">
                  <c:v>106.36734800000001</c:v>
                </c:pt>
                <c:pt idx="79">
                  <c:v>105.138092</c:v>
                </c:pt>
                <c:pt idx="80">
                  <c:v>103.29420500000001</c:v>
                </c:pt>
                <c:pt idx="81">
                  <c:v>106.33981300000001</c:v>
                </c:pt>
                <c:pt idx="82">
                  <c:v>108.55064400000001</c:v>
                </c:pt>
                <c:pt idx="83">
                  <c:v>106.06461299999999</c:v>
                </c:pt>
                <c:pt idx="84">
                  <c:v>109.09189600000001</c:v>
                </c:pt>
                <c:pt idx="85">
                  <c:v>105.70684799999999</c:v>
                </c:pt>
                <c:pt idx="86">
                  <c:v>110.8899</c:v>
                </c:pt>
                <c:pt idx="87">
                  <c:v>113.651146</c:v>
                </c:pt>
                <c:pt idx="88">
                  <c:v>115.247337</c:v>
                </c:pt>
                <c:pt idx="89">
                  <c:v>115.550079</c:v>
                </c:pt>
                <c:pt idx="90">
                  <c:v>121.042664</c:v>
                </c:pt>
                <c:pt idx="91">
                  <c:v>123.28594200000001</c:v>
                </c:pt>
                <c:pt idx="92">
                  <c:v>124.71678900000001</c:v>
                </c:pt>
                <c:pt idx="93">
                  <c:v>126.876938</c:v>
                </c:pt>
                <c:pt idx="94">
                  <c:v>128.10470599999999</c:v>
                </c:pt>
                <c:pt idx="95">
                  <c:v>127.356987</c:v>
                </c:pt>
                <c:pt idx="96">
                  <c:v>127.523132</c:v>
                </c:pt>
                <c:pt idx="97">
                  <c:v>126.812309</c:v>
                </c:pt>
                <c:pt idx="98">
                  <c:v>127.043098</c:v>
                </c:pt>
                <c:pt idx="99">
                  <c:v>127.504677</c:v>
                </c:pt>
                <c:pt idx="100">
                  <c:v>131.93573000000001</c:v>
                </c:pt>
                <c:pt idx="101">
                  <c:v>133.292801</c:v>
                </c:pt>
                <c:pt idx="102">
                  <c:v>131.437286</c:v>
                </c:pt>
                <c:pt idx="103">
                  <c:v>127.265823</c:v>
                </c:pt>
                <c:pt idx="104">
                  <c:v>132.956085</c:v>
                </c:pt>
                <c:pt idx="105">
                  <c:v>133.930801</c:v>
                </c:pt>
                <c:pt idx="106">
                  <c:v>129.307999</c:v>
                </c:pt>
                <c:pt idx="107">
                  <c:v>128.667496</c:v>
                </c:pt>
                <c:pt idx="108">
                  <c:v>127.60927599999999</c:v>
                </c:pt>
                <c:pt idx="109">
                  <c:v>126.71811700000001</c:v>
                </c:pt>
                <c:pt idx="110">
                  <c:v>129.06663499999999</c:v>
                </c:pt>
                <c:pt idx="111">
                  <c:v>127.841331</c:v>
                </c:pt>
                <c:pt idx="112">
                  <c:v>129.15947</c:v>
                </c:pt>
                <c:pt idx="113">
                  <c:v>128.83457899999999</c:v>
                </c:pt>
                <c:pt idx="114">
                  <c:v>125.112206</c:v>
                </c:pt>
                <c:pt idx="115">
                  <c:v>120.675087</c:v>
                </c:pt>
                <c:pt idx="116">
                  <c:v>119.73136100000001</c:v>
                </c:pt>
                <c:pt idx="117">
                  <c:v>121.001419</c:v>
                </c:pt>
                <c:pt idx="118">
                  <c:v>119.180359</c:v>
                </c:pt>
                <c:pt idx="119">
                  <c:v>118.713448</c:v>
                </c:pt>
                <c:pt idx="120">
                  <c:v>115.36084700000001</c:v>
                </c:pt>
                <c:pt idx="121">
                  <c:v>117.64883399999999</c:v>
                </c:pt>
                <c:pt idx="122">
                  <c:v>119.665993</c:v>
                </c:pt>
                <c:pt idx="123">
                  <c:v>119.544579</c:v>
                </c:pt>
                <c:pt idx="124">
                  <c:v>126.492569</c:v>
                </c:pt>
                <c:pt idx="125">
                  <c:v>125.399933</c:v>
                </c:pt>
                <c:pt idx="126">
                  <c:v>127.35172300000001</c:v>
                </c:pt>
                <c:pt idx="127">
                  <c:v>128.17352299999999</c:v>
                </c:pt>
                <c:pt idx="128">
                  <c:v>125.08245100000001</c:v>
                </c:pt>
                <c:pt idx="129">
                  <c:v>125.39398199999999</c:v>
                </c:pt>
                <c:pt idx="130">
                  <c:v>127.01992</c:v>
                </c:pt>
                <c:pt idx="131">
                  <c:v>129.707886</c:v>
                </c:pt>
                <c:pt idx="132">
                  <c:v>129.69845599999999</c:v>
                </c:pt>
                <c:pt idx="133">
                  <c:v>126.737953</c:v>
                </c:pt>
                <c:pt idx="134">
                  <c:v>127.771767</c:v>
                </c:pt>
                <c:pt idx="135">
                  <c:v>126.747353</c:v>
                </c:pt>
                <c:pt idx="136">
                  <c:v>124.087593</c:v>
                </c:pt>
                <c:pt idx="137">
                  <c:v>126.80373400000001</c:v>
                </c:pt>
                <c:pt idx="138">
                  <c:v>127.7248</c:v>
                </c:pt>
                <c:pt idx="139">
                  <c:v>128.78681900000001</c:v>
                </c:pt>
                <c:pt idx="140">
                  <c:v>132.05746500000001</c:v>
                </c:pt>
                <c:pt idx="141">
                  <c:v>131.380798</c:v>
                </c:pt>
                <c:pt idx="142">
                  <c:v>134.514725</c:v>
                </c:pt>
                <c:pt idx="143">
                  <c:v>133.73921200000001</c:v>
                </c:pt>
                <c:pt idx="144">
                  <c:v>135.848251</c:v>
                </c:pt>
                <c:pt idx="145">
                  <c:v>137.21957399999999</c:v>
                </c:pt>
                <c:pt idx="146">
                  <c:v>134.590363</c:v>
                </c:pt>
                <c:pt idx="147">
                  <c:v>136.236008</c:v>
                </c:pt>
                <c:pt idx="148">
                  <c:v>136.311646</c:v>
                </c:pt>
                <c:pt idx="149">
                  <c:v>136.51026899999999</c:v>
                </c:pt>
                <c:pt idx="150">
                  <c:v>135.76312300000001</c:v>
                </c:pt>
                <c:pt idx="151">
                  <c:v>132.00846899999999</c:v>
                </c:pt>
                <c:pt idx="152">
                  <c:v>134.04184000000001</c:v>
                </c:pt>
                <c:pt idx="153">
                  <c:v>136.58592200000001</c:v>
                </c:pt>
                <c:pt idx="154">
                  <c:v>133.19064299999999</c:v>
                </c:pt>
                <c:pt idx="155">
                  <c:v>136.07183800000001</c:v>
                </c:pt>
                <c:pt idx="156">
                  <c:v>138.97425799999999</c:v>
                </c:pt>
                <c:pt idx="157">
                  <c:v>139.46910099999999</c:v>
                </c:pt>
                <c:pt idx="158">
                  <c:v>139.71653699999999</c:v>
                </c:pt>
                <c:pt idx="159">
                  <c:v>140.335083</c:v>
                </c:pt>
                <c:pt idx="160">
                  <c:v>142.62851000000001</c:v>
                </c:pt>
                <c:pt idx="161">
                  <c:v>147.93850699999999</c:v>
                </c:pt>
                <c:pt idx="162">
                  <c:v>149.84176600000001</c:v>
                </c:pt>
                <c:pt idx="163">
                  <c:v>152.35403400000001</c:v>
                </c:pt>
                <c:pt idx="164">
                  <c:v>155.665649</c:v>
                </c:pt>
                <c:pt idx="165">
                  <c:v>154.866287</c:v>
                </c:pt>
                <c:pt idx="166">
                  <c:v>152.07804899999999</c:v>
                </c:pt>
                <c:pt idx="167">
                  <c:v>154.75209000000001</c:v>
                </c:pt>
                <c:pt idx="168">
                  <c:v>153.55934099999999</c:v>
                </c:pt>
                <c:pt idx="169">
                  <c:v>154.54480000000001</c:v>
                </c:pt>
                <c:pt idx="170">
                  <c:v>149.531387</c:v>
                </c:pt>
                <c:pt idx="171">
                  <c:v>152.985275</c:v>
                </c:pt>
                <c:pt idx="172">
                  <c:v>151.39707899999999</c:v>
                </c:pt>
                <c:pt idx="173">
                  <c:v>148.43112199999999</c:v>
                </c:pt>
                <c:pt idx="174">
                  <c:v>137.02659600000001</c:v>
                </c:pt>
                <c:pt idx="175">
                  <c:v>143.65690599999999</c:v>
                </c:pt>
                <c:pt idx="176">
                  <c:v>146.22100800000001</c:v>
                </c:pt>
                <c:pt idx="177">
                  <c:v>148.383286</c:v>
                </c:pt>
                <c:pt idx="178">
                  <c:v>153.176636</c:v>
                </c:pt>
                <c:pt idx="179">
                  <c:v>151.71279899999999</c:v>
                </c:pt>
                <c:pt idx="180">
                  <c:v>154.27690100000001</c:v>
                </c:pt>
                <c:pt idx="181">
                  <c:v>154.46893299999999</c:v>
                </c:pt>
                <c:pt idx="182">
                  <c:v>150.09129300000001</c:v>
                </c:pt>
                <c:pt idx="183">
                  <c:v>147.80143699999999</c:v>
                </c:pt>
                <c:pt idx="184">
                  <c:v>136.41951</c:v>
                </c:pt>
                <c:pt idx="185">
                  <c:v>143.08702099999999</c:v>
                </c:pt>
                <c:pt idx="186">
                  <c:v>140.364227</c:v>
                </c:pt>
                <c:pt idx="187">
                  <c:v>136.57347100000001</c:v>
                </c:pt>
                <c:pt idx="188">
                  <c:v>127.34668000000001</c:v>
                </c:pt>
                <c:pt idx="189">
                  <c:v>138.882553</c:v>
                </c:pt>
                <c:pt idx="190">
                  <c:v>140.57591199999999</c:v>
                </c:pt>
                <c:pt idx="191">
                  <c:v>139.527176</c:v>
                </c:pt>
                <c:pt idx="192">
                  <c:v>139.57530199999999</c:v>
                </c:pt>
                <c:pt idx="193">
                  <c:v>137.602936</c:v>
                </c:pt>
                <c:pt idx="194">
                  <c:v>134.51623499999999</c:v>
                </c:pt>
                <c:pt idx="195">
                  <c:v>140.14244099999999</c:v>
                </c:pt>
                <c:pt idx="196">
                  <c:v>142.03076200000001</c:v>
                </c:pt>
                <c:pt idx="197">
                  <c:v>144.993988</c:v>
                </c:pt>
                <c:pt idx="198">
                  <c:v>137.789322</c:v>
                </c:pt>
                <c:pt idx="199">
                  <c:v>132.821594</c:v>
                </c:pt>
                <c:pt idx="200">
                  <c:v>135.53301999999999</c:v>
                </c:pt>
                <c:pt idx="201">
                  <c:v>133.906158</c:v>
                </c:pt>
                <c:pt idx="202">
                  <c:v>131.29155</c:v>
                </c:pt>
                <c:pt idx="203">
                  <c:v>122.256668</c:v>
                </c:pt>
                <c:pt idx="204">
                  <c:v>120.339294</c:v>
                </c:pt>
                <c:pt idx="205">
                  <c:v>121.12367999999999</c:v>
                </c:pt>
                <c:pt idx="206">
                  <c:v>124.512978</c:v>
                </c:pt>
                <c:pt idx="207">
                  <c:v>131.87223800000001</c:v>
                </c:pt>
                <c:pt idx="208">
                  <c:v>131.111557</c:v>
                </c:pt>
                <c:pt idx="209">
                  <c:v>137.479874</c:v>
                </c:pt>
                <c:pt idx="210">
                  <c:v>139.04028299999999</c:v>
                </c:pt>
                <c:pt idx="211">
                  <c:v>143.087524</c:v>
                </c:pt>
                <c:pt idx="212">
                  <c:v>146.881226</c:v>
                </c:pt>
                <c:pt idx="213">
                  <c:v>147.18353300000001</c:v>
                </c:pt>
                <c:pt idx="214">
                  <c:v>146.71542400000001</c:v>
                </c:pt>
                <c:pt idx="215">
                  <c:v>148.84144599999999</c:v>
                </c:pt>
                <c:pt idx="216">
                  <c:v>147.807693</c:v>
                </c:pt>
                <c:pt idx="217">
                  <c:v>150.10926799999999</c:v>
                </c:pt>
                <c:pt idx="218">
                  <c:v>147.144531</c:v>
                </c:pt>
                <c:pt idx="219">
                  <c:v>139.430374</c:v>
                </c:pt>
                <c:pt idx="220">
                  <c:v>137.95002700000001</c:v>
                </c:pt>
                <c:pt idx="221">
                  <c:v>139.952011</c:v>
                </c:pt>
                <c:pt idx="222">
                  <c:v>135.683075</c:v>
                </c:pt>
                <c:pt idx="223">
                  <c:v>137.40046699999999</c:v>
                </c:pt>
                <c:pt idx="224">
                  <c:v>136.664444</c:v>
                </c:pt>
                <c:pt idx="225">
                  <c:v>138.32295199999999</c:v>
                </c:pt>
                <c:pt idx="226">
                  <c:v>134.633026</c:v>
                </c:pt>
                <c:pt idx="227">
                  <c:v>140.26603700000001</c:v>
                </c:pt>
                <c:pt idx="228">
                  <c:v>143.98541299999999</c:v>
                </c:pt>
                <c:pt idx="229">
                  <c:v>145.91868600000001</c:v>
                </c:pt>
                <c:pt idx="230">
                  <c:v>149.38288900000001</c:v>
                </c:pt>
                <c:pt idx="231">
                  <c:v>148.18563800000001</c:v>
                </c:pt>
                <c:pt idx="232">
                  <c:v>153.16113300000001</c:v>
                </c:pt>
                <c:pt idx="233">
                  <c:v>154.42619300000001</c:v>
                </c:pt>
                <c:pt idx="234">
                  <c:v>154.08055100000001</c:v>
                </c:pt>
                <c:pt idx="235">
                  <c:v>154.01144400000001</c:v>
                </c:pt>
                <c:pt idx="236">
                  <c:v>151.25628699999999</c:v>
                </c:pt>
                <c:pt idx="237">
                  <c:v>143.583359</c:v>
                </c:pt>
                <c:pt idx="238">
                  <c:v>144.68937700000001</c:v>
                </c:pt>
                <c:pt idx="239">
                  <c:v>144.72886700000001</c:v>
                </c:pt>
                <c:pt idx="240">
                  <c:v>147.67163099999999</c:v>
                </c:pt>
                <c:pt idx="241">
                  <c:v>146.60514800000001</c:v>
                </c:pt>
                <c:pt idx="242">
                  <c:v>149.84416200000001</c:v>
                </c:pt>
                <c:pt idx="243">
                  <c:v>146.940887</c:v>
                </c:pt>
                <c:pt idx="244">
                  <c:v>148.17527799999999</c:v>
                </c:pt>
                <c:pt idx="245">
                  <c:v>151.019272</c:v>
                </c:pt>
                <c:pt idx="246">
                  <c:v>155.42898600000001</c:v>
                </c:pt>
                <c:pt idx="247">
                  <c:v>154.30607599999999</c:v>
                </c:pt>
                <c:pt idx="248">
                  <c:v>156.035156</c:v>
                </c:pt>
                <c:pt idx="249">
                  <c:v>151.58325199999999</c:v>
                </c:pt>
                <c:pt idx="250">
                  <c:v>152.57698099999999</c:v>
                </c:pt>
                <c:pt idx="251">
                  <c:v>153.54089400000001</c:v>
                </c:pt>
                <c:pt idx="252">
                  <c:v>151.97081</c:v>
                </c:pt>
                <c:pt idx="253">
                  <c:v>152.507431</c:v>
                </c:pt>
                <c:pt idx="254">
                  <c:v>150.629288</c:v>
                </c:pt>
                <c:pt idx="255">
                  <c:v>144.94515999999999</c:v>
                </c:pt>
                <c:pt idx="256">
                  <c:v>143.186249</c:v>
                </c:pt>
                <c:pt idx="257">
                  <c:v>143.782501</c:v>
                </c:pt>
                <c:pt idx="258">
                  <c:v>147.12142900000001</c:v>
                </c:pt>
                <c:pt idx="259">
                  <c:v>147.16000399999999</c:v>
                </c:pt>
                <c:pt idx="260">
                  <c:v>147.16000399999999</c:v>
                </c:pt>
              </c:numCache>
            </c:numRef>
          </c:val>
          <c:smooth val="0"/>
          <c:extLst>
            <c:ext xmlns:c16="http://schemas.microsoft.com/office/drawing/2014/chart" uri="{C3380CC4-5D6E-409C-BE32-E72D297353CC}">
              <c16:uniqueId val="{00000000-3970-4109-A63F-5B86D0B15C16}"/>
            </c:ext>
          </c:extLst>
        </c:ser>
        <c:dLbls>
          <c:showLegendKey val="0"/>
          <c:showVal val="0"/>
          <c:showCatName val="0"/>
          <c:showSerName val="0"/>
          <c:showPercent val="0"/>
          <c:showBubbleSize val="0"/>
        </c:dLbls>
        <c:smooth val="0"/>
        <c:axId val="274251520"/>
        <c:axId val="274244320"/>
      </c:lineChart>
      <c:dateAx>
        <c:axId val="27425152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44320"/>
        <c:crosses val="autoZero"/>
        <c:auto val="1"/>
        <c:lblOffset val="100"/>
        <c:baseTimeUnit val="days"/>
      </c:dateAx>
      <c:valAx>
        <c:axId val="27424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51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Simulated</a:t>
            </a:r>
            <a:r>
              <a:rPr lang="en-US" baseline="0"/>
              <a:t> Stock Price over 24 wks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'Qn3 PG'!$B$265:$B$288</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'Qn3 PG'!$C$265:$C$288</c:f>
              <c:numCache>
                <c:formatCode>General</c:formatCode>
                <c:ptCount val="24"/>
                <c:pt idx="0">
                  <c:v>152.15268760780461</c:v>
                </c:pt>
                <c:pt idx="1">
                  <c:v>151.93533690729728</c:v>
                </c:pt>
                <c:pt idx="2">
                  <c:v>147.73112332551577</c:v>
                </c:pt>
                <c:pt idx="3">
                  <c:v>149.2568840603582</c:v>
                </c:pt>
                <c:pt idx="4">
                  <c:v>149.12431834267818</c:v>
                </c:pt>
                <c:pt idx="5">
                  <c:v>144.62688618919424</c:v>
                </c:pt>
                <c:pt idx="6">
                  <c:v>148.82878128370245</c:v>
                </c:pt>
                <c:pt idx="7">
                  <c:v>152.38534479420096</c:v>
                </c:pt>
                <c:pt idx="8">
                  <c:v>158.25226955673983</c:v>
                </c:pt>
                <c:pt idx="9">
                  <c:v>157.73999293405888</c:v>
                </c:pt>
                <c:pt idx="10">
                  <c:v>160.80912497663996</c:v>
                </c:pt>
                <c:pt idx="11">
                  <c:v>156.28072110479985</c:v>
                </c:pt>
                <c:pt idx="12">
                  <c:v>151.90429575874376</c:v>
                </c:pt>
                <c:pt idx="13">
                  <c:v>152.87820967206099</c:v>
                </c:pt>
                <c:pt idx="14">
                  <c:v>162.52265160869132</c:v>
                </c:pt>
                <c:pt idx="15">
                  <c:v>161.13336821229538</c:v>
                </c:pt>
                <c:pt idx="16">
                  <c:v>161.70190424905007</c:v>
                </c:pt>
                <c:pt idx="17">
                  <c:v>164.02758375935539</c:v>
                </c:pt>
                <c:pt idx="18">
                  <c:v>159.40406057220875</c:v>
                </c:pt>
                <c:pt idx="19">
                  <c:v>160.34140667635671</c:v>
                </c:pt>
                <c:pt idx="20">
                  <c:v>163.25502044458753</c:v>
                </c:pt>
                <c:pt idx="21">
                  <c:v>168.76469293560908</c:v>
                </c:pt>
                <c:pt idx="22">
                  <c:v>176.82907019145796</c:v>
                </c:pt>
                <c:pt idx="23">
                  <c:v>184.0732224068056</c:v>
                </c:pt>
              </c:numCache>
            </c:numRef>
          </c:yVal>
          <c:smooth val="0"/>
          <c:extLst>
            <c:ext xmlns:c16="http://schemas.microsoft.com/office/drawing/2014/chart" uri="{C3380CC4-5D6E-409C-BE32-E72D297353CC}">
              <c16:uniqueId val="{00000000-9A05-49E3-9E2E-31BF64EFEB14}"/>
            </c:ext>
          </c:extLst>
        </c:ser>
        <c:dLbls>
          <c:showLegendKey val="0"/>
          <c:showVal val="0"/>
          <c:showCatName val="0"/>
          <c:showSerName val="0"/>
          <c:showPercent val="0"/>
          <c:showBubbleSize val="0"/>
        </c:dLbls>
        <c:axId val="554941456"/>
        <c:axId val="554949616"/>
      </c:scatterChart>
      <c:valAx>
        <c:axId val="554941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949616"/>
        <c:crosses val="autoZero"/>
        <c:crossBetween val="midCat"/>
      </c:valAx>
      <c:valAx>
        <c:axId val="55494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9414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530572807070474E-2"/>
          <c:y val="1.2958375479866729E-2"/>
          <c:w val="0.90077751852173249"/>
          <c:h val="0.85776327534527652"/>
        </c:manualLayout>
      </c:layout>
      <c:scatterChart>
        <c:scatterStyle val="smoothMarker"/>
        <c:varyColors val="0"/>
        <c:ser>
          <c:idx val="0"/>
          <c:order val="0"/>
          <c:tx>
            <c:strRef>
              <c:f>'Qn4 Debit Card Use (optional)'!$D$2</c:f>
              <c:strCache>
                <c:ptCount val="1"/>
                <c:pt idx="0">
                  <c:v>debit(000)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'Qn4 Debit Card Use (optional)'!$D$3:$D$74</c:f>
              <c:numCache>
                <c:formatCode>General</c:formatCode>
                <c:ptCount val="72"/>
                <c:pt idx="0">
                  <c:v>16198</c:v>
                </c:pt>
                <c:pt idx="1">
                  <c:v>15060</c:v>
                </c:pt>
                <c:pt idx="2">
                  <c:v>16168</c:v>
                </c:pt>
                <c:pt idx="3">
                  <c:v>16376</c:v>
                </c:pt>
                <c:pt idx="4">
                  <c:v>18403</c:v>
                </c:pt>
                <c:pt idx="5">
                  <c:v>19113</c:v>
                </c:pt>
                <c:pt idx="6">
                  <c:v>19303</c:v>
                </c:pt>
                <c:pt idx="7">
                  <c:v>20560</c:v>
                </c:pt>
                <c:pt idx="8">
                  <c:v>16621</c:v>
                </c:pt>
                <c:pt idx="9">
                  <c:v>18788</c:v>
                </c:pt>
                <c:pt idx="10">
                  <c:v>17970</c:v>
                </c:pt>
                <c:pt idx="11">
                  <c:v>22464</c:v>
                </c:pt>
                <c:pt idx="12">
                  <c:v>16658</c:v>
                </c:pt>
                <c:pt idx="13">
                  <c:v>16214</c:v>
                </c:pt>
                <c:pt idx="14">
                  <c:v>16043</c:v>
                </c:pt>
                <c:pt idx="15">
                  <c:v>16418</c:v>
                </c:pt>
                <c:pt idx="16">
                  <c:v>17644</c:v>
                </c:pt>
                <c:pt idx="17">
                  <c:v>17705</c:v>
                </c:pt>
                <c:pt idx="18">
                  <c:v>18107</c:v>
                </c:pt>
                <c:pt idx="19">
                  <c:v>17975</c:v>
                </c:pt>
                <c:pt idx="20">
                  <c:v>17598</c:v>
                </c:pt>
                <c:pt idx="21">
                  <c:v>17658</c:v>
                </c:pt>
                <c:pt idx="22">
                  <c:v>15750</c:v>
                </c:pt>
                <c:pt idx="23">
                  <c:v>22414</c:v>
                </c:pt>
                <c:pt idx="24">
                  <c:v>16065</c:v>
                </c:pt>
                <c:pt idx="25">
                  <c:v>15467</c:v>
                </c:pt>
                <c:pt idx="26">
                  <c:v>16297</c:v>
                </c:pt>
                <c:pt idx="27">
                  <c:v>16530</c:v>
                </c:pt>
                <c:pt idx="28">
                  <c:v>18410</c:v>
                </c:pt>
                <c:pt idx="29">
                  <c:v>20274</c:v>
                </c:pt>
                <c:pt idx="30">
                  <c:v>21311</c:v>
                </c:pt>
                <c:pt idx="31">
                  <c:v>20991</c:v>
                </c:pt>
                <c:pt idx="32">
                  <c:v>18305</c:v>
                </c:pt>
                <c:pt idx="33">
                  <c:v>17832</c:v>
                </c:pt>
                <c:pt idx="34">
                  <c:v>18223</c:v>
                </c:pt>
                <c:pt idx="35">
                  <c:v>23987</c:v>
                </c:pt>
                <c:pt idx="36">
                  <c:v>15964</c:v>
                </c:pt>
                <c:pt idx="37">
                  <c:v>16606</c:v>
                </c:pt>
                <c:pt idx="38">
                  <c:v>19216</c:v>
                </c:pt>
                <c:pt idx="39">
                  <c:v>16419</c:v>
                </c:pt>
                <c:pt idx="40">
                  <c:v>19638</c:v>
                </c:pt>
                <c:pt idx="41">
                  <c:v>19773</c:v>
                </c:pt>
                <c:pt idx="42">
                  <c:v>21052</c:v>
                </c:pt>
                <c:pt idx="43">
                  <c:v>22011</c:v>
                </c:pt>
                <c:pt idx="44">
                  <c:v>19039</c:v>
                </c:pt>
                <c:pt idx="45">
                  <c:v>17893</c:v>
                </c:pt>
                <c:pt idx="46">
                  <c:v>19276</c:v>
                </c:pt>
                <c:pt idx="47">
                  <c:v>25167</c:v>
                </c:pt>
                <c:pt idx="48">
                  <c:v>16699</c:v>
                </c:pt>
                <c:pt idx="49">
                  <c:v>16619</c:v>
                </c:pt>
                <c:pt idx="50">
                  <c:v>17851</c:v>
                </c:pt>
                <c:pt idx="51">
                  <c:v>18160</c:v>
                </c:pt>
                <c:pt idx="52">
                  <c:v>22032</c:v>
                </c:pt>
                <c:pt idx="53">
                  <c:v>21395</c:v>
                </c:pt>
                <c:pt idx="54">
                  <c:v>22217</c:v>
                </c:pt>
                <c:pt idx="55">
                  <c:v>24565</c:v>
                </c:pt>
                <c:pt idx="56">
                  <c:v>21095</c:v>
                </c:pt>
                <c:pt idx="57">
                  <c:v>20114</c:v>
                </c:pt>
                <c:pt idx="58">
                  <c:v>19931</c:v>
                </c:pt>
                <c:pt idx="59">
                  <c:v>26120</c:v>
                </c:pt>
                <c:pt idx="60">
                  <c:v>18580</c:v>
                </c:pt>
                <c:pt idx="61">
                  <c:v>18492</c:v>
                </c:pt>
                <c:pt idx="62">
                  <c:v>19724</c:v>
                </c:pt>
                <c:pt idx="63">
                  <c:v>20123</c:v>
                </c:pt>
                <c:pt idx="64">
                  <c:v>22582</c:v>
                </c:pt>
                <c:pt idx="65">
                  <c:v>22595</c:v>
                </c:pt>
                <c:pt idx="66">
                  <c:v>23379</c:v>
                </c:pt>
                <c:pt idx="67">
                  <c:v>24920</c:v>
                </c:pt>
                <c:pt idx="68">
                  <c:v>20325</c:v>
                </c:pt>
                <c:pt idx="69">
                  <c:v>22038</c:v>
                </c:pt>
                <c:pt idx="70">
                  <c:v>20988</c:v>
                </c:pt>
                <c:pt idx="71">
                  <c:v>26675</c:v>
                </c:pt>
              </c:numCache>
            </c:numRef>
          </c:yVal>
          <c:smooth val="1"/>
          <c:extLst>
            <c:ext xmlns:c16="http://schemas.microsoft.com/office/drawing/2014/chart" uri="{C3380CC4-5D6E-409C-BE32-E72D297353CC}">
              <c16:uniqueId val="{00000000-6731-49D8-8EE7-B231F798C0C4}"/>
            </c:ext>
          </c:extLst>
        </c:ser>
        <c:ser>
          <c:idx val="1"/>
          <c:order val="1"/>
          <c:tx>
            <c:v>Forecast</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'Qn4 Debit Card Use (optional)'!$A$27:$A$86</c:f>
              <c:numCache>
                <c:formatCode>General</c:formatCode>
                <c:ptCount val="60"/>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75</c:v>
                </c:pt>
                <c:pt idx="51">
                  <c:v>76</c:v>
                </c:pt>
                <c:pt idx="52">
                  <c:v>77</c:v>
                </c:pt>
                <c:pt idx="53">
                  <c:v>78</c:v>
                </c:pt>
                <c:pt idx="54">
                  <c:v>79</c:v>
                </c:pt>
                <c:pt idx="55">
                  <c:v>80</c:v>
                </c:pt>
                <c:pt idx="56">
                  <c:v>81</c:v>
                </c:pt>
                <c:pt idx="57">
                  <c:v>82</c:v>
                </c:pt>
                <c:pt idx="58">
                  <c:v>83</c:v>
                </c:pt>
                <c:pt idx="59">
                  <c:v>84</c:v>
                </c:pt>
              </c:numCache>
            </c:numRef>
          </c:xVal>
          <c:yVal>
            <c:numRef>
              <c:f>'Qn4 Debit Card Use (optional)'!$H$27:$H$86</c:f>
              <c:numCache>
                <c:formatCode>General</c:formatCode>
                <c:ptCount val="60"/>
                <c:pt idx="0">
                  <c:v>16659.871650343626</c:v>
                </c:pt>
                <c:pt idx="1">
                  <c:v>16097.125816099204</c:v>
                </c:pt>
                <c:pt idx="2">
                  <c:v>15795.942668245114</c:v>
                </c:pt>
                <c:pt idx="3">
                  <c:v>16266.377678429661</c:v>
                </c:pt>
                <c:pt idx="4">
                  <c:v>17537.406881167411</c:v>
                </c:pt>
                <c:pt idx="5">
                  <c:v>17779.373649731246</c:v>
                </c:pt>
                <c:pt idx="6">
                  <c:v>18718.537952223647</c:v>
                </c:pt>
                <c:pt idx="7">
                  <c:v>19137.396077715839</c:v>
                </c:pt>
                <c:pt idx="8">
                  <c:v>19148.128626484518</c:v>
                </c:pt>
                <c:pt idx="9">
                  <c:v>19082.784400099954</c:v>
                </c:pt>
                <c:pt idx="10">
                  <c:v>16824.630906766091</c:v>
                </c:pt>
                <c:pt idx="11">
                  <c:v>24399.225716974121</c:v>
                </c:pt>
                <c:pt idx="12">
                  <c:v>17658.280640766909</c:v>
                </c:pt>
                <c:pt idx="13">
                  <c:v>16838.601852139273</c:v>
                </c:pt>
                <c:pt idx="14">
                  <c:v>17480.129586027615</c:v>
                </c:pt>
                <c:pt idx="15">
                  <c:v>18094.29467203551</c:v>
                </c:pt>
                <c:pt idx="16">
                  <c:v>19543.533148325594</c:v>
                </c:pt>
                <c:pt idx="17">
                  <c:v>20808.334516286981</c:v>
                </c:pt>
                <c:pt idx="18">
                  <c:v>21069.78701632746</c:v>
                </c:pt>
                <c:pt idx="19">
                  <c:v>20411.111428233646</c:v>
                </c:pt>
                <c:pt idx="20">
                  <c:v>18490.644353320251</c:v>
                </c:pt>
                <c:pt idx="21">
                  <c:v>18405.062328927434</c:v>
                </c:pt>
                <c:pt idx="22">
                  <c:v>18110.721688867514</c:v>
                </c:pt>
                <c:pt idx="23">
                  <c:v>24468.762379994543</c:v>
                </c:pt>
                <c:pt idx="24">
                  <c:v>16859.601124432316</c:v>
                </c:pt>
                <c:pt idx="25">
                  <c:v>17394.754100181126</c:v>
                </c:pt>
                <c:pt idx="26">
                  <c:v>19348.370395676888</c:v>
                </c:pt>
                <c:pt idx="27">
                  <c:v>16912.051174884957</c:v>
                </c:pt>
                <c:pt idx="28">
                  <c:v>20288.533230078592</c:v>
                </c:pt>
                <c:pt idx="29">
                  <c:v>21136.82537508044</c:v>
                </c:pt>
                <c:pt idx="30">
                  <c:v>22467.605323278989</c:v>
                </c:pt>
                <c:pt idx="31">
                  <c:v>22919.076039297448</c:v>
                </c:pt>
                <c:pt idx="32">
                  <c:v>20105.846654537629</c:v>
                </c:pt>
                <c:pt idx="33">
                  <c:v>19329.179279689346</c:v>
                </c:pt>
                <c:pt idx="34">
                  <c:v>20561.74819335404</c:v>
                </c:pt>
                <c:pt idx="35">
                  <c:v>26643.407991929609</c:v>
                </c:pt>
                <c:pt idx="36">
                  <c:v>17724.004307120991</c:v>
                </c:pt>
                <c:pt idx="37">
                  <c:v>18061.161426186791</c:v>
                </c:pt>
                <c:pt idx="38">
                  <c:v>19907.616505065864</c:v>
                </c:pt>
                <c:pt idx="39">
                  <c:v>19635.228964534432</c:v>
                </c:pt>
                <c:pt idx="40">
                  <c:v>23541.085538521933</c:v>
                </c:pt>
                <c:pt idx="41">
                  <c:v>22794.374774680815</c:v>
                </c:pt>
                <c:pt idx="42">
                  <c:v>23755.06934043211</c:v>
                </c:pt>
                <c:pt idx="43">
                  <c:v>25610.665724080816</c:v>
                </c:pt>
                <c:pt idx="44">
                  <c:v>21705.358178194736</c:v>
                </c:pt>
                <c:pt idx="45">
                  <c:v>20269.430702552796</c:v>
                </c:pt>
                <c:pt idx="46">
                  <c:v>20714.152113844819</c:v>
                </c:pt>
                <c:pt idx="47">
                  <c:v>27292.856510390331</c:v>
                </c:pt>
                <c:pt idx="48">
                  <c:v>19004.744752998609</c:v>
                </c:pt>
                <c:pt idx="49">
                  <c:v>20570.605186925368</c:v>
                </c:pt>
                <c:pt idx="50">
                  <c:v>21746.960567895567</c:v>
                </c:pt>
                <c:pt idx="51">
                  <c:v>21781.411430670076</c:v>
                </c:pt>
                <c:pt idx="52">
                  <c:v>24834.543651368203</c:v>
                </c:pt>
                <c:pt idx="53">
                  <c:v>24200.970648347447</c:v>
                </c:pt>
                <c:pt idx="54">
                  <c:v>25290.515756381981</c:v>
                </c:pt>
                <c:pt idx="55">
                  <c:v>26916.411878687933</c:v>
                </c:pt>
                <c:pt idx="56">
                  <c:v>22067.967684985288</c:v>
                </c:pt>
                <c:pt idx="57">
                  <c:v>24222.112324484238</c:v>
                </c:pt>
                <c:pt idx="58">
                  <c:v>22773.958979982464</c:v>
                </c:pt>
                <c:pt idx="59">
                  <c:v>29597.399995137232</c:v>
                </c:pt>
              </c:numCache>
            </c:numRef>
          </c:yVal>
          <c:smooth val="1"/>
          <c:extLst>
            <c:ext xmlns:c16="http://schemas.microsoft.com/office/drawing/2014/chart" uri="{C3380CC4-5D6E-409C-BE32-E72D297353CC}">
              <c16:uniqueId val="{00000000-C696-4729-B356-A511790A80FE}"/>
            </c:ext>
          </c:extLst>
        </c:ser>
        <c:dLbls>
          <c:showLegendKey val="0"/>
          <c:showVal val="0"/>
          <c:showCatName val="0"/>
          <c:showSerName val="0"/>
          <c:showPercent val="0"/>
          <c:showBubbleSize val="0"/>
        </c:dLbls>
        <c:axId val="-965999072"/>
        <c:axId val="-965997296"/>
      </c:scatterChart>
      <c:valAx>
        <c:axId val="-965999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997296"/>
        <c:crosses val="autoZero"/>
        <c:crossBetween val="midCat"/>
      </c:valAx>
      <c:valAx>
        <c:axId val="-965997296"/>
        <c:scaling>
          <c:orientation val="minMax"/>
          <c:min val="13000"/>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99907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chart" Target="../charts/chart3.xml"/><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814456</xdr:colOff>
      <xdr:row>9</xdr:row>
      <xdr:rowOff>144946</xdr:rowOff>
    </xdr:from>
    <xdr:to>
      <xdr:col>11</xdr:col>
      <xdr:colOff>186087</xdr:colOff>
      <xdr:row>22</xdr:row>
      <xdr:rowOff>4912</xdr:rowOff>
    </xdr:to>
    <xdr:pic>
      <xdr:nvPicPr>
        <xdr:cNvPr id="2" name="Picture 1">
          <a:extLst>
            <a:ext uri="{FF2B5EF4-FFF2-40B4-BE49-F238E27FC236}">
              <a16:creationId xmlns:a16="http://schemas.microsoft.com/office/drawing/2014/main" id="{7C683421-1DF3-1578-D0DF-E4588E110F6B}"/>
            </a:ext>
          </a:extLst>
        </xdr:cNvPr>
        <xdr:cNvPicPr>
          <a:picLocks noChangeAspect="1"/>
        </xdr:cNvPicPr>
      </xdr:nvPicPr>
      <xdr:blipFill>
        <a:blip xmlns:r="http://schemas.openxmlformats.org/officeDocument/2006/relationships" r:embed="rId1"/>
        <a:stretch>
          <a:fillRect/>
        </a:stretch>
      </xdr:blipFill>
      <xdr:spPr>
        <a:xfrm>
          <a:off x="5238749" y="2222500"/>
          <a:ext cx="4451631" cy="2457069"/>
        </a:xfrm>
        <a:prstGeom prst="rect">
          <a:avLst/>
        </a:prstGeom>
      </xdr:spPr>
    </xdr:pic>
    <xdr:clientData/>
  </xdr:twoCellAnchor>
  <xdr:twoCellAnchor editAs="oneCell">
    <xdr:from>
      <xdr:col>5</xdr:col>
      <xdr:colOff>607392</xdr:colOff>
      <xdr:row>24</xdr:row>
      <xdr:rowOff>62120</xdr:rowOff>
    </xdr:from>
    <xdr:to>
      <xdr:col>10</xdr:col>
      <xdr:colOff>341091</xdr:colOff>
      <xdr:row>29</xdr:row>
      <xdr:rowOff>101390</xdr:rowOff>
    </xdr:to>
    <xdr:pic>
      <xdr:nvPicPr>
        <xdr:cNvPr id="3" name="Picture 2">
          <a:extLst>
            <a:ext uri="{FF2B5EF4-FFF2-40B4-BE49-F238E27FC236}">
              <a16:creationId xmlns:a16="http://schemas.microsoft.com/office/drawing/2014/main" id="{62DB2854-48AF-E06F-8B51-D0E0B4C3D509}"/>
            </a:ext>
          </a:extLst>
        </xdr:cNvPr>
        <xdr:cNvPicPr>
          <a:picLocks noChangeAspect="1"/>
        </xdr:cNvPicPr>
      </xdr:nvPicPr>
      <xdr:blipFill>
        <a:blip xmlns:r="http://schemas.openxmlformats.org/officeDocument/2006/relationships" r:embed="rId2"/>
        <a:stretch>
          <a:fillRect/>
        </a:stretch>
      </xdr:blipFill>
      <xdr:spPr>
        <a:xfrm>
          <a:off x="5031685" y="5142120"/>
          <a:ext cx="3978536" cy="1040085"/>
        </a:xfrm>
        <a:prstGeom prst="rect">
          <a:avLst/>
        </a:prstGeom>
      </xdr:spPr>
    </xdr:pic>
    <xdr:clientData/>
  </xdr:twoCellAnchor>
  <xdr:twoCellAnchor>
    <xdr:from>
      <xdr:col>4</xdr:col>
      <xdr:colOff>833783</xdr:colOff>
      <xdr:row>242</xdr:row>
      <xdr:rowOff>64053</xdr:rowOff>
    </xdr:from>
    <xdr:to>
      <xdr:col>10</xdr:col>
      <xdr:colOff>325783</xdr:colOff>
      <xdr:row>256</xdr:row>
      <xdr:rowOff>4970</xdr:rowOff>
    </xdr:to>
    <xdr:graphicFrame macro="">
      <xdr:nvGraphicFramePr>
        <xdr:cNvPr id="4" name="Chart 3">
          <a:extLst>
            <a:ext uri="{FF2B5EF4-FFF2-40B4-BE49-F238E27FC236}">
              <a16:creationId xmlns:a16="http://schemas.microsoft.com/office/drawing/2014/main" id="{9D8FAA2C-5C68-A01C-5CC3-2EEA534F7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15874</xdr:colOff>
      <xdr:row>254</xdr:row>
      <xdr:rowOff>160683</xdr:rowOff>
    </xdr:from>
    <xdr:to>
      <xdr:col>10</xdr:col>
      <xdr:colOff>343037</xdr:colOff>
      <xdr:row>268</xdr:row>
      <xdr:rowOff>101600</xdr:rowOff>
    </xdr:to>
    <xdr:graphicFrame macro="">
      <xdr:nvGraphicFramePr>
        <xdr:cNvPr id="5" name="Chart 4">
          <a:extLst>
            <a:ext uri="{FF2B5EF4-FFF2-40B4-BE49-F238E27FC236}">
              <a16:creationId xmlns:a16="http://schemas.microsoft.com/office/drawing/2014/main" id="{A06BE71D-9AD2-6FBA-7141-2E90877C1B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350770</xdr:colOff>
      <xdr:row>1</xdr:row>
      <xdr:rowOff>44450</xdr:rowOff>
    </xdr:from>
    <xdr:to>
      <xdr:col>24</xdr:col>
      <xdr:colOff>452370</xdr:colOff>
      <xdr:row>28</xdr:row>
      <xdr:rowOff>116232</xdr:rowOff>
    </xdr:to>
    <xdr:graphicFrame macro="">
      <xdr:nvGraphicFramePr>
        <xdr:cNvPr id="2" name="Chart 1">
          <a:extLst>
            <a:ext uri="{FF2B5EF4-FFF2-40B4-BE49-F238E27FC236}">
              <a16:creationId xmlns:a16="http://schemas.microsoft.com/office/drawing/2014/main" id="{D85EAFAD-AACE-4D96-9ABD-1178C9591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579783</xdr:colOff>
      <xdr:row>1</xdr:row>
      <xdr:rowOff>144946</xdr:rowOff>
    </xdr:from>
    <xdr:to>
      <xdr:col>29</xdr:col>
      <xdr:colOff>767664</xdr:colOff>
      <xdr:row>8</xdr:row>
      <xdr:rowOff>116566</xdr:rowOff>
    </xdr:to>
    <xdr:pic>
      <xdr:nvPicPr>
        <xdr:cNvPr id="3" name="Picture 2">
          <a:extLst>
            <a:ext uri="{FF2B5EF4-FFF2-40B4-BE49-F238E27FC236}">
              <a16:creationId xmlns:a16="http://schemas.microsoft.com/office/drawing/2014/main" id="{31386287-2B7A-406A-9557-2BF045F5EE43}"/>
            </a:ext>
          </a:extLst>
        </xdr:cNvPr>
        <xdr:cNvPicPr>
          <a:picLocks noChangeAspect="1"/>
        </xdr:cNvPicPr>
      </xdr:nvPicPr>
      <xdr:blipFill>
        <a:blip xmlns:r="http://schemas.openxmlformats.org/officeDocument/2006/relationships" r:embed="rId2"/>
        <a:stretch>
          <a:fillRect/>
        </a:stretch>
      </xdr:blipFill>
      <xdr:spPr>
        <a:xfrm>
          <a:off x="22049133" y="411646"/>
          <a:ext cx="4378881" cy="1771845"/>
        </a:xfrm>
        <a:prstGeom prst="rect">
          <a:avLst/>
        </a:prstGeom>
      </xdr:spPr>
    </xdr:pic>
    <xdr:clientData/>
  </xdr:twoCellAnchor>
  <xdr:twoCellAnchor editAs="oneCell">
    <xdr:from>
      <xdr:col>24</xdr:col>
      <xdr:colOff>496957</xdr:colOff>
      <xdr:row>12</xdr:row>
      <xdr:rowOff>10353</xdr:rowOff>
    </xdr:from>
    <xdr:to>
      <xdr:col>27</xdr:col>
      <xdr:colOff>333496</xdr:colOff>
      <xdr:row>18</xdr:row>
      <xdr:rowOff>1510</xdr:rowOff>
    </xdr:to>
    <xdr:pic>
      <xdr:nvPicPr>
        <xdr:cNvPr id="4" name="Picture 3">
          <a:extLst>
            <a:ext uri="{FF2B5EF4-FFF2-40B4-BE49-F238E27FC236}">
              <a16:creationId xmlns:a16="http://schemas.microsoft.com/office/drawing/2014/main" id="{5DD79775-0858-43CD-BC98-6EB25AA9DF7A}"/>
            </a:ext>
          </a:extLst>
        </xdr:cNvPr>
        <xdr:cNvPicPr>
          <a:picLocks noChangeAspect="1"/>
        </xdr:cNvPicPr>
      </xdr:nvPicPr>
      <xdr:blipFill>
        <a:blip xmlns:r="http://schemas.openxmlformats.org/officeDocument/2006/relationships" r:embed="rId3"/>
        <a:stretch>
          <a:fillRect/>
        </a:stretch>
      </xdr:blipFill>
      <xdr:spPr>
        <a:xfrm>
          <a:off x="21966307" y="2877378"/>
          <a:ext cx="2351139" cy="1191307"/>
        </a:xfrm>
        <a:prstGeom prst="rect">
          <a:avLst/>
        </a:prstGeom>
      </xdr:spPr>
    </xdr:pic>
    <xdr:clientData/>
  </xdr:twoCellAnchor>
  <xdr:twoCellAnchor editAs="oneCell">
    <xdr:from>
      <xdr:col>7</xdr:col>
      <xdr:colOff>480393</xdr:colOff>
      <xdr:row>4</xdr:row>
      <xdr:rowOff>190500</xdr:rowOff>
    </xdr:from>
    <xdr:to>
      <xdr:col>12</xdr:col>
      <xdr:colOff>526118</xdr:colOff>
      <xdr:row>8</xdr:row>
      <xdr:rowOff>60566</xdr:rowOff>
    </xdr:to>
    <xdr:pic>
      <xdr:nvPicPr>
        <xdr:cNvPr id="5" name="Picture 4">
          <a:extLst>
            <a:ext uri="{FF2B5EF4-FFF2-40B4-BE49-F238E27FC236}">
              <a16:creationId xmlns:a16="http://schemas.microsoft.com/office/drawing/2014/main" id="{1C03D575-86FC-4D4E-BBA3-F795DD355C53}"/>
            </a:ext>
          </a:extLst>
        </xdr:cNvPr>
        <xdr:cNvPicPr>
          <a:picLocks noChangeAspect="1"/>
        </xdr:cNvPicPr>
      </xdr:nvPicPr>
      <xdr:blipFill>
        <a:blip xmlns:r="http://schemas.openxmlformats.org/officeDocument/2006/relationships" r:embed="rId4"/>
        <a:stretch>
          <a:fillRect/>
        </a:stretch>
      </xdr:blipFill>
      <xdr:spPr>
        <a:xfrm>
          <a:off x="6336197" y="1449457"/>
          <a:ext cx="4228443" cy="6651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youtube.com/watch?v=3gcLRU24-w0" TargetMode="External"/><Relationship Id="rId2" Type="http://schemas.openxmlformats.org/officeDocument/2006/relationships/hyperlink" Target="https://otexts.com/fpp2/holt-winters.html" TargetMode="External"/><Relationship Id="rId1" Type="http://schemas.openxmlformats.org/officeDocument/2006/relationships/hyperlink" Target="https://www.youtube.com/watch?v=VLlGO_fCdX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25"/>
  <sheetViews>
    <sheetView showGridLines="0" topLeftCell="A13" zoomScale="82" zoomScaleNormal="99" zoomScalePageLayoutView="111" workbookViewId="0">
      <selection activeCell="B15" sqref="B15"/>
    </sheetView>
  </sheetViews>
  <sheetFormatPr defaultColWidth="10.875" defaultRowHeight="28.5"/>
  <cols>
    <col min="1" max="1" width="5.5" style="1" customWidth="1"/>
    <col min="2" max="2" width="176.375" style="5" customWidth="1"/>
    <col min="3" max="16384" width="10.875" style="1"/>
  </cols>
  <sheetData>
    <row r="1" spans="2:4" ht="46.5">
      <c r="B1" s="6" t="s">
        <v>31</v>
      </c>
    </row>
    <row r="2" spans="2:4" s="8" customFormat="1" ht="31.5">
      <c r="B2" s="7" t="s">
        <v>30</v>
      </c>
    </row>
    <row r="3" spans="2:4">
      <c r="B3" s="20" t="s">
        <v>20</v>
      </c>
    </row>
    <row r="4" spans="2:4">
      <c r="B4" s="4" t="s">
        <v>0</v>
      </c>
    </row>
    <row r="5" spans="2:4" ht="114">
      <c r="B5" s="4" t="s">
        <v>29</v>
      </c>
    </row>
    <row r="6" spans="2:4">
      <c r="B6" s="4" t="s">
        <v>28</v>
      </c>
    </row>
    <row r="7" spans="2:4">
      <c r="B7" s="4"/>
      <c r="D7" s="2"/>
    </row>
    <row r="8" spans="2:4">
      <c r="B8" s="3" t="s">
        <v>21</v>
      </c>
    </row>
    <row r="9" spans="2:4" s="4" customFormat="1" ht="69" customHeight="1">
      <c r="B9" s="4" t="s">
        <v>14</v>
      </c>
    </row>
    <row r="10" spans="2:4" s="15" customFormat="1" ht="32.1" customHeight="1">
      <c r="B10" s="22" t="s">
        <v>15</v>
      </c>
    </row>
    <row r="11" spans="2:4" s="19" customFormat="1" ht="204" customHeight="1">
      <c r="B11" s="4" t="s">
        <v>26</v>
      </c>
    </row>
    <row r="13" spans="2:4">
      <c r="B13" s="3" t="s">
        <v>23</v>
      </c>
    </row>
    <row r="14" spans="2:4" ht="81">
      <c r="B14" s="16" t="s">
        <v>7</v>
      </c>
    </row>
    <row r="15" spans="2:4">
      <c r="B15" s="10" t="s">
        <v>8</v>
      </c>
    </row>
    <row r="16" spans="2:4" ht="27">
      <c r="B16" s="12" t="s">
        <v>9</v>
      </c>
    </row>
    <row r="17" spans="2:2">
      <c r="B17" s="17" t="s">
        <v>13</v>
      </c>
    </row>
    <row r="18" spans="2:2" ht="85.5">
      <c r="B18" s="11" t="s">
        <v>27</v>
      </c>
    </row>
    <row r="19" spans="2:2">
      <c r="B19" s="11"/>
    </row>
    <row r="20" spans="2:2">
      <c r="B20" s="14" t="s">
        <v>32</v>
      </c>
    </row>
    <row r="21" spans="2:2">
      <c r="B21" s="11" t="s">
        <v>11</v>
      </c>
    </row>
    <row r="22" spans="2:2" ht="27.75">
      <c r="B22" s="12" t="s">
        <v>12</v>
      </c>
    </row>
    <row r="23" spans="2:2" ht="27.75">
      <c r="B23" s="12" t="s">
        <v>16</v>
      </c>
    </row>
    <row r="24" spans="2:2">
      <c r="B24" s="5" t="s">
        <v>19</v>
      </c>
    </row>
    <row r="25" spans="2:2" ht="21">
      <c r="B25" s="21" t="s">
        <v>24</v>
      </c>
    </row>
  </sheetData>
  <phoneticPr fontId="10" type="noConversion"/>
  <hyperlinks>
    <hyperlink ref="B15" r:id="rId1" display="Watch the following 12 minute video: https://www.youtube.com/watch?v=VLlGO_fCdX0" xr:uid="{6F0698BD-9230-9B4A-BC50-8E4E5E4BE962}"/>
    <hyperlink ref="B17" r:id="rId2" xr:uid="{8E1EFF98-A80C-524C-A4F7-91B898D1F4D1}"/>
    <hyperlink ref="B10" r:id="rId3" xr:uid="{E2C740A3-E0EE-FC48-A23A-C0DFAA2D49FF}"/>
  </hyperlinks>
  <pageMargins left="0.75" right="0.75" top="1" bottom="1" header="0.5" footer="0.5"/>
  <pageSetup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1088B-B98E-3A45-AABB-8C11F9DE74CE}">
  <dimension ref="A1:M1290"/>
  <sheetViews>
    <sheetView zoomScale="82" workbookViewId="0">
      <selection activeCell="L258" sqref="L258"/>
    </sheetView>
  </sheetViews>
  <sheetFormatPr defaultColWidth="11" defaultRowHeight="15.75"/>
  <cols>
    <col min="1" max="1" width="9.125" customWidth="1"/>
    <col min="3" max="3" width="16" bestFit="1" customWidth="1"/>
    <col min="4" max="4" width="14.375" bestFit="1" customWidth="1"/>
    <col min="10" max="10" width="11.875" bestFit="1" customWidth="1"/>
    <col min="13" max="13" width="18.125" customWidth="1"/>
  </cols>
  <sheetData>
    <row r="1" spans="1:7" ht="21">
      <c r="A1" s="13" t="s">
        <v>1</v>
      </c>
    </row>
    <row r="2" spans="1:7" ht="32.25" customHeight="1">
      <c r="A2" t="s">
        <v>22</v>
      </c>
      <c r="B2" t="s">
        <v>10</v>
      </c>
      <c r="C2" t="s">
        <v>18</v>
      </c>
      <c r="D2" s="23" t="s">
        <v>33</v>
      </c>
    </row>
    <row r="3" spans="1:7">
      <c r="B3" s="18">
        <v>43409</v>
      </c>
      <c r="C3">
        <v>81.423896999999997</v>
      </c>
      <c r="E3" t="s">
        <v>34</v>
      </c>
      <c r="F3" t="s">
        <v>35</v>
      </c>
      <c r="G3" t="s">
        <v>36</v>
      </c>
    </row>
    <row r="4" spans="1:7">
      <c r="B4" s="18">
        <v>43416</v>
      </c>
      <c r="C4">
        <v>82.666274999999999</v>
      </c>
      <c r="D4">
        <f t="shared" ref="D4:D66" si="0">LN(C4/C3)</f>
        <v>1.514291472004326E-2</v>
      </c>
      <c r="E4">
        <f>AVERAGE(D4:D263)</f>
        <v>2.2763525098288134E-3</v>
      </c>
      <c r="F4">
        <f>_xlfn.VAR.S(D4:D263)</f>
        <v>7.4320289854833013E-4</v>
      </c>
      <c r="G4">
        <f>_xlfn.STDEV.S(D4:D263)</f>
        <v>2.7261747899728111E-2</v>
      </c>
    </row>
    <row r="5" spans="1:7">
      <c r="B5" s="18">
        <v>43423</v>
      </c>
      <c r="C5">
        <v>80.657325999999998</v>
      </c>
      <c r="D5">
        <f t="shared" si="0"/>
        <v>-2.4602082186847764E-2</v>
      </c>
      <c r="E5" t="s">
        <v>37</v>
      </c>
    </row>
    <row r="6" spans="1:7">
      <c r="B6" s="18">
        <v>43430</v>
      </c>
      <c r="C6">
        <v>83.274238999999994</v>
      </c>
      <c r="D6">
        <f t="shared" si="0"/>
        <v>3.1929608245535195E-2</v>
      </c>
      <c r="E6">
        <f>E4-(F4/2)</f>
        <v>1.9047510605546484E-3</v>
      </c>
    </row>
    <row r="7" spans="1:7">
      <c r="B7" s="18">
        <v>43437</v>
      </c>
      <c r="C7">
        <v>81.459129000000004</v>
      </c>
      <c r="D7">
        <f t="shared" si="0"/>
        <v>-2.2037835842357873E-2</v>
      </c>
    </row>
    <row r="8" spans="1:7">
      <c r="B8" s="18">
        <v>43444</v>
      </c>
      <c r="C8">
        <v>85.151015999999998</v>
      </c>
      <c r="D8">
        <f t="shared" si="0"/>
        <v>4.4324929123669539E-2</v>
      </c>
    </row>
    <row r="9" spans="1:7">
      <c r="B9" s="18">
        <v>43451</v>
      </c>
      <c r="C9">
        <v>80.155097999999995</v>
      </c>
      <c r="D9">
        <f t="shared" si="0"/>
        <v>-6.046285615038037E-2</v>
      </c>
    </row>
    <row r="10" spans="1:7">
      <c r="B10" s="18">
        <v>43458</v>
      </c>
      <c r="C10">
        <v>80.340110999999993</v>
      </c>
      <c r="D10">
        <f t="shared" si="0"/>
        <v>2.3055277862206597E-3</v>
      </c>
    </row>
    <row r="11" spans="1:7">
      <c r="B11" s="18">
        <v>43465</v>
      </c>
      <c r="C11">
        <v>81.494384999999994</v>
      </c>
      <c r="D11">
        <f t="shared" si="0"/>
        <v>1.4265111609615001E-2</v>
      </c>
    </row>
    <row r="12" spans="1:7">
      <c r="B12" s="18">
        <v>43472</v>
      </c>
      <c r="C12">
        <v>80.859970000000004</v>
      </c>
      <c r="D12">
        <f t="shared" si="0"/>
        <v>-7.8152289669463377E-3</v>
      </c>
    </row>
    <row r="13" spans="1:7">
      <c r="B13" s="18">
        <v>43479</v>
      </c>
      <c r="C13">
        <v>80.551558999999997</v>
      </c>
      <c r="D13">
        <f t="shared" si="0"/>
        <v>-3.8214293270052678E-3</v>
      </c>
    </row>
    <row r="14" spans="1:7">
      <c r="B14" s="18">
        <v>43486</v>
      </c>
      <c r="C14">
        <v>83.124709999999993</v>
      </c>
      <c r="D14">
        <f t="shared" si="0"/>
        <v>3.1444546374202159E-2</v>
      </c>
    </row>
    <row r="15" spans="1:7">
      <c r="B15" s="18">
        <v>43493</v>
      </c>
      <c r="C15">
        <v>86.561599999999999</v>
      </c>
      <c r="D15">
        <f t="shared" si="0"/>
        <v>4.0514288967565926E-2</v>
      </c>
    </row>
    <row r="16" spans="1:7">
      <c r="B16" s="18">
        <v>43500</v>
      </c>
      <c r="C16">
        <v>86.774733999999995</v>
      </c>
      <c r="D16">
        <f t="shared" si="0"/>
        <v>2.4591971284371396E-3</v>
      </c>
    </row>
    <row r="17" spans="2:4">
      <c r="B17" s="18">
        <v>43507</v>
      </c>
      <c r="C17">
        <v>87.458572000000004</v>
      </c>
      <c r="D17">
        <f t="shared" si="0"/>
        <v>7.8497220433654778E-3</v>
      </c>
    </row>
    <row r="18" spans="2:4">
      <c r="B18" s="18">
        <v>43514</v>
      </c>
      <c r="C18">
        <v>89.030486999999994</v>
      </c>
      <c r="D18">
        <f t="shared" si="0"/>
        <v>1.781364324939224E-2</v>
      </c>
    </row>
    <row r="19" spans="2:4">
      <c r="B19" s="18">
        <v>43521</v>
      </c>
      <c r="C19">
        <v>87.423064999999994</v>
      </c>
      <c r="D19">
        <f t="shared" si="0"/>
        <v>-1.8219712189470941E-2</v>
      </c>
    </row>
    <row r="20" spans="2:4">
      <c r="B20" s="18">
        <v>43528</v>
      </c>
      <c r="C20">
        <v>87.396393000000003</v>
      </c>
      <c r="D20">
        <f t="shared" si="0"/>
        <v>-3.0513766044209406E-4</v>
      </c>
    </row>
    <row r="21" spans="2:4">
      <c r="B21" s="18">
        <v>43535</v>
      </c>
      <c r="C21">
        <v>90.975395000000006</v>
      </c>
      <c r="D21">
        <f t="shared" si="0"/>
        <v>4.0135073553979286E-2</v>
      </c>
    </row>
    <row r="22" spans="2:4">
      <c r="B22" s="18">
        <v>43542</v>
      </c>
      <c r="C22">
        <v>90.282677000000007</v>
      </c>
      <c r="D22">
        <f t="shared" si="0"/>
        <v>-7.6434816380607437E-3</v>
      </c>
    </row>
    <row r="23" spans="2:4">
      <c r="B23" s="18">
        <v>43549</v>
      </c>
      <c r="C23">
        <v>92.405212000000006</v>
      </c>
      <c r="D23">
        <f t="shared" si="0"/>
        <v>2.3237780280340393E-2</v>
      </c>
    </row>
    <row r="24" spans="2:4">
      <c r="B24" s="18">
        <v>43556</v>
      </c>
      <c r="C24">
        <v>92.049980000000005</v>
      </c>
      <c r="D24">
        <f t="shared" si="0"/>
        <v>-3.851693577392339E-3</v>
      </c>
    </row>
    <row r="25" spans="2:4">
      <c r="B25" s="18">
        <v>43563</v>
      </c>
      <c r="C25">
        <v>93.302147000000005</v>
      </c>
      <c r="D25">
        <f t="shared" si="0"/>
        <v>1.3511428972613761E-2</v>
      </c>
    </row>
    <row r="26" spans="2:4">
      <c r="B26" s="18">
        <v>43570</v>
      </c>
      <c r="C26">
        <v>94.181374000000005</v>
      </c>
      <c r="D26">
        <f t="shared" si="0"/>
        <v>9.379314415264255E-3</v>
      </c>
    </row>
    <row r="27" spans="2:4">
      <c r="B27" s="18">
        <v>43577</v>
      </c>
      <c r="C27">
        <v>94.676322999999996</v>
      </c>
      <c r="D27">
        <f t="shared" si="0"/>
        <v>5.2415140184973947E-3</v>
      </c>
    </row>
    <row r="28" spans="2:4">
      <c r="B28" s="18">
        <v>43584</v>
      </c>
      <c r="C28">
        <v>94.873062000000004</v>
      </c>
      <c r="D28">
        <f t="shared" si="0"/>
        <v>2.0758608174745829E-3</v>
      </c>
    </row>
    <row r="29" spans="2:4">
      <c r="B29" s="18">
        <v>43591</v>
      </c>
      <c r="C29">
        <v>94.810471000000007</v>
      </c>
      <c r="D29">
        <f t="shared" si="0"/>
        <v>-6.599518817663497E-4</v>
      </c>
    </row>
    <row r="30" spans="2:4">
      <c r="B30" s="18">
        <v>43598</v>
      </c>
      <c r="C30">
        <v>96.098335000000006</v>
      </c>
      <c r="D30">
        <f t="shared" si="0"/>
        <v>1.3492133375835966E-2</v>
      </c>
    </row>
    <row r="31" spans="2:4">
      <c r="B31" s="18">
        <v>43605</v>
      </c>
      <c r="C31">
        <v>95.418633</v>
      </c>
      <c r="D31">
        <f t="shared" si="0"/>
        <v>-7.0981162754991224E-3</v>
      </c>
    </row>
    <row r="32" spans="2:4">
      <c r="B32" s="18">
        <v>43612</v>
      </c>
      <c r="C32">
        <v>92.037964000000002</v>
      </c>
      <c r="D32">
        <f t="shared" si="0"/>
        <v>-3.6072729742802505E-2</v>
      </c>
    </row>
    <row r="33" spans="2:4">
      <c r="B33" s="18">
        <v>43619</v>
      </c>
      <c r="C33">
        <v>97.278885000000002</v>
      </c>
      <c r="D33">
        <f t="shared" si="0"/>
        <v>5.5380812286841836E-2</v>
      </c>
    </row>
    <row r="34" spans="2:4">
      <c r="B34" s="18">
        <v>43626</v>
      </c>
      <c r="C34">
        <v>99.452171000000007</v>
      </c>
      <c r="D34">
        <f t="shared" si="0"/>
        <v>2.2094878734766295E-2</v>
      </c>
    </row>
    <row r="35" spans="2:4">
      <c r="B35" s="18">
        <v>43633</v>
      </c>
      <c r="C35">
        <v>99.452171000000007</v>
      </c>
      <c r="D35">
        <f t="shared" si="0"/>
        <v>0</v>
      </c>
    </row>
    <row r="36" spans="2:4">
      <c r="B36" s="18">
        <v>43640</v>
      </c>
      <c r="C36">
        <v>98.065933000000001</v>
      </c>
      <c r="D36">
        <f t="shared" si="0"/>
        <v>-1.4036796961060546E-2</v>
      </c>
    </row>
    <row r="37" spans="2:4">
      <c r="B37" s="18">
        <v>43647</v>
      </c>
      <c r="C37">
        <v>101.196144</v>
      </c>
      <c r="D37">
        <f t="shared" si="0"/>
        <v>3.1420615194630117E-2</v>
      </c>
    </row>
    <row r="38" spans="2:4">
      <c r="B38" s="18">
        <v>43654</v>
      </c>
      <c r="C38">
        <v>102.84176600000001</v>
      </c>
      <c r="D38">
        <f t="shared" si="0"/>
        <v>1.613090119610399E-2</v>
      </c>
    </row>
    <row r="39" spans="2:4">
      <c r="B39" s="18">
        <v>43661</v>
      </c>
      <c r="C39">
        <v>102.859657</v>
      </c>
      <c r="D39">
        <f t="shared" si="0"/>
        <v>1.7395115487456843E-4</v>
      </c>
    </row>
    <row r="40" spans="2:4">
      <c r="B40" s="18">
        <v>43668</v>
      </c>
      <c r="C40">
        <v>103.27375000000001</v>
      </c>
      <c r="D40">
        <f t="shared" si="0"/>
        <v>4.0177238910876246E-3</v>
      </c>
    </row>
    <row r="41" spans="2:4">
      <c r="B41" s="18">
        <v>43675</v>
      </c>
      <c r="C41">
        <v>104.812988</v>
      </c>
      <c r="D41">
        <f t="shared" si="0"/>
        <v>1.4794465903098743E-2</v>
      </c>
    </row>
    <row r="42" spans="2:4">
      <c r="B42" s="18">
        <v>43682</v>
      </c>
      <c r="C42">
        <v>105.119034</v>
      </c>
      <c r="D42">
        <f t="shared" si="0"/>
        <v>2.9156696905567984E-3</v>
      </c>
    </row>
    <row r="43" spans="2:4">
      <c r="B43" s="18">
        <v>43689</v>
      </c>
      <c r="C43">
        <v>107.27939600000001</v>
      </c>
      <c r="D43">
        <f t="shared" si="0"/>
        <v>2.0343243634443096E-2</v>
      </c>
    </row>
    <row r="44" spans="2:4">
      <c r="B44" s="18">
        <v>43696</v>
      </c>
      <c r="C44">
        <v>105.605118</v>
      </c>
      <c r="D44">
        <f t="shared" si="0"/>
        <v>-1.5729772823985022E-2</v>
      </c>
    </row>
    <row r="45" spans="2:4">
      <c r="B45" s="18">
        <v>43703</v>
      </c>
      <c r="C45">
        <v>108.224564</v>
      </c>
      <c r="D45">
        <f t="shared" si="0"/>
        <v>2.4501528669082714E-2</v>
      </c>
    </row>
    <row r="46" spans="2:4">
      <c r="B46" s="18">
        <v>43710</v>
      </c>
      <c r="C46">
        <v>110.60092899999999</v>
      </c>
      <c r="D46">
        <f t="shared" si="0"/>
        <v>2.1720124015393239E-2</v>
      </c>
    </row>
    <row r="47" spans="2:4">
      <c r="B47" s="18">
        <v>43717</v>
      </c>
      <c r="C47">
        <v>109.92581199999999</v>
      </c>
      <c r="D47">
        <f t="shared" si="0"/>
        <v>-6.1227867970292801E-3</v>
      </c>
    </row>
    <row r="48" spans="2:4">
      <c r="B48" s="18">
        <v>43724</v>
      </c>
      <c r="C48">
        <v>110.033829</v>
      </c>
      <c r="D48">
        <f t="shared" si="0"/>
        <v>9.8215298217366491E-4</v>
      </c>
    </row>
    <row r="49" spans="2:4">
      <c r="B49" s="18">
        <v>43731</v>
      </c>
      <c r="C49">
        <v>112.131165</v>
      </c>
      <c r="D49">
        <f t="shared" si="0"/>
        <v>1.8881447268588869E-2</v>
      </c>
    </row>
    <row r="50" spans="2:4">
      <c r="B50" s="18">
        <v>43738</v>
      </c>
      <c r="C50">
        <v>111.618088</v>
      </c>
      <c r="D50">
        <f t="shared" si="0"/>
        <v>-4.586186478128162E-3</v>
      </c>
    </row>
    <row r="51" spans="2:4">
      <c r="B51" s="18">
        <v>43745</v>
      </c>
      <c r="C51">
        <v>108.99865</v>
      </c>
      <c r="D51">
        <f t="shared" si="0"/>
        <v>-2.3747618835554925E-2</v>
      </c>
    </row>
    <row r="52" spans="2:4">
      <c r="B52" s="18">
        <v>43752</v>
      </c>
      <c r="C52">
        <v>105.740143</v>
      </c>
      <c r="D52">
        <f t="shared" si="0"/>
        <v>-3.0350893651207383E-2</v>
      </c>
    </row>
    <row r="53" spans="2:4">
      <c r="B53" s="18">
        <v>43759</v>
      </c>
      <c r="C53">
        <v>111.65164900000001</v>
      </c>
      <c r="D53">
        <f t="shared" si="0"/>
        <v>5.4399144365526654E-2</v>
      </c>
    </row>
    <row r="54" spans="2:4">
      <c r="B54" s="18">
        <v>43766</v>
      </c>
      <c r="C54">
        <v>112.21333300000001</v>
      </c>
      <c r="D54">
        <f t="shared" si="0"/>
        <v>5.018070924985016E-3</v>
      </c>
    </row>
    <row r="55" spans="2:4">
      <c r="B55" s="18">
        <v>43773</v>
      </c>
      <c r="C55">
        <v>108.435738</v>
      </c>
      <c r="D55">
        <f t="shared" si="0"/>
        <v>-3.4244097452840801E-2</v>
      </c>
    </row>
    <row r="56" spans="2:4">
      <c r="B56" s="18">
        <v>43780</v>
      </c>
      <c r="C56">
        <v>109.196701</v>
      </c>
      <c r="D56">
        <f t="shared" si="0"/>
        <v>6.9931312139365374E-3</v>
      </c>
    </row>
    <row r="57" spans="2:4">
      <c r="B57" s="18">
        <v>43787</v>
      </c>
      <c r="C57">
        <v>108.970215</v>
      </c>
      <c r="D57">
        <f t="shared" si="0"/>
        <v>-2.0762642247984255E-3</v>
      </c>
    </row>
    <row r="58" spans="2:4">
      <c r="B58" s="18">
        <v>43794</v>
      </c>
      <c r="C58">
        <v>110.57364699999999</v>
      </c>
      <c r="D58">
        <f t="shared" si="0"/>
        <v>1.4607199633696276E-2</v>
      </c>
    </row>
    <row r="59" spans="2:4">
      <c r="B59" s="18">
        <v>43801</v>
      </c>
      <c r="C59">
        <v>112.50322</v>
      </c>
      <c r="D59">
        <f t="shared" si="0"/>
        <v>1.7300055816447297E-2</v>
      </c>
    </row>
    <row r="60" spans="2:4">
      <c r="B60" s="18">
        <v>43808</v>
      </c>
      <c r="C60">
        <v>113.66275</v>
      </c>
      <c r="D60">
        <f t="shared" si="0"/>
        <v>1.0253887086639647E-2</v>
      </c>
    </row>
    <row r="61" spans="2:4">
      <c r="B61" s="18">
        <v>43815</v>
      </c>
      <c r="C61">
        <v>113.563103</v>
      </c>
      <c r="D61">
        <f t="shared" si="0"/>
        <v>-8.7707455003262788E-4</v>
      </c>
    </row>
    <row r="62" spans="2:4">
      <c r="B62" s="18">
        <v>43822</v>
      </c>
      <c r="C62">
        <v>114.224419</v>
      </c>
      <c r="D62">
        <f t="shared" si="0"/>
        <v>5.8064449905252166E-3</v>
      </c>
    </row>
    <row r="63" spans="2:4">
      <c r="B63" s="18">
        <v>43829</v>
      </c>
      <c r="C63">
        <v>111.044708</v>
      </c>
      <c r="D63">
        <f t="shared" si="0"/>
        <v>-2.8232205989098307E-2</v>
      </c>
    </row>
    <row r="64" spans="2:4">
      <c r="B64" s="18">
        <v>43836</v>
      </c>
      <c r="C64">
        <v>112.303909</v>
      </c>
      <c r="D64">
        <f t="shared" si="0"/>
        <v>1.127577469200171E-2</v>
      </c>
    </row>
    <row r="65" spans="2:4">
      <c r="B65" s="18">
        <v>43843</v>
      </c>
      <c r="C65">
        <v>114.514313</v>
      </c>
      <c r="D65">
        <f t="shared" si="0"/>
        <v>1.9491149861586884E-2</v>
      </c>
    </row>
    <row r="66" spans="2:4">
      <c r="B66" s="18">
        <v>43850</v>
      </c>
      <c r="C66">
        <v>113.363792</v>
      </c>
      <c r="D66">
        <f t="shared" si="0"/>
        <v>-1.0097773773040421E-2</v>
      </c>
    </row>
    <row r="67" spans="2:4">
      <c r="B67" s="18">
        <v>43857</v>
      </c>
      <c r="C67">
        <v>113.56345399999999</v>
      </c>
      <c r="D67">
        <f t="shared" ref="D67:D130" si="1">LN(C67/C66)</f>
        <v>1.7597010058623451E-3</v>
      </c>
    </row>
    <row r="68" spans="2:4">
      <c r="B68" s="18">
        <v>43864</v>
      </c>
      <c r="C68">
        <v>114.893929</v>
      </c>
      <c r="D68">
        <f t="shared" si="1"/>
        <v>1.1647599427457099E-2</v>
      </c>
    </row>
    <row r="69" spans="2:4">
      <c r="B69" s="18">
        <v>43871</v>
      </c>
      <c r="C69">
        <v>114.948601</v>
      </c>
      <c r="D69">
        <f t="shared" si="1"/>
        <v>4.7573441722135855E-4</v>
      </c>
    </row>
    <row r="70" spans="2:4">
      <c r="B70" s="18">
        <v>43878</v>
      </c>
      <c r="C70">
        <v>115.458916</v>
      </c>
      <c r="D70">
        <f t="shared" si="1"/>
        <v>4.429680429677306E-3</v>
      </c>
    </row>
    <row r="71" spans="2:4">
      <c r="B71" s="18">
        <v>43885</v>
      </c>
      <c r="C71">
        <v>103.184006</v>
      </c>
      <c r="D71">
        <f t="shared" si="1"/>
        <v>-0.11240090063931973</v>
      </c>
    </row>
    <row r="72" spans="2:4">
      <c r="B72" s="18">
        <v>43892</v>
      </c>
      <c r="C72">
        <v>110.86608099999999</v>
      </c>
      <c r="D72">
        <f t="shared" si="1"/>
        <v>7.1809135038426591E-2</v>
      </c>
    </row>
    <row r="73" spans="2:4">
      <c r="B73" s="18">
        <v>43899</v>
      </c>
      <c r="C73">
        <v>103.949471</v>
      </c>
      <c r="D73">
        <f t="shared" si="1"/>
        <v>-6.4418070149012532E-2</v>
      </c>
    </row>
    <row r="74" spans="2:4">
      <c r="B74" s="18">
        <v>43906</v>
      </c>
      <c r="C74">
        <v>93.342208999999997</v>
      </c>
      <c r="D74">
        <f t="shared" si="1"/>
        <v>-0.10763251889765144</v>
      </c>
    </row>
    <row r="75" spans="2:4">
      <c r="B75" s="18">
        <v>43913</v>
      </c>
      <c r="C75">
        <v>100.39550800000001</v>
      </c>
      <c r="D75">
        <f t="shared" si="1"/>
        <v>7.2845058812529728E-2</v>
      </c>
    </row>
    <row r="76" spans="2:4">
      <c r="B76" s="18">
        <v>43920</v>
      </c>
      <c r="C76">
        <v>104.86985799999999</v>
      </c>
      <c r="D76">
        <f t="shared" si="1"/>
        <v>4.3602668567130319E-2</v>
      </c>
    </row>
    <row r="77" spans="2:4">
      <c r="B77" s="18">
        <v>43927</v>
      </c>
      <c r="C77">
        <v>104.487122</v>
      </c>
      <c r="D77">
        <f t="shared" si="1"/>
        <v>-3.6563044268763168E-3</v>
      </c>
    </row>
    <row r="78" spans="2:4">
      <c r="B78" s="18">
        <v>43934</v>
      </c>
      <c r="C78">
        <v>113.627251</v>
      </c>
      <c r="D78">
        <f t="shared" si="1"/>
        <v>8.3859533721373794E-2</v>
      </c>
    </row>
    <row r="79" spans="2:4">
      <c r="B79" s="18">
        <v>43941</v>
      </c>
      <c r="C79">
        <v>108.24160000000001</v>
      </c>
      <c r="D79">
        <f t="shared" si="1"/>
        <v>-4.8557597363208166E-2</v>
      </c>
    </row>
    <row r="80" spans="2:4">
      <c r="B80" s="18">
        <v>43948</v>
      </c>
      <c r="C80">
        <v>107.165443</v>
      </c>
      <c r="D80">
        <f t="shared" si="1"/>
        <v>-9.9919291263848783E-3</v>
      </c>
    </row>
    <row r="81" spans="2:4">
      <c r="B81" s="18">
        <v>43955</v>
      </c>
      <c r="C81">
        <v>106.36734800000001</v>
      </c>
      <c r="D81">
        <f t="shared" si="1"/>
        <v>-7.4751864818116956E-3</v>
      </c>
    </row>
    <row r="82" spans="2:4">
      <c r="B82" s="18">
        <v>43962</v>
      </c>
      <c r="C82">
        <v>105.138092</v>
      </c>
      <c r="D82">
        <f t="shared" si="1"/>
        <v>-1.1624002116708132E-2</v>
      </c>
    </row>
    <row r="83" spans="2:4">
      <c r="B83" s="18">
        <v>43969</v>
      </c>
      <c r="C83">
        <v>103.29420500000001</v>
      </c>
      <c r="D83">
        <f t="shared" si="1"/>
        <v>-1.7693372183907076E-2</v>
      </c>
    </row>
    <row r="84" spans="2:4">
      <c r="B84" s="18">
        <v>43976</v>
      </c>
      <c r="C84">
        <v>106.33981300000001</v>
      </c>
      <c r="D84">
        <f t="shared" si="1"/>
        <v>2.9058473753737959E-2</v>
      </c>
    </row>
    <row r="85" spans="2:4">
      <c r="B85" s="18">
        <v>43983</v>
      </c>
      <c r="C85">
        <v>108.55064400000001</v>
      </c>
      <c r="D85">
        <f t="shared" si="1"/>
        <v>2.0577079492378886E-2</v>
      </c>
    </row>
    <row r="86" spans="2:4">
      <c r="B86" s="18">
        <v>43990</v>
      </c>
      <c r="C86">
        <v>106.06461299999999</v>
      </c>
      <c r="D86">
        <f t="shared" si="1"/>
        <v>-2.316836404491196E-2</v>
      </c>
    </row>
    <row r="87" spans="2:4">
      <c r="B87" s="18">
        <v>43997</v>
      </c>
      <c r="C87">
        <v>109.09189600000001</v>
      </c>
      <c r="D87">
        <f t="shared" si="1"/>
        <v>2.814214459179196E-2</v>
      </c>
    </row>
    <row r="88" spans="2:4">
      <c r="B88" s="18">
        <v>44004</v>
      </c>
      <c r="C88">
        <v>105.70684799999999</v>
      </c>
      <c r="D88">
        <f t="shared" si="1"/>
        <v>-3.1520931692474413E-2</v>
      </c>
    </row>
    <row r="89" spans="2:4">
      <c r="B89" s="18">
        <v>44011</v>
      </c>
      <c r="C89">
        <v>110.8899</v>
      </c>
      <c r="D89">
        <f t="shared" si="1"/>
        <v>4.7868139259154063E-2</v>
      </c>
    </row>
    <row r="90" spans="2:4">
      <c r="B90" s="18">
        <v>44018</v>
      </c>
      <c r="C90">
        <v>113.651146</v>
      </c>
      <c r="D90">
        <f t="shared" si="1"/>
        <v>2.4595816667535596E-2</v>
      </c>
    </row>
    <row r="91" spans="2:4">
      <c r="B91" s="18">
        <v>44025</v>
      </c>
      <c r="C91">
        <v>115.247337</v>
      </c>
      <c r="D91">
        <f t="shared" si="1"/>
        <v>1.3946941481448672E-2</v>
      </c>
    </row>
    <row r="92" spans="2:4">
      <c r="B92" s="18">
        <v>44032</v>
      </c>
      <c r="C92">
        <v>115.550079</v>
      </c>
      <c r="D92">
        <f t="shared" si="1"/>
        <v>2.6234450877407707E-3</v>
      </c>
    </row>
    <row r="93" spans="2:4">
      <c r="B93" s="18">
        <v>44039</v>
      </c>
      <c r="C93">
        <v>121.042664</v>
      </c>
      <c r="D93">
        <f t="shared" si="1"/>
        <v>4.6439058084168101E-2</v>
      </c>
    </row>
    <row r="94" spans="2:4">
      <c r="B94" s="18">
        <v>44046</v>
      </c>
      <c r="C94">
        <v>123.28594200000001</v>
      </c>
      <c r="D94">
        <f t="shared" si="1"/>
        <v>1.8363310580560226E-2</v>
      </c>
    </row>
    <row r="95" spans="2:4">
      <c r="B95" s="18">
        <v>44053</v>
      </c>
      <c r="C95">
        <v>124.71678900000001</v>
      </c>
      <c r="D95">
        <f t="shared" si="1"/>
        <v>1.153908967619406E-2</v>
      </c>
    </row>
    <row r="96" spans="2:4">
      <c r="B96" s="18">
        <v>44060</v>
      </c>
      <c r="C96">
        <v>126.876938</v>
      </c>
      <c r="D96">
        <f t="shared" si="1"/>
        <v>1.7172145808445144E-2</v>
      </c>
    </row>
    <row r="97" spans="2:4">
      <c r="B97" s="18">
        <v>44067</v>
      </c>
      <c r="C97">
        <v>128.10470599999999</v>
      </c>
      <c r="D97">
        <f t="shared" si="1"/>
        <v>9.6303205959428692E-3</v>
      </c>
    </row>
    <row r="98" spans="2:4">
      <c r="B98" s="18">
        <v>44074</v>
      </c>
      <c r="C98">
        <v>127.356987</v>
      </c>
      <c r="D98">
        <f t="shared" si="1"/>
        <v>-5.8538806851949291E-3</v>
      </c>
    </row>
    <row r="99" spans="2:4">
      <c r="B99" s="18">
        <v>44081</v>
      </c>
      <c r="C99">
        <v>127.523132</v>
      </c>
      <c r="D99">
        <f t="shared" si="1"/>
        <v>1.3037111265044529E-3</v>
      </c>
    </row>
    <row r="100" spans="2:4">
      <c r="B100" s="18">
        <v>44088</v>
      </c>
      <c r="C100">
        <v>126.812309</v>
      </c>
      <c r="D100">
        <f t="shared" si="1"/>
        <v>-5.5896641692626215E-3</v>
      </c>
    </row>
    <row r="101" spans="2:4">
      <c r="B101" s="18">
        <v>44095</v>
      </c>
      <c r="C101">
        <v>127.043098</v>
      </c>
      <c r="D101">
        <f t="shared" si="1"/>
        <v>1.818271797413677E-3</v>
      </c>
    </row>
    <row r="102" spans="2:4">
      <c r="B102" s="18">
        <v>44102</v>
      </c>
      <c r="C102">
        <v>127.504677</v>
      </c>
      <c r="D102">
        <f t="shared" si="1"/>
        <v>3.6266630569983375E-3</v>
      </c>
    </row>
    <row r="103" spans="2:4">
      <c r="B103" s="18">
        <v>44109</v>
      </c>
      <c r="C103">
        <v>131.93573000000001</v>
      </c>
      <c r="D103">
        <f t="shared" si="1"/>
        <v>3.4161863796992514E-2</v>
      </c>
    </row>
    <row r="104" spans="2:4">
      <c r="B104" s="18">
        <v>44116</v>
      </c>
      <c r="C104">
        <v>133.292801</v>
      </c>
      <c r="D104">
        <f t="shared" si="1"/>
        <v>1.023330964915257E-2</v>
      </c>
    </row>
    <row r="105" spans="2:4">
      <c r="B105" s="18">
        <v>44123</v>
      </c>
      <c r="C105">
        <v>131.437286</v>
      </c>
      <c r="D105">
        <f t="shared" si="1"/>
        <v>-1.401839441345446E-2</v>
      </c>
    </row>
    <row r="106" spans="2:4">
      <c r="B106" s="18">
        <v>44130</v>
      </c>
      <c r="C106">
        <v>127.265823</v>
      </c>
      <c r="D106">
        <f t="shared" si="1"/>
        <v>-3.2251831834963211E-2</v>
      </c>
    </row>
    <row r="107" spans="2:4">
      <c r="B107" s="18">
        <v>44137</v>
      </c>
      <c r="C107">
        <v>132.956085</v>
      </c>
      <c r="D107">
        <f t="shared" si="1"/>
        <v>4.3740892251410333E-2</v>
      </c>
    </row>
    <row r="108" spans="2:4">
      <c r="B108" s="18">
        <v>44144</v>
      </c>
      <c r="C108">
        <v>133.930801</v>
      </c>
      <c r="D108">
        <f t="shared" si="1"/>
        <v>7.3043703895729461E-3</v>
      </c>
    </row>
    <row r="109" spans="2:4">
      <c r="B109" s="18">
        <v>44151</v>
      </c>
      <c r="C109">
        <v>129.307999</v>
      </c>
      <c r="D109">
        <f t="shared" si="1"/>
        <v>-3.5126108370587085E-2</v>
      </c>
    </row>
    <row r="110" spans="2:4">
      <c r="B110" s="18">
        <v>44158</v>
      </c>
      <c r="C110">
        <v>128.667496</v>
      </c>
      <c r="D110">
        <f t="shared" si="1"/>
        <v>-4.9656213749613484E-3</v>
      </c>
    </row>
    <row r="111" spans="2:4">
      <c r="B111" s="18">
        <v>44165</v>
      </c>
      <c r="C111">
        <v>127.60927599999999</v>
      </c>
      <c r="D111">
        <f t="shared" si="1"/>
        <v>-8.2584621785696671E-3</v>
      </c>
    </row>
    <row r="112" spans="2:4">
      <c r="B112" s="18">
        <v>44172</v>
      </c>
      <c r="C112">
        <v>126.71811700000001</v>
      </c>
      <c r="D112">
        <f t="shared" si="1"/>
        <v>-7.0079957703501417E-3</v>
      </c>
    </row>
    <row r="113" spans="2:4">
      <c r="B113" s="18">
        <v>44179</v>
      </c>
      <c r="C113">
        <v>129.06663499999999</v>
      </c>
      <c r="D113">
        <f t="shared" si="1"/>
        <v>1.8363752960158936E-2</v>
      </c>
    </row>
    <row r="114" spans="2:4">
      <c r="B114" s="18">
        <v>44186</v>
      </c>
      <c r="C114">
        <v>127.841331</v>
      </c>
      <c r="D114">
        <f t="shared" si="1"/>
        <v>-9.5389279674619482E-3</v>
      </c>
    </row>
    <row r="115" spans="2:4">
      <c r="B115" s="18">
        <v>44193</v>
      </c>
      <c r="C115">
        <v>129.15947</v>
      </c>
      <c r="D115">
        <f t="shared" si="1"/>
        <v>1.0257949028478061E-2</v>
      </c>
    </row>
    <row r="116" spans="2:4">
      <c r="B116" s="18">
        <v>44200</v>
      </c>
      <c r="C116">
        <v>128.83457899999999</v>
      </c>
      <c r="D116">
        <f t="shared" si="1"/>
        <v>-2.5185943086659429E-3</v>
      </c>
    </row>
    <row r="117" spans="2:4">
      <c r="B117" s="18">
        <v>44207</v>
      </c>
      <c r="C117">
        <v>125.112206</v>
      </c>
      <c r="D117">
        <f t="shared" si="1"/>
        <v>-2.9318265478119703E-2</v>
      </c>
    </row>
    <row r="118" spans="2:4">
      <c r="B118" s="18">
        <v>44214</v>
      </c>
      <c r="C118">
        <v>120.675087</v>
      </c>
      <c r="D118">
        <f t="shared" si="1"/>
        <v>-3.6109280166289982E-2</v>
      </c>
    </row>
    <row r="119" spans="2:4">
      <c r="B119" s="18">
        <v>44221</v>
      </c>
      <c r="C119">
        <v>119.73136100000001</v>
      </c>
      <c r="D119">
        <f t="shared" si="1"/>
        <v>-7.8511275838739226E-3</v>
      </c>
    </row>
    <row r="120" spans="2:4">
      <c r="B120" s="18">
        <v>44228</v>
      </c>
      <c r="C120">
        <v>121.001419</v>
      </c>
      <c r="D120">
        <f t="shared" si="1"/>
        <v>1.0551697893595531E-2</v>
      </c>
    </row>
    <row r="121" spans="2:4">
      <c r="B121" s="18">
        <v>44235</v>
      </c>
      <c r="C121">
        <v>119.180359</v>
      </c>
      <c r="D121">
        <f t="shared" si="1"/>
        <v>-1.5164305236030802E-2</v>
      </c>
    </row>
    <row r="122" spans="2:4">
      <c r="B122" s="18">
        <v>44242</v>
      </c>
      <c r="C122">
        <v>118.713448</v>
      </c>
      <c r="D122">
        <f t="shared" si="1"/>
        <v>-3.9253783477997094E-3</v>
      </c>
    </row>
    <row r="123" spans="2:4">
      <c r="B123" s="18">
        <v>44249</v>
      </c>
      <c r="C123">
        <v>115.36084700000001</v>
      </c>
      <c r="D123">
        <f t="shared" si="1"/>
        <v>-2.864757347417923E-2</v>
      </c>
    </row>
    <row r="124" spans="2:4">
      <c r="B124" s="18">
        <v>44256</v>
      </c>
      <c r="C124">
        <v>117.64883399999999</v>
      </c>
      <c r="D124">
        <f t="shared" si="1"/>
        <v>1.9639188629333851E-2</v>
      </c>
    </row>
    <row r="125" spans="2:4">
      <c r="B125" s="18">
        <v>44263</v>
      </c>
      <c r="C125">
        <v>119.665993</v>
      </c>
      <c r="D125">
        <f t="shared" si="1"/>
        <v>1.7000265905832573E-2</v>
      </c>
    </row>
    <row r="126" spans="2:4">
      <c r="B126" s="18">
        <v>44270</v>
      </c>
      <c r="C126">
        <v>119.544579</v>
      </c>
      <c r="D126">
        <f t="shared" si="1"/>
        <v>-1.0151224455595207E-3</v>
      </c>
    </row>
    <row r="127" spans="2:4">
      <c r="B127" s="18">
        <v>44277</v>
      </c>
      <c r="C127">
        <v>126.492569</v>
      </c>
      <c r="D127">
        <f t="shared" si="1"/>
        <v>5.6494215526827041E-2</v>
      </c>
    </row>
    <row r="128" spans="2:4">
      <c r="B128" s="18">
        <v>44284</v>
      </c>
      <c r="C128">
        <v>125.399933</v>
      </c>
      <c r="D128">
        <f t="shared" si="1"/>
        <v>-8.6754694507219891E-3</v>
      </c>
    </row>
    <row r="129" spans="2:4">
      <c r="B129" s="18">
        <v>44291</v>
      </c>
      <c r="C129">
        <v>127.35172300000001</v>
      </c>
      <c r="D129">
        <f t="shared" si="1"/>
        <v>1.5444637068251756E-2</v>
      </c>
    </row>
    <row r="130" spans="2:4">
      <c r="B130" s="18">
        <v>44298</v>
      </c>
      <c r="C130">
        <v>128.17352299999999</v>
      </c>
      <c r="D130">
        <f t="shared" si="1"/>
        <v>6.4322633187347024E-3</v>
      </c>
    </row>
    <row r="131" spans="2:4">
      <c r="B131" s="18">
        <v>44305</v>
      </c>
      <c r="C131">
        <v>125.08245100000001</v>
      </c>
      <c r="D131">
        <f t="shared" ref="D131:D194" si="2">LN(C131/C130)</f>
        <v>-2.441186643883464E-2</v>
      </c>
    </row>
    <row r="132" spans="2:4">
      <c r="B132" s="18">
        <v>44312</v>
      </c>
      <c r="C132">
        <v>125.39398199999999</v>
      </c>
      <c r="D132">
        <f t="shared" si="2"/>
        <v>2.4875087600624121E-3</v>
      </c>
    </row>
    <row r="133" spans="2:4">
      <c r="B133" s="18">
        <v>44319</v>
      </c>
      <c r="C133">
        <v>127.01992</v>
      </c>
      <c r="D133">
        <f t="shared" si="2"/>
        <v>1.2883287935934563E-2</v>
      </c>
    </row>
    <row r="134" spans="2:4">
      <c r="B134" s="18">
        <v>44326</v>
      </c>
      <c r="C134">
        <v>129.707886</v>
      </c>
      <c r="D134">
        <f t="shared" si="2"/>
        <v>2.0940966771909493E-2</v>
      </c>
    </row>
    <row r="135" spans="2:4">
      <c r="B135" s="18">
        <v>44333</v>
      </c>
      <c r="C135">
        <v>129.69845599999999</v>
      </c>
      <c r="D135">
        <f t="shared" si="2"/>
        <v>-7.2704467681571246E-5</v>
      </c>
    </row>
    <row r="136" spans="2:4">
      <c r="B136" s="18">
        <v>44340</v>
      </c>
      <c r="C136">
        <v>126.737953</v>
      </c>
      <c r="D136">
        <f t="shared" si="2"/>
        <v>-2.3090594267479021E-2</v>
      </c>
    </row>
    <row r="137" spans="2:4">
      <c r="B137" s="18">
        <v>44347</v>
      </c>
      <c r="C137">
        <v>127.771767</v>
      </c>
      <c r="D137">
        <f t="shared" si="2"/>
        <v>8.1240094557506262E-3</v>
      </c>
    </row>
    <row r="138" spans="2:4">
      <c r="B138" s="18">
        <v>44354</v>
      </c>
      <c r="C138">
        <v>126.747353</v>
      </c>
      <c r="D138">
        <f t="shared" si="2"/>
        <v>-8.0498434210194824E-3</v>
      </c>
    </row>
    <row r="139" spans="2:4">
      <c r="B139" s="18">
        <v>44361</v>
      </c>
      <c r="C139">
        <v>124.087593</v>
      </c>
      <c r="D139">
        <f t="shared" si="2"/>
        <v>-2.1208047237336498E-2</v>
      </c>
    </row>
    <row r="140" spans="2:4">
      <c r="B140" s="18">
        <v>44368</v>
      </c>
      <c r="C140">
        <v>126.80373400000001</v>
      </c>
      <c r="D140">
        <f t="shared" si="2"/>
        <v>2.1652778132371396E-2</v>
      </c>
    </row>
    <row r="141" spans="2:4">
      <c r="B141" s="18">
        <v>44375</v>
      </c>
      <c r="C141">
        <v>127.7248</v>
      </c>
      <c r="D141">
        <f t="shared" si="2"/>
        <v>7.2374598324043693E-3</v>
      </c>
    </row>
    <row r="142" spans="2:4">
      <c r="B142" s="18">
        <v>44382</v>
      </c>
      <c r="C142">
        <v>128.78681900000001</v>
      </c>
      <c r="D142">
        <f t="shared" si="2"/>
        <v>8.2805221254735311E-3</v>
      </c>
    </row>
    <row r="143" spans="2:4">
      <c r="B143" s="18">
        <v>44389</v>
      </c>
      <c r="C143">
        <v>132.05746500000001</v>
      </c>
      <c r="D143">
        <f t="shared" si="2"/>
        <v>2.5078697285153408E-2</v>
      </c>
    </row>
    <row r="144" spans="2:4">
      <c r="B144" s="18">
        <v>44396</v>
      </c>
      <c r="C144">
        <v>131.380798</v>
      </c>
      <c r="D144">
        <f t="shared" si="2"/>
        <v>-5.1372073323575455E-3</v>
      </c>
    </row>
    <row r="145" spans="2:4">
      <c r="B145" s="18">
        <v>44403</v>
      </c>
      <c r="C145">
        <v>134.514725</v>
      </c>
      <c r="D145">
        <f t="shared" si="2"/>
        <v>2.3573711173604118E-2</v>
      </c>
    </row>
    <row r="146" spans="2:4">
      <c r="B146" s="18">
        <v>44410</v>
      </c>
      <c r="C146">
        <v>133.73921200000001</v>
      </c>
      <c r="D146">
        <f t="shared" si="2"/>
        <v>-5.7819480241842131E-3</v>
      </c>
    </row>
    <row r="147" spans="2:4">
      <c r="B147" s="18">
        <v>44417</v>
      </c>
      <c r="C147">
        <v>135.848251</v>
      </c>
      <c r="D147">
        <f t="shared" si="2"/>
        <v>1.5646736716388669E-2</v>
      </c>
    </row>
    <row r="148" spans="2:4">
      <c r="B148" s="18">
        <v>44424</v>
      </c>
      <c r="C148">
        <v>137.21957399999999</v>
      </c>
      <c r="D148">
        <f t="shared" si="2"/>
        <v>1.0043911458656492E-2</v>
      </c>
    </row>
    <row r="149" spans="2:4">
      <c r="B149" s="18">
        <v>44431</v>
      </c>
      <c r="C149">
        <v>134.590363</v>
      </c>
      <c r="D149">
        <f t="shared" si="2"/>
        <v>-1.9346555432201207E-2</v>
      </c>
    </row>
    <row r="150" spans="2:4">
      <c r="B150" s="18">
        <v>44438</v>
      </c>
      <c r="C150">
        <v>136.236008</v>
      </c>
      <c r="D150">
        <f t="shared" si="2"/>
        <v>1.2152917370017316E-2</v>
      </c>
    </row>
    <row r="151" spans="2:4">
      <c r="B151" s="18">
        <v>44445</v>
      </c>
      <c r="C151">
        <v>136.311646</v>
      </c>
      <c r="D151">
        <f t="shared" si="2"/>
        <v>5.5504423414961775E-4</v>
      </c>
    </row>
    <row r="152" spans="2:4">
      <c r="B152" s="18">
        <v>44452</v>
      </c>
      <c r="C152">
        <v>136.51026899999999</v>
      </c>
      <c r="D152">
        <f t="shared" si="2"/>
        <v>1.456063638377904E-3</v>
      </c>
    </row>
    <row r="153" spans="2:4">
      <c r="B153" s="18">
        <v>44459</v>
      </c>
      <c r="C153">
        <v>135.76312300000001</v>
      </c>
      <c r="D153">
        <f t="shared" si="2"/>
        <v>-5.488218072877131E-3</v>
      </c>
    </row>
    <row r="154" spans="2:4">
      <c r="B154" s="18">
        <v>44466</v>
      </c>
      <c r="C154">
        <v>132.00846899999999</v>
      </c>
      <c r="D154">
        <f t="shared" si="2"/>
        <v>-2.8045544872502142E-2</v>
      </c>
    </row>
    <row r="155" spans="2:4">
      <c r="B155" s="18">
        <v>44473</v>
      </c>
      <c r="C155">
        <v>134.04184000000001</v>
      </c>
      <c r="D155">
        <f t="shared" si="2"/>
        <v>1.5285910401316737E-2</v>
      </c>
    </row>
    <row r="156" spans="2:4">
      <c r="B156" s="18">
        <v>44480</v>
      </c>
      <c r="C156">
        <v>136.58592200000001</v>
      </c>
      <c r="D156">
        <f t="shared" si="2"/>
        <v>1.8801891775867149E-2</v>
      </c>
    </row>
    <row r="157" spans="2:4">
      <c r="B157" s="18">
        <v>44487</v>
      </c>
      <c r="C157">
        <v>133.19064299999999</v>
      </c>
      <c r="D157">
        <f t="shared" si="2"/>
        <v>-2.5172373905305127E-2</v>
      </c>
    </row>
    <row r="158" spans="2:4">
      <c r="B158" s="18">
        <v>44494</v>
      </c>
      <c r="C158">
        <v>136.07183800000001</v>
      </c>
      <c r="D158">
        <f t="shared" si="2"/>
        <v>2.1401458973848115E-2</v>
      </c>
    </row>
    <row r="159" spans="2:4">
      <c r="B159" s="18">
        <v>44501</v>
      </c>
      <c r="C159">
        <v>138.97425799999999</v>
      </c>
      <c r="D159">
        <f t="shared" si="2"/>
        <v>2.1105754870615129E-2</v>
      </c>
    </row>
    <row r="160" spans="2:4">
      <c r="B160" s="18">
        <v>44508</v>
      </c>
      <c r="C160">
        <v>139.46910099999999</v>
      </c>
      <c r="D160">
        <f t="shared" si="2"/>
        <v>3.5543567836681259E-3</v>
      </c>
    </row>
    <row r="161" spans="2:4">
      <c r="B161" s="18">
        <v>44515</v>
      </c>
      <c r="C161">
        <v>139.71653699999999</v>
      </c>
      <c r="D161">
        <f t="shared" si="2"/>
        <v>1.7725558274314388E-3</v>
      </c>
    </row>
    <row r="162" spans="2:4">
      <c r="B162" s="18">
        <v>44522</v>
      </c>
      <c r="C162">
        <v>140.335083</v>
      </c>
      <c r="D162">
        <f t="shared" si="2"/>
        <v>4.4173785234239652E-3</v>
      </c>
    </row>
    <row r="163" spans="2:4">
      <c r="B163" s="18">
        <v>44529</v>
      </c>
      <c r="C163">
        <v>142.62851000000001</v>
      </c>
      <c r="D163">
        <f t="shared" si="2"/>
        <v>1.6210405000615356E-2</v>
      </c>
    </row>
    <row r="164" spans="2:4">
      <c r="B164" s="18">
        <v>44536</v>
      </c>
      <c r="C164">
        <v>147.93850699999999</v>
      </c>
      <c r="D164">
        <f t="shared" si="2"/>
        <v>3.6553276308982557E-2</v>
      </c>
    </row>
    <row r="165" spans="2:4">
      <c r="B165" s="18">
        <v>44543</v>
      </c>
      <c r="C165">
        <v>149.84176600000001</v>
      </c>
      <c r="D165">
        <f t="shared" si="2"/>
        <v>1.2783149791708109E-2</v>
      </c>
    </row>
    <row r="166" spans="2:4">
      <c r="B166" s="18">
        <v>44550</v>
      </c>
      <c r="C166">
        <v>152.35403400000001</v>
      </c>
      <c r="D166">
        <f t="shared" si="2"/>
        <v>1.6627139613269653E-2</v>
      </c>
    </row>
    <row r="167" spans="2:4">
      <c r="B167" s="18">
        <v>44557</v>
      </c>
      <c r="C167">
        <v>155.665649</v>
      </c>
      <c r="D167">
        <f t="shared" si="2"/>
        <v>2.1503447921570128E-2</v>
      </c>
    </row>
    <row r="168" spans="2:4">
      <c r="B168" s="18">
        <v>44564</v>
      </c>
      <c r="C168">
        <v>154.866287</v>
      </c>
      <c r="D168">
        <f t="shared" si="2"/>
        <v>-5.1483514122349725E-3</v>
      </c>
    </row>
    <row r="169" spans="2:4">
      <c r="B169" s="18">
        <v>44571</v>
      </c>
      <c r="C169">
        <v>152.07804899999999</v>
      </c>
      <c r="D169">
        <f t="shared" si="2"/>
        <v>-1.8168210770394964E-2</v>
      </c>
    </row>
    <row r="170" spans="2:4">
      <c r="B170" s="18">
        <v>44578</v>
      </c>
      <c r="C170">
        <v>154.75209000000001</v>
      </c>
      <c r="D170">
        <f t="shared" si="2"/>
        <v>1.7430547804231106E-2</v>
      </c>
    </row>
    <row r="171" spans="2:4">
      <c r="B171" s="18">
        <v>44585</v>
      </c>
      <c r="C171">
        <v>153.55934099999999</v>
      </c>
      <c r="D171">
        <f t="shared" si="2"/>
        <v>-7.7373384865545196E-3</v>
      </c>
    </row>
    <row r="172" spans="2:4">
      <c r="B172" s="18">
        <v>44592</v>
      </c>
      <c r="C172">
        <v>154.54480000000001</v>
      </c>
      <c r="D172">
        <f t="shared" si="2"/>
        <v>6.3969433016187634E-3</v>
      </c>
    </row>
    <row r="173" spans="2:4">
      <c r="B173" s="18">
        <v>44599</v>
      </c>
      <c r="C173">
        <v>149.531387</v>
      </c>
      <c r="D173">
        <f t="shared" si="2"/>
        <v>-3.2977704659494816E-2</v>
      </c>
    </row>
    <row r="174" spans="2:4">
      <c r="B174" s="18">
        <v>44606</v>
      </c>
      <c r="C174">
        <v>152.985275</v>
      </c>
      <c r="D174">
        <f t="shared" si="2"/>
        <v>2.283535764747241E-2</v>
      </c>
    </row>
    <row r="175" spans="2:4">
      <c r="B175" s="18">
        <v>44613</v>
      </c>
      <c r="C175">
        <v>151.39707899999999</v>
      </c>
      <c r="D175">
        <f t="shared" si="2"/>
        <v>-1.0435627376476912E-2</v>
      </c>
    </row>
    <row r="176" spans="2:4">
      <c r="B176" s="18">
        <v>44620</v>
      </c>
      <c r="C176">
        <v>148.43112199999999</v>
      </c>
      <c r="D176">
        <f t="shared" si="2"/>
        <v>-1.9785021827471171E-2</v>
      </c>
    </row>
    <row r="177" spans="2:4">
      <c r="B177" s="18">
        <v>44627</v>
      </c>
      <c r="C177">
        <v>137.02659600000001</v>
      </c>
      <c r="D177">
        <f t="shared" si="2"/>
        <v>-7.9945987352952982E-2</v>
      </c>
    </row>
    <row r="178" spans="2:4">
      <c r="B178" s="18">
        <v>44634</v>
      </c>
      <c r="C178">
        <v>143.65690599999999</v>
      </c>
      <c r="D178">
        <f t="shared" si="2"/>
        <v>4.725282107853282E-2</v>
      </c>
    </row>
    <row r="179" spans="2:4">
      <c r="B179" s="18">
        <v>44641</v>
      </c>
      <c r="C179">
        <v>146.22100800000001</v>
      </c>
      <c r="D179">
        <f t="shared" si="2"/>
        <v>1.7691371110737604E-2</v>
      </c>
    </row>
    <row r="180" spans="2:4">
      <c r="B180" s="18">
        <v>44648</v>
      </c>
      <c r="C180">
        <v>148.383286</v>
      </c>
      <c r="D180">
        <f t="shared" si="2"/>
        <v>1.4679465794724544E-2</v>
      </c>
    </row>
    <row r="181" spans="2:4">
      <c r="B181" s="18">
        <v>44655</v>
      </c>
      <c r="C181">
        <v>153.176636</v>
      </c>
      <c r="D181">
        <f t="shared" si="2"/>
        <v>3.1793042790850962E-2</v>
      </c>
    </row>
    <row r="182" spans="2:4">
      <c r="B182" s="18">
        <v>44662</v>
      </c>
      <c r="C182">
        <v>151.71279899999999</v>
      </c>
      <c r="D182">
        <f t="shared" si="2"/>
        <v>-9.6024858852450708E-3</v>
      </c>
    </row>
    <row r="183" spans="2:4">
      <c r="B183" s="18">
        <v>44669</v>
      </c>
      <c r="C183">
        <v>154.27690100000001</v>
      </c>
      <c r="D183">
        <f t="shared" si="2"/>
        <v>1.6759793019687122E-2</v>
      </c>
    </row>
    <row r="184" spans="2:4">
      <c r="B184" s="18">
        <v>44676</v>
      </c>
      <c r="C184">
        <v>154.46893299999999</v>
      </c>
      <c r="D184">
        <f t="shared" si="2"/>
        <v>1.2439489289605154E-3</v>
      </c>
    </row>
    <row r="185" spans="2:4">
      <c r="B185" s="18">
        <v>44683</v>
      </c>
      <c r="C185">
        <v>150.09129300000001</v>
      </c>
      <c r="D185">
        <f t="shared" si="2"/>
        <v>-2.8749266249958005E-2</v>
      </c>
    </row>
    <row r="186" spans="2:4">
      <c r="B186" s="18">
        <v>44690</v>
      </c>
      <c r="C186">
        <v>147.80143699999999</v>
      </c>
      <c r="D186">
        <f t="shared" si="2"/>
        <v>-1.537399789727455E-2</v>
      </c>
    </row>
    <row r="187" spans="2:4">
      <c r="B187" s="18">
        <v>44697</v>
      </c>
      <c r="C187">
        <v>136.41951</v>
      </c>
      <c r="D187">
        <f t="shared" si="2"/>
        <v>-8.0134960693522675E-2</v>
      </c>
    </row>
    <row r="188" spans="2:4">
      <c r="B188" s="18">
        <v>44704</v>
      </c>
      <c r="C188">
        <v>143.08702099999999</v>
      </c>
      <c r="D188">
        <f t="shared" si="2"/>
        <v>4.7718213265579505E-2</v>
      </c>
    </row>
    <row r="189" spans="2:4">
      <c r="B189" s="18">
        <v>44711</v>
      </c>
      <c r="C189">
        <v>140.364227</v>
      </c>
      <c r="D189">
        <f t="shared" si="2"/>
        <v>-1.9212317957947502E-2</v>
      </c>
    </row>
    <row r="190" spans="2:4">
      <c r="B190" s="18">
        <v>44718</v>
      </c>
      <c r="C190">
        <v>136.57347100000001</v>
      </c>
      <c r="D190">
        <f t="shared" si="2"/>
        <v>-2.7377946773868778E-2</v>
      </c>
    </row>
    <row r="191" spans="2:4">
      <c r="B191" s="18">
        <v>44725</v>
      </c>
      <c r="C191">
        <v>127.34668000000001</v>
      </c>
      <c r="D191">
        <f t="shared" si="2"/>
        <v>-6.9949587705683283E-2</v>
      </c>
    </row>
    <row r="192" spans="2:4">
      <c r="B192" s="18">
        <v>44732</v>
      </c>
      <c r="C192">
        <v>138.882553</v>
      </c>
      <c r="D192">
        <f t="shared" si="2"/>
        <v>8.6715502320076535E-2</v>
      </c>
    </row>
    <row r="193" spans="2:4">
      <c r="B193" s="18">
        <v>44739</v>
      </c>
      <c r="C193">
        <v>140.57591199999999</v>
      </c>
      <c r="D193">
        <f t="shared" si="2"/>
        <v>1.211900827769379E-2</v>
      </c>
    </row>
    <row r="194" spans="2:4">
      <c r="B194" s="18">
        <v>44746</v>
      </c>
      <c r="C194">
        <v>139.527176</v>
      </c>
      <c r="D194">
        <f t="shared" si="2"/>
        <v>-7.4882494730188652E-3</v>
      </c>
    </row>
    <row r="195" spans="2:4">
      <c r="B195" s="18">
        <v>44753</v>
      </c>
      <c r="C195">
        <v>139.57530199999999</v>
      </c>
      <c r="D195">
        <f t="shared" ref="D195:D258" si="3">LN(C195/C194)</f>
        <v>3.4486258109799614E-4</v>
      </c>
    </row>
    <row r="196" spans="2:4">
      <c r="B196" s="18">
        <v>44760</v>
      </c>
      <c r="C196">
        <v>137.602936</v>
      </c>
      <c r="D196">
        <f t="shared" si="3"/>
        <v>-1.4231992424439023E-2</v>
      </c>
    </row>
    <row r="197" spans="2:4">
      <c r="B197" s="18">
        <v>44767</v>
      </c>
      <c r="C197">
        <v>134.51623499999999</v>
      </c>
      <c r="D197">
        <f t="shared" si="3"/>
        <v>-2.2687364403735834E-2</v>
      </c>
    </row>
    <row r="198" spans="2:4">
      <c r="B198" s="18">
        <v>44774</v>
      </c>
      <c r="C198">
        <v>140.14244099999999</v>
      </c>
      <c r="D198">
        <f t="shared" si="3"/>
        <v>4.0974443009506027E-2</v>
      </c>
    </row>
    <row r="199" spans="2:4">
      <c r="B199" s="18">
        <v>44781</v>
      </c>
      <c r="C199">
        <v>142.03076200000001</v>
      </c>
      <c r="D199">
        <f t="shared" si="3"/>
        <v>1.3384326855682962E-2</v>
      </c>
    </row>
    <row r="200" spans="2:4">
      <c r="B200" s="18">
        <v>44788</v>
      </c>
      <c r="C200">
        <v>144.993988</v>
      </c>
      <c r="D200">
        <f t="shared" si="3"/>
        <v>2.0648611549669797E-2</v>
      </c>
    </row>
    <row r="201" spans="2:4">
      <c r="B201" s="18">
        <v>44795</v>
      </c>
      <c r="C201">
        <v>137.789322</v>
      </c>
      <c r="D201">
        <f t="shared" si="3"/>
        <v>-5.0966413029570896E-2</v>
      </c>
    </row>
    <row r="202" spans="2:4">
      <c r="B202" s="18">
        <v>44802</v>
      </c>
      <c r="C202">
        <v>132.821594</v>
      </c>
      <c r="D202">
        <f t="shared" si="3"/>
        <v>-3.6719037217271037E-2</v>
      </c>
    </row>
    <row r="203" spans="2:4">
      <c r="B203" s="18">
        <v>44809</v>
      </c>
      <c r="C203">
        <v>135.53301999999999</v>
      </c>
      <c r="D203">
        <f t="shared" si="3"/>
        <v>2.0208471423870122E-2</v>
      </c>
    </row>
    <row r="204" spans="2:4">
      <c r="B204" s="18">
        <v>44816</v>
      </c>
      <c r="C204">
        <v>133.906158</v>
      </c>
      <c r="D204">
        <f t="shared" si="3"/>
        <v>-1.2076059484985451E-2</v>
      </c>
    </row>
    <row r="205" spans="2:4">
      <c r="B205" s="18">
        <v>44823</v>
      </c>
      <c r="C205">
        <v>131.29155</v>
      </c>
      <c r="D205">
        <f t="shared" si="3"/>
        <v>-1.9718818381933598E-2</v>
      </c>
    </row>
    <row r="206" spans="2:4">
      <c r="B206" s="18">
        <v>44830</v>
      </c>
      <c r="C206">
        <v>122.256668</v>
      </c>
      <c r="D206">
        <f t="shared" si="3"/>
        <v>-7.1297751967349124E-2</v>
      </c>
    </row>
    <row r="207" spans="2:4">
      <c r="B207" s="18">
        <v>44837</v>
      </c>
      <c r="C207">
        <v>120.339294</v>
      </c>
      <c r="D207">
        <f t="shared" si="3"/>
        <v>-1.5807467770782575E-2</v>
      </c>
    </row>
    <row r="208" spans="2:4">
      <c r="B208" s="18">
        <v>44844</v>
      </c>
      <c r="C208">
        <v>121.12367999999999</v>
      </c>
      <c r="D208">
        <f t="shared" si="3"/>
        <v>6.496969254720179E-3</v>
      </c>
    </row>
    <row r="209" spans="2:4">
      <c r="B209" s="18">
        <v>44851</v>
      </c>
      <c r="C209">
        <v>124.512978</v>
      </c>
      <c r="D209">
        <f t="shared" si="3"/>
        <v>2.7597779117174915E-2</v>
      </c>
    </row>
    <row r="210" spans="2:4">
      <c r="B210" s="18">
        <v>44858</v>
      </c>
      <c r="C210">
        <v>131.87223800000001</v>
      </c>
      <c r="D210">
        <f t="shared" si="3"/>
        <v>5.7423608499265359E-2</v>
      </c>
    </row>
    <row r="211" spans="2:4">
      <c r="B211" s="18">
        <v>44865</v>
      </c>
      <c r="C211">
        <v>131.111557</v>
      </c>
      <c r="D211">
        <f t="shared" si="3"/>
        <v>-5.7850189700055666E-3</v>
      </c>
    </row>
    <row r="212" spans="2:4">
      <c r="B212" s="18">
        <v>44872</v>
      </c>
      <c r="C212">
        <v>137.479874</v>
      </c>
      <c r="D212">
        <f t="shared" si="3"/>
        <v>4.7428994519102305E-2</v>
      </c>
    </row>
    <row r="213" spans="2:4">
      <c r="B213" s="18">
        <v>44879</v>
      </c>
      <c r="C213">
        <v>139.04028299999999</v>
      </c>
      <c r="D213">
        <f t="shared" si="3"/>
        <v>1.128616141624288E-2</v>
      </c>
    </row>
    <row r="214" spans="2:4">
      <c r="B214" s="18">
        <v>44886</v>
      </c>
      <c r="C214">
        <v>143.087524</v>
      </c>
      <c r="D214">
        <f t="shared" si="3"/>
        <v>2.869280207360585E-2</v>
      </c>
    </row>
    <row r="215" spans="2:4">
      <c r="B215" s="18">
        <v>44893</v>
      </c>
      <c r="C215">
        <v>146.881226</v>
      </c>
      <c r="D215">
        <f t="shared" si="3"/>
        <v>2.6167774813119063E-2</v>
      </c>
    </row>
    <row r="216" spans="2:4">
      <c r="B216" s="18">
        <v>44900</v>
      </c>
      <c r="C216">
        <v>147.18353300000001</v>
      </c>
      <c r="D216">
        <f t="shared" si="3"/>
        <v>2.0560580433039723E-3</v>
      </c>
    </row>
    <row r="217" spans="2:4">
      <c r="B217" s="18">
        <v>44907</v>
      </c>
      <c r="C217">
        <v>146.71542400000001</v>
      </c>
      <c r="D217">
        <f t="shared" si="3"/>
        <v>-3.1855124674307783E-3</v>
      </c>
    </row>
    <row r="218" spans="2:4">
      <c r="B218" s="18">
        <v>44914</v>
      </c>
      <c r="C218">
        <v>148.84144599999999</v>
      </c>
      <c r="D218">
        <f t="shared" si="3"/>
        <v>1.4386799198462412E-2</v>
      </c>
    </row>
    <row r="219" spans="2:4">
      <c r="B219" s="18">
        <v>44921</v>
      </c>
      <c r="C219">
        <v>147.807693</v>
      </c>
      <c r="D219">
        <f t="shared" si="3"/>
        <v>-6.9695613343687965E-3</v>
      </c>
    </row>
    <row r="220" spans="2:4">
      <c r="B220" s="18">
        <v>44928</v>
      </c>
      <c r="C220">
        <v>150.10926799999999</v>
      </c>
      <c r="D220">
        <f t="shared" si="3"/>
        <v>1.5451425009036446E-2</v>
      </c>
    </row>
    <row r="221" spans="2:4">
      <c r="B221" s="18">
        <v>44935</v>
      </c>
      <c r="C221">
        <v>147.144531</v>
      </c>
      <c r="D221">
        <f t="shared" si="3"/>
        <v>-1.9948174404418727E-2</v>
      </c>
    </row>
    <row r="222" spans="2:4">
      <c r="B222" s="18">
        <v>44942</v>
      </c>
      <c r="C222">
        <v>139.430374</v>
      </c>
      <c r="D222">
        <f t="shared" si="3"/>
        <v>-5.3849942278922119E-2</v>
      </c>
    </row>
    <row r="223" spans="2:4">
      <c r="B223" s="18">
        <v>44949</v>
      </c>
      <c r="C223">
        <v>137.95002700000001</v>
      </c>
      <c r="D223">
        <f t="shared" si="3"/>
        <v>-1.0673869166534155E-2</v>
      </c>
    </row>
    <row r="224" spans="2:4">
      <c r="B224" s="18">
        <v>44956</v>
      </c>
      <c r="C224">
        <v>139.952011</v>
      </c>
      <c r="D224">
        <f t="shared" si="3"/>
        <v>1.4408088889508433E-2</v>
      </c>
    </row>
    <row r="225" spans="2:4">
      <c r="B225" s="18">
        <v>44963</v>
      </c>
      <c r="C225">
        <v>135.683075</v>
      </c>
      <c r="D225">
        <f t="shared" si="3"/>
        <v>-3.0977749868812552E-2</v>
      </c>
    </row>
    <row r="226" spans="2:4">
      <c r="B226" s="18">
        <v>44970</v>
      </c>
      <c r="C226">
        <v>137.40046699999999</v>
      </c>
      <c r="D226">
        <f t="shared" si="3"/>
        <v>1.2577943210929692E-2</v>
      </c>
    </row>
    <row r="227" spans="2:4">
      <c r="B227" s="18">
        <v>44977</v>
      </c>
      <c r="C227">
        <v>136.664444</v>
      </c>
      <c r="D227">
        <f t="shared" si="3"/>
        <v>-5.3711711346306817E-3</v>
      </c>
    </row>
    <row r="228" spans="2:4">
      <c r="B228" s="18">
        <v>44984</v>
      </c>
      <c r="C228">
        <v>138.32295199999999</v>
      </c>
      <c r="D228">
        <f t="shared" si="3"/>
        <v>1.2062575480021339E-2</v>
      </c>
    </row>
    <row r="229" spans="2:4">
      <c r="B229" s="18">
        <v>44991</v>
      </c>
      <c r="C229">
        <v>134.633026</v>
      </c>
      <c r="D229">
        <f t="shared" si="3"/>
        <v>-2.7038431807981544E-2</v>
      </c>
    </row>
    <row r="230" spans="2:4">
      <c r="B230" s="18">
        <v>44998</v>
      </c>
      <c r="C230">
        <v>140.26603700000001</v>
      </c>
      <c r="D230">
        <f t="shared" si="3"/>
        <v>4.0988132521474679E-2</v>
      </c>
    </row>
    <row r="231" spans="2:4">
      <c r="B231" s="18">
        <v>45005</v>
      </c>
      <c r="C231">
        <v>143.98541299999999</v>
      </c>
      <c r="D231">
        <f t="shared" si="3"/>
        <v>2.6171112156965177E-2</v>
      </c>
    </row>
    <row r="232" spans="2:4">
      <c r="B232" s="18">
        <v>45012</v>
      </c>
      <c r="C232">
        <v>145.91868600000001</v>
      </c>
      <c r="D232">
        <f t="shared" si="3"/>
        <v>1.3337525517427447E-2</v>
      </c>
    </row>
    <row r="233" spans="2:4">
      <c r="B233" s="18">
        <v>45019</v>
      </c>
      <c r="C233">
        <v>149.38288900000001</v>
      </c>
      <c r="D233">
        <f t="shared" si="3"/>
        <v>2.3463213329052494E-2</v>
      </c>
    </row>
    <row r="234" spans="2:4">
      <c r="B234" s="18">
        <v>45026</v>
      </c>
      <c r="C234">
        <v>148.18563800000001</v>
      </c>
      <c r="D234">
        <f t="shared" si="3"/>
        <v>-8.0469360960153079E-3</v>
      </c>
    </row>
    <row r="235" spans="2:4">
      <c r="B235" s="18">
        <v>45033</v>
      </c>
      <c r="C235">
        <v>153.16113300000001</v>
      </c>
      <c r="D235">
        <f t="shared" si="3"/>
        <v>3.3024725490247257E-2</v>
      </c>
    </row>
    <row r="236" spans="2:4">
      <c r="B236" s="18">
        <v>45040</v>
      </c>
      <c r="C236">
        <v>154.42619300000001</v>
      </c>
      <c r="D236">
        <f t="shared" si="3"/>
        <v>8.225742910629474E-3</v>
      </c>
    </row>
    <row r="237" spans="2:4">
      <c r="B237" s="18">
        <v>45047</v>
      </c>
      <c r="C237">
        <v>154.08055100000001</v>
      </c>
      <c r="D237">
        <f t="shared" si="3"/>
        <v>-2.2407428773765195E-3</v>
      </c>
    </row>
    <row r="238" spans="2:4">
      <c r="B238" s="18">
        <v>45054</v>
      </c>
      <c r="C238">
        <v>154.01144400000001</v>
      </c>
      <c r="D238">
        <f t="shared" si="3"/>
        <v>-4.4861276683932493E-4</v>
      </c>
    </row>
    <row r="239" spans="2:4">
      <c r="B239" s="18">
        <v>45061</v>
      </c>
      <c r="C239">
        <v>151.25628699999999</v>
      </c>
      <c r="D239">
        <f t="shared" si="3"/>
        <v>-1.805124835174611E-2</v>
      </c>
    </row>
    <row r="240" spans="2:4">
      <c r="B240" s="18">
        <v>45068</v>
      </c>
      <c r="C240">
        <v>143.583359</v>
      </c>
      <c r="D240">
        <f t="shared" si="3"/>
        <v>-5.2059897491324544E-2</v>
      </c>
    </row>
    <row r="241" spans="2:4">
      <c r="B241" s="18">
        <v>45075</v>
      </c>
      <c r="C241">
        <v>144.68937700000001</v>
      </c>
      <c r="D241">
        <f t="shared" si="3"/>
        <v>7.6734514846907992E-3</v>
      </c>
    </row>
    <row r="242" spans="2:4">
      <c r="B242" s="18">
        <v>45082</v>
      </c>
      <c r="C242">
        <v>144.72886700000001</v>
      </c>
      <c r="D242">
        <f t="shared" si="3"/>
        <v>2.7289226621860142E-4</v>
      </c>
    </row>
    <row r="243" spans="2:4">
      <c r="B243" s="18">
        <v>45089</v>
      </c>
      <c r="C243">
        <v>147.67163099999999</v>
      </c>
      <c r="D243">
        <f t="shared" si="3"/>
        <v>2.0128990073291483E-2</v>
      </c>
    </row>
    <row r="244" spans="2:4">
      <c r="B244" s="18">
        <v>45096</v>
      </c>
      <c r="C244">
        <v>146.60514800000001</v>
      </c>
      <c r="D244">
        <f t="shared" si="3"/>
        <v>-7.2481945242933296E-3</v>
      </c>
    </row>
    <row r="245" spans="2:4">
      <c r="B245" s="18">
        <v>45103</v>
      </c>
      <c r="C245">
        <v>149.84416200000001</v>
      </c>
      <c r="D245">
        <f t="shared" si="3"/>
        <v>2.1852929246992309E-2</v>
      </c>
    </row>
    <row r="246" spans="2:4">
      <c r="B246" s="18">
        <v>45110</v>
      </c>
      <c r="C246">
        <v>146.940887</v>
      </c>
      <c r="D246">
        <f t="shared" si="3"/>
        <v>-1.9565457393407603E-2</v>
      </c>
    </row>
    <row r="247" spans="2:4">
      <c r="B247" s="18">
        <v>45117</v>
      </c>
      <c r="C247">
        <v>148.17527799999999</v>
      </c>
      <c r="D247">
        <f t="shared" si="3"/>
        <v>8.3655071807021922E-3</v>
      </c>
    </row>
    <row r="248" spans="2:4">
      <c r="B248" s="18">
        <v>45124</v>
      </c>
      <c r="C248">
        <v>151.019272</v>
      </c>
      <c r="D248">
        <f t="shared" si="3"/>
        <v>1.9011573978003713E-2</v>
      </c>
    </row>
    <row r="249" spans="2:4">
      <c r="B249" s="18">
        <v>45131</v>
      </c>
      <c r="C249">
        <v>155.42898600000001</v>
      </c>
      <c r="D249">
        <f t="shared" si="3"/>
        <v>2.8781487826337677E-2</v>
      </c>
    </row>
    <row r="250" spans="2:4">
      <c r="B250" s="18">
        <v>45138</v>
      </c>
      <c r="C250">
        <v>154.30607599999999</v>
      </c>
      <c r="D250">
        <f t="shared" si="3"/>
        <v>-7.2508092072152072E-3</v>
      </c>
    </row>
    <row r="251" spans="2:4">
      <c r="B251" s="18">
        <v>45145</v>
      </c>
      <c r="C251">
        <v>156.035156</v>
      </c>
      <c r="D251">
        <f t="shared" si="3"/>
        <v>1.11432044051626E-2</v>
      </c>
    </row>
    <row r="252" spans="2:4">
      <c r="B252" s="18">
        <v>45152</v>
      </c>
      <c r="C252">
        <v>151.58325199999999</v>
      </c>
      <c r="D252">
        <f t="shared" si="3"/>
        <v>-2.8946348662947565E-2</v>
      </c>
    </row>
    <row r="253" spans="2:4">
      <c r="B253" s="18">
        <v>45159</v>
      </c>
      <c r="C253">
        <v>152.57698099999999</v>
      </c>
      <c r="D253">
        <f t="shared" si="3"/>
        <v>6.5342699533103938E-3</v>
      </c>
    </row>
    <row r="254" spans="2:4">
      <c r="B254" s="18">
        <v>45166</v>
      </c>
      <c r="C254">
        <v>153.54089400000001</v>
      </c>
      <c r="D254">
        <f t="shared" si="3"/>
        <v>6.2976798450095932E-3</v>
      </c>
    </row>
    <row r="255" spans="2:4">
      <c r="B255" s="18">
        <v>45173</v>
      </c>
      <c r="C255">
        <v>151.97081</v>
      </c>
      <c r="D255">
        <f t="shared" si="3"/>
        <v>-1.0278479039097984E-2</v>
      </c>
    </row>
    <row r="256" spans="2:4">
      <c r="B256" s="18">
        <v>45180</v>
      </c>
      <c r="C256">
        <v>152.507431</v>
      </c>
      <c r="D256">
        <f>LN(C256/C255)</f>
        <v>3.5248597985033398E-3</v>
      </c>
    </row>
    <row r="257" spans="2:13">
      <c r="B257" s="18">
        <v>45187</v>
      </c>
      <c r="C257">
        <v>150.629288</v>
      </c>
      <c r="D257">
        <f t="shared" si="3"/>
        <v>-1.2391550839650012E-2</v>
      </c>
    </row>
    <row r="258" spans="2:13">
      <c r="B258" s="18">
        <v>45194</v>
      </c>
      <c r="C258">
        <v>144.94515999999999</v>
      </c>
      <c r="D258">
        <f t="shared" si="3"/>
        <v>-3.8466307903748581E-2</v>
      </c>
    </row>
    <row r="259" spans="2:13">
      <c r="B259" s="18">
        <v>45201</v>
      </c>
      <c r="C259">
        <v>143.186249</v>
      </c>
      <c r="D259">
        <f t="shared" ref="D259:D262" si="4">LN(C259/C258)</f>
        <v>-1.2209240606366814E-2</v>
      </c>
    </row>
    <row r="260" spans="2:13">
      <c r="B260" s="18">
        <v>45208</v>
      </c>
      <c r="C260">
        <v>143.782501</v>
      </c>
      <c r="D260">
        <f t="shared" si="4"/>
        <v>4.1555246557368865E-3</v>
      </c>
    </row>
    <row r="261" spans="2:13">
      <c r="B261" s="18">
        <v>45215</v>
      </c>
      <c r="C261">
        <v>147.12142900000001</v>
      </c>
      <c r="D261">
        <f t="shared" si="4"/>
        <v>2.295654537309269E-2</v>
      </c>
    </row>
    <row r="262" spans="2:13">
      <c r="B262" s="18">
        <v>45222</v>
      </c>
      <c r="C262">
        <v>147.16000399999999</v>
      </c>
      <c r="D262">
        <f t="shared" si="4"/>
        <v>2.6216400965348033E-4</v>
      </c>
    </row>
    <row r="263" spans="2:13">
      <c r="B263" s="18">
        <v>45226</v>
      </c>
      <c r="C263">
        <v>147.16000399999999</v>
      </c>
      <c r="D263">
        <f>LN(C263/C262)</f>
        <v>0</v>
      </c>
    </row>
    <row r="264" spans="2:13">
      <c r="B264" t="s">
        <v>17</v>
      </c>
      <c r="C264">
        <f ca="1">C263*EXP($E$6+$G$4*NORMSINV(RAND()))</f>
        <v>151.37574762583208</v>
      </c>
    </row>
    <row r="265" spans="2:13">
      <c r="B265">
        <v>1</v>
      </c>
      <c r="C265">
        <f t="shared" ref="C265:C288" ca="1" si="5">C264*EXP($E$6+$G$4*NORMSINV(RAND()))</f>
        <v>152.15268760780461</v>
      </c>
    </row>
    <row r="266" spans="2:13">
      <c r="B266">
        <v>2</v>
      </c>
      <c r="C266">
        <f t="shared" ca="1" si="5"/>
        <v>151.93533690729728</v>
      </c>
    </row>
    <row r="267" spans="2:13">
      <c r="B267">
        <v>3</v>
      </c>
      <c r="C267">
        <f t="shared" ca="1" si="5"/>
        <v>147.73112332551577</v>
      </c>
    </row>
    <row r="268" spans="2:13">
      <c r="B268">
        <v>4</v>
      </c>
      <c r="C268">
        <f t="shared" ca="1" si="5"/>
        <v>149.2568840603582</v>
      </c>
    </row>
    <row r="269" spans="2:13">
      <c r="B269">
        <v>5</v>
      </c>
      <c r="C269">
        <f t="shared" ca="1" si="5"/>
        <v>149.12431834267818</v>
      </c>
    </row>
    <row r="270" spans="2:13">
      <c r="B270">
        <v>6</v>
      </c>
      <c r="C270">
        <f t="shared" ca="1" si="5"/>
        <v>144.62688618919424</v>
      </c>
    </row>
    <row r="271" spans="2:13" ht="15.75" customHeight="1">
      <c r="B271">
        <v>7</v>
      </c>
      <c r="C271">
        <f t="shared" ca="1" si="5"/>
        <v>148.82878128370245</v>
      </c>
      <c r="F271" s="40" t="s">
        <v>45</v>
      </c>
      <c r="G271" s="40"/>
      <c r="H271" s="40"/>
      <c r="I271" s="40"/>
      <c r="J271" s="40"/>
      <c r="K271" s="40"/>
      <c r="L271" s="40"/>
      <c r="M271" s="40"/>
    </row>
    <row r="272" spans="2:13">
      <c r="B272">
        <v>8</v>
      </c>
      <c r="C272">
        <f t="shared" ca="1" si="5"/>
        <v>152.38534479420096</v>
      </c>
      <c r="F272" s="40"/>
      <c r="G272" s="40"/>
      <c r="H272" s="40"/>
      <c r="I272" s="40"/>
      <c r="J272" s="40"/>
      <c r="K272" s="40"/>
      <c r="L272" s="40"/>
      <c r="M272" s="40"/>
    </row>
    <row r="273" spans="2:13">
      <c r="B273">
        <v>9</v>
      </c>
      <c r="C273">
        <f t="shared" ca="1" si="5"/>
        <v>158.25226955673983</v>
      </c>
      <c r="F273" s="40"/>
      <c r="G273" s="40"/>
      <c r="H273" s="40"/>
      <c r="I273" s="40"/>
      <c r="J273" s="40"/>
      <c r="K273" s="40"/>
      <c r="L273" s="40"/>
      <c r="M273" s="40"/>
    </row>
    <row r="274" spans="2:13">
      <c r="B274">
        <v>10</v>
      </c>
      <c r="C274">
        <f t="shared" ca="1" si="5"/>
        <v>157.73999293405888</v>
      </c>
      <c r="F274" s="40"/>
      <c r="G274" s="40"/>
      <c r="H274" s="40"/>
      <c r="I274" s="40"/>
      <c r="J274" s="40"/>
      <c r="K274" s="40"/>
      <c r="L274" s="40"/>
      <c r="M274" s="40"/>
    </row>
    <row r="275" spans="2:13">
      <c r="B275">
        <v>11</v>
      </c>
      <c r="C275">
        <f t="shared" ca="1" si="5"/>
        <v>160.80912497663996</v>
      </c>
      <c r="F275" s="40"/>
      <c r="G275" s="40"/>
      <c r="H275" s="40"/>
      <c r="I275" s="40"/>
      <c r="J275" s="40"/>
      <c r="K275" s="40"/>
      <c r="L275" s="40"/>
      <c r="M275" s="40"/>
    </row>
    <row r="276" spans="2:13">
      <c r="B276">
        <v>12</v>
      </c>
      <c r="C276">
        <f t="shared" ca="1" si="5"/>
        <v>156.28072110479985</v>
      </c>
      <c r="F276" s="40"/>
      <c r="G276" s="40"/>
      <c r="H276" s="40"/>
      <c r="I276" s="40"/>
      <c r="J276" s="40"/>
      <c r="K276" s="40"/>
      <c r="L276" s="40"/>
      <c r="M276" s="40"/>
    </row>
    <row r="277" spans="2:13">
      <c r="B277">
        <v>13</v>
      </c>
      <c r="C277">
        <f t="shared" ca="1" si="5"/>
        <v>151.90429575874376</v>
      </c>
      <c r="F277" s="40"/>
      <c r="G277" s="40"/>
      <c r="H277" s="40"/>
      <c r="I277" s="40"/>
      <c r="J277" s="40"/>
      <c r="K277" s="40"/>
      <c r="L277" s="40"/>
      <c r="M277" s="40"/>
    </row>
    <row r="278" spans="2:13">
      <c r="B278">
        <v>14</v>
      </c>
      <c r="C278">
        <f t="shared" ca="1" si="5"/>
        <v>152.87820967206099</v>
      </c>
      <c r="F278" s="40"/>
      <c r="G278" s="40"/>
      <c r="H278" s="40"/>
      <c r="I278" s="40"/>
      <c r="J278" s="40"/>
      <c r="K278" s="40"/>
      <c r="L278" s="40"/>
      <c r="M278" s="40"/>
    </row>
    <row r="279" spans="2:13">
      <c r="B279">
        <v>15</v>
      </c>
      <c r="C279">
        <f t="shared" ca="1" si="5"/>
        <v>162.52265160869132</v>
      </c>
      <c r="F279" s="40"/>
      <c r="G279" s="40"/>
      <c r="H279" s="40"/>
      <c r="I279" s="40"/>
      <c r="J279" s="40"/>
      <c r="K279" s="40"/>
      <c r="L279" s="40"/>
      <c r="M279" s="40"/>
    </row>
    <row r="280" spans="2:13">
      <c r="B280">
        <v>16</v>
      </c>
      <c r="C280">
        <f t="shared" ca="1" si="5"/>
        <v>161.13336821229538</v>
      </c>
      <c r="F280" s="40"/>
      <c r="G280" s="40"/>
      <c r="H280" s="40"/>
      <c r="I280" s="40"/>
      <c r="J280" s="40"/>
      <c r="K280" s="40"/>
      <c r="L280" s="40"/>
      <c r="M280" s="40"/>
    </row>
    <row r="281" spans="2:13">
      <c r="B281">
        <v>17</v>
      </c>
      <c r="C281">
        <f t="shared" ca="1" si="5"/>
        <v>161.70190424905007</v>
      </c>
      <c r="F281" s="40"/>
      <c r="G281" s="40"/>
      <c r="H281" s="40"/>
      <c r="I281" s="40"/>
      <c r="J281" s="40"/>
      <c r="K281" s="40"/>
      <c r="L281" s="40"/>
      <c r="M281" s="40"/>
    </row>
    <row r="282" spans="2:13">
      <c r="B282">
        <v>18</v>
      </c>
      <c r="C282">
        <f t="shared" ca="1" si="5"/>
        <v>164.02758375935539</v>
      </c>
      <c r="F282" s="40"/>
      <c r="G282" s="40"/>
      <c r="H282" s="40"/>
      <c r="I282" s="40"/>
      <c r="J282" s="40"/>
      <c r="K282" s="40"/>
      <c r="L282" s="40"/>
      <c r="M282" s="40"/>
    </row>
    <row r="283" spans="2:13">
      <c r="B283">
        <v>19</v>
      </c>
      <c r="C283">
        <f t="shared" ca="1" si="5"/>
        <v>159.40406057220875</v>
      </c>
      <c r="F283" s="40"/>
      <c r="G283" s="40"/>
      <c r="H283" s="40"/>
      <c r="I283" s="40"/>
      <c r="J283" s="40"/>
      <c r="K283" s="40"/>
      <c r="L283" s="40"/>
      <c r="M283" s="40"/>
    </row>
    <row r="284" spans="2:13">
      <c r="B284">
        <v>20</v>
      </c>
      <c r="C284">
        <f t="shared" ca="1" si="5"/>
        <v>160.34140667635671</v>
      </c>
      <c r="F284" s="40"/>
      <c r="G284" s="40"/>
      <c r="H284" s="40"/>
      <c r="I284" s="40"/>
      <c r="J284" s="40"/>
      <c r="K284" s="40"/>
      <c r="L284" s="40"/>
      <c r="M284" s="40"/>
    </row>
    <row r="285" spans="2:13">
      <c r="B285">
        <v>21</v>
      </c>
      <c r="C285">
        <f t="shared" ca="1" si="5"/>
        <v>163.25502044458753</v>
      </c>
      <c r="F285" s="40"/>
      <c r="G285" s="40"/>
      <c r="H285" s="40"/>
      <c r="I285" s="40"/>
      <c r="J285" s="40"/>
      <c r="K285" s="40"/>
      <c r="L285" s="40"/>
      <c r="M285" s="40"/>
    </row>
    <row r="286" spans="2:13">
      <c r="B286">
        <v>22</v>
      </c>
      <c r="C286">
        <f t="shared" ca="1" si="5"/>
        <v>168.76469293560908</v>
      </c>
    </row>
    <row r="287" spans="2:13">
      <c r="B287">
        <v>23</v>
      </c>
      <c r="C287">
        <f t="shared" ca="1" si="5"/>
        <v>176.82907019145796</v>
      </c>
    </row>
    <row r="288" spans="2:13">
      <c r="B288">
        <v>24</v>
      </c>
      <c r="C288">
        <f t="shared" ca="1" si="5"/>
        <v>184.0732224068056</v>
      </c>
    </row>
    <row r="290" spans="1:13">
      <c r="C290" t="s">
        <v>41</v>
      </c>
      <c r="I290" s="39" t="s">
        <v>42</v>
      </c>
      <c r="J290" s="39"/>
      <c r="L290" s="39" t="s">
        <v>44</v>
      </c>
      <c r="M290" s="39"/>
    </row>
    <row r="291" spans="1:13">
      <c r="A291" t="s">
        <v>25</v>
      </c>
      <c r="B291">
        <v>1</v>
      </c>
      <c r="C291">
        <f ca="1">C288</f>
        <v>184.0732224068056</v>
      </c>
      <c r="D291" t="s">
        <v>40</v>
      </c>
      <c r="E291" t="s">
        <v>34</v>
      </c>
      <c r="F291">
        <f ca="1">AVERAGE(C291:C1290)</f>
        <v>156.6472094284193</v>
      </c>
      <c r="I291" t="s">
        <v>34</v>
      </c>
      <c r="J291">
        <v>155.41764295332246</v>
      </c>
      <c r="L291" t="s">
        <v>34</v>
      </c>
      <c r="M291">
        <v>151.08006997711874</v>
      </c>
    </row>
    <row r="292" spans="1:13">
      <c r="B292">
        <v>2</v>
      </c>
      <c r="C292">
        <f t="dataTable" ref="C292:C1290" dt2D="0" dtr="0" r1="G282" ca="1"/>
        <v>180.39348492068444</v>
      </c>
      <c r="E292" t="s">
        <v>38</v>
      </c>
      <c r="F292">
        <f ca="1">_xlfn.STDEV.S(C291:C1290)</f>
        <v>21.448651793938332</v>
      </c>
      <c r="I292" t="s">
        <v>38</v>
      </c>
      <c r="J292">
        <v>21.314998477532367</v>
      </c>
      <c r="L292" t="s">
        <v>38</v>
      </c>
      <c r="M292">
        <v>14.772153790281354</v>
      </c>
    </row>
    <row r="293" spans="1:13">
      <c r="B293">
        <v>3</v>
      </c>
      <c r="C293">
        <v>167.65079210123383</v>
      </c>
      <c r="D293" t="s">
        <v>39</v>
      </c>
      <c r="E293" s="24">
        <v>0.9</v>
      </c>
      <c r="F293">
        <f t="shared" ref="F293:F298" ca="1" si="6">_xlfn.PERCENTILE.INC($C$291:$C$1290,1-E293)</f>
        <v>131.04860778151399</v>
      </c>
      <c r="I293">
        <v>0.9</v>
      </c>
      <c r="J293">
        <v>129.72581900905817</v>
      </c>
      <c r="K293" s="24"/>
      <c r="L293">
        <v>0.9</v>
      </c>
      <c r="M293">
        <v>132.92267151258858</v>
      </c>
    </row>
    <row r="294" spans="1:13">
      <c r="B294">
        <v>4</v>
      </c>
      <c r="C294">
        <v>146.45206037667938</v>
      </c>
      <c r="E294" s="24">
        <v>0.8</v>
      </c>
      <c r="F294">
        <f t="shared" ca="1" si="6"/>
        <v>138.05281198753335</v>
      </c>
      <c r="I294">
        <v>0.8</v>
      </c>
      <c r="J294">
        <v>137.47657851395172</v>
      </c>
      <c r="K294" s="24"/>
      <c r="L294">
        <v>0.8</v>
      </c>
      <c r="M294">
        <v>138.66351053926894</v>
      </c>
    </row>
    <row r="295" spans="1:13">
      <c r="B295">
        <v>5</v>
      </c>
      <c r="C295">
        <v>141.2706235236752</v>
      </c>
      <c r="E295" s="24">
        <v>0.7</v>
      </c>
      <c r="F295">
        <f t="shared" ca="1" si="6"/>
        <v>144.9565822883842</v>
      </c>
      <c r="I295">
        <v>0.7</v>
      </c>
      <c r="J295">
        <v>143.3150196304467</v>
      </c>
      <c r="K295" s="24"/>
      <c r="L295">
        <v>0.7</v>
      </c>
      <c r="M295">
        <v>142.45681079254138</v>
      </c>
    </row>
    <row r="296" spans="1:13">
      <c r="B296">
        <v>6</v>
      </c>
      <c r="C296">
        <v>181.34809350910217</v>
      </c>
      <c r="E296" s="24">
        <v>0.6</v>
      </c>
      <c r="F296">
        <f t="shared" ca="1" si="6"/>
        <v>149.96367062783463</v>
      </c>
      <c r="I296">
        <v>0.6</v>
      </c>
      <c r="J296">
        <v>148.85110269080769</v>
      </c>
      <c r="K296" s="24"/>
      <c r="L296">
        <v>0.6</v>
      </c>
      <c r="M296">
        <v>147.22924786669486</v>
      </c>
    </row>
    <row r="297" spans="1:13">
      <c r="B297">
        <v>7</v>
      </c>
      <c r="C297">
        <v>147.72264846101589</v>
      </c>
      <c r="E297" s="24">
        <v>0.5</v>
      </c>
      <c r="F297">
        <f t="shared" ca="1" si="6"/>
        <v>155.19657033024725</v>
      </c>
      <c r="I297">
        <v>0.5</v>
      </c>
      <c r="J297">
        <v>153.57894690007944</v>
      </c>
      <c r="K297" s="24"/>
      <c r="L297">
        <v>0.5</v>
      </c>
      <c r="M297">
        <v>150.77912988439988</v>
      </c>
    </row>
    <row r="298" spans="1:13">
      <c r="B298">
        <v>8</v>
      </c>
      <c r="C298">
        <v>146.26951525619049</v>
      </c>
      <c r="E298" s="24">
        <v>0.4</v>
      </c>
      <c r="F298">
        <f t="shared" ca="1" si="6"/>
        <v>161.23520086054364</v>
      </c>
      <c r="I298">
        <v>0.4</v>
      </c>
      <c r="J298">
        <v>159.52179994575246</v>
      </c>
      <c r="K298" s="24"/>
      <c r="L298">
        <v>0.4</v>
      </c>
      <c r="M298">
        <v>154.8474906944781</v>
      </c>
    </row>
    <row r="299" spans="1:13">
      <c r="B299">
        <v>9</v>
      </c>
      <c r="C299">
        <v>156.89449470484178</v>
      </c>
    </row>
    <row r="300" spans="1:13">
      <c r="B300">
        <v>10</v>
      </c>
      <c r="C300">
        <v>150.2475568844155</v>
      </c>
      <c r="I300" s="39" t="s">
        <v>43</v>
      </c>
      <c r="J300" s="39"/>
    </row>
    <row r="301" spans="1:13">
      <c r="B301">
        <v>11</v>
      </c>
      <c r="C301">
        <v>153.70079353788088</v>
      </c>
      <c r="I301" t="s">
        <v>34</v>
      </c>
      <c r="J301">
        <v>148.53819555498285</v>
      </c>
    </row>
    <row r="302" spans="1:13">
      <c r="B302">
        <v>12</v>
      </c>
      <c r="C302">
        <v>161.263198450424</v>
      </c>
      <c r="I302" t="s">
        <v>38</v>
      </c>
      <c r="J302">
        <v>8.9263231145511348</v>
      </c>
    </row>
    <row r="303" spans="1:13">
      <c r="B303">
        <v>13</v>
      </c>
      <c r="C303">
        <v>159.79888854270544</v>
      </c>
      <c r="I303">
        <v>0.9</v>
      </c>
      <c r="J303">
        <v>137.21366054685365</v>
      </c>
    </row>
    <row r="304" spans="1:13">
      <c r="B304">
        <v>14</v>
      </c>
      <c r="C304">
        <v>166.93237622597374</v>
      </c>
      <c r="I304">
        <v>0.8</v>
      </c>
      <c r="J304">
        <v>140.78016103585762</v>
      </c>
    </row>
    <row r="305" spans="2:10">
      <c r="B305">
        <v>15</v>
      </c>
      <c r="C305">
        <v>149.35498001773283</v>
      </c>
      <c r="I305">
        <v>0.7</v>
      </c>
      <c r="J305">
        <v>143.51998894107061</v>
      </c>
    </row>
    <row r="306" spans="2:10">
      <c r="B306">
        <v>16</v>
      </c>
      <c r="C306">
        <v>151.79619029678258</v>
      </c>
      <c r="I306">
        <v>0.6</v>
      </c>
      <c r="J306">
        <v>145.79662703188836</v>
      </c>
    </row>
    <row r="307" spans="2:10">
      <c r="B307">
        <v>17</v>
      </c>
      <c r="C307">
        <v>160.95354451307662</v>
      </c>
      <c r="I307">
        <v>0.5</v>
      </c>
      <c r="J307">
        <v>148.29800191825365</v>
      </c>
    </row>
    <row r="308" spans="2:10">
      <c r="B308">
        <v>18</v>
      </c>
      <c r="C308">
        <v>142.31082145459712</v>
      </c>
      <c r="I308">
        <v>0.4</v>
      </c>
      <c r="J308">
        <v>150.62221535681445</v>
      </c>
    </row>
    <row r="309" spans="2:10">
      <c r="B309">
        <v>19</v>
      </c>
      <c r="C309">
        <v>153.16716670548263</v>
      </c>
    </row>
    <row r="310" spans="2:10">
      <c r="B310">
        <v>20</v>
      </c>
      <c r="C310">
        <v>112.13828796050755</v>
      </c>
    </row>
    <row r="311" spans="2:10">
      <c r="B311">
        <v>21</v>
      </c>
      <c r="C311">
        <v>134.33852577436707</v>
      </c>
    </row>
    <row r="312" spans="2:10">
      <c r="B312">
        <v>22</v>
      </c>
      <c r="C312">
        <v>153.88642286728393</v>
      </c>
    </row>
    <row r="313" spans="2:10">
      <c r="B313">
        <v>23</v>
      </c>
      <c r="C313">
        <v>149.64700593305335</v>
      </c>
    </row>
    <row r="314" spans="2:10">
      <c r="B314">
        <v>24</v>
      </c>
      <c r="C314">
        <v>187.96805661157794</v>
      </c>
    </row>
    <row r="315" spans="2:10">
      <c r="B315">
        <v>25</v>
      </c>
      <c r="C315">
        <v>176.91986927548737</v>
      </c>
    </row>
    <row r="316" spans="2:10">
      <c r="B316">
        <v>26</v>
      </c>
      <c r="C316">
        <v>151.09559060679376</v>
      </c>
    </row>
    <row r="317" spans="2:10">
      <c r="B317">
        <v>27</v>
      </c>
      <c r="C317">
        <v>131.48819596344478</v>
      </c>
    </row>
    <row r="318" spans="2:10">
      <c r="B318">
        <v>28</v>
      </c>
      <c r="C318">
        <v>184.33393758938439</v>
      </c>
    </row>
    <row r="319" spans="2:10">
      <c r="B319">
        <v>29</v>
      </c>
      <c r="C319">
        <v>169.60622366787877</v>
      </c>
    </row>
    <row r="320" spans="2:10">
      <c r="B320">
        <v>30</v>
      </c>
      <c r="C320">
        <v>174.9410507468113</v>
      </c>
    </row>
    <row r="321" spans="2:3">
      <c r="B321">
        <v>31</v>
      </c>
      <c r="C321">
        <v>168.24402045095638</v>
      </c>
    </row>
    <row r="322" spans="2:3">
      <c r="B322">
        <v>32</v>
      </c>
      <c r="C322">
        <v>156.44560094077463</v>
      </c>
    </row>
    <row r="323" spans="2:3">
      <c r="B323">
        <v>33</v>
      </c>
      <c r="C323">
        <v>165.64521118813417</v>
      </c>
    </row>
    <row r="324" spans="2:3">
      <c r="B324">
        <v>34</v>
      </c>
      <c r="C324">
        <v>177.08109085534423</v>
      </c>
    </row>
    <row r="325" spans="2:3">
      <c r="B325">
        <v>35</v>
      </c>
      <c r="C325">
        <v>132.67828539793268</v>
      </c>
    </row>
    <row r="326" spans="2:3">
      <c r="B326">
        <v>36</v>
      </c>
      <c r="C326">
        <v>150.94873015921149</v>
      </c>
    </row>
    <row r="327" spans="2:3">
      <c r="B327">
        <v>37</v>
      </c>
      <c r="C327">
        <v>148.50763167065625</v>
      </c>
    </row>
    <row r="328" spans="2:3">
      <c r="B328">
        <v>38</v>
      </c>
      <c r="C328">
        <v>165.27227736986961</v>
      </c>
    </row>
    <row r="329" spans="2:3">
      <c r="B329">
        <v>39</v>
      </c>
      <c r="C329">
        <v>125.17299655084811</v>
      </c>
    </row>
    <row r="330" spans="2:3">
      <c r="B330">
        <v>40</v>
      </c>
      <c r="C330">
        <v>147.90414907223803</v>
      </c>
    </row>
    <row r="331" spans="2:3">
      <c r="B331">
        <v>41</v>
      </c>
      <c r="C331">
        <v>178.47348004799204</v>
      </c>
    </row>
    <row r="332" spans="2:3">
      <c r="B332">
        <v>42</v>
      </c>
      <c r="C332">
        <v>150.03919640219186</v>
      </c>
    </row>
    <row r="333" spans="2:3">
      <c r="B333">
        <v>43</v>
      </c>
      <c r="C333">
        <v>187.32851896759468</v>
      </c>
    </row>
    <row r="334" spans="2:3">
      <c r="B334">
        <v>44</v>
      </c>
      <c r="C334">
        <v>174.67462837861626</v>
      </c>
    </row>
    <row r="335" spans="2:3">
      <c r="B335">
        <v>45</v>
      </c>
      <c r="C335">
        <v>168.35824828922247</v>
      </c>
    </row>
    <row r="336" spans="2:3">
      <c r="B336">
        <v>46</v>
      </c>
      <c r="C336">
        <v>144.95930068523134</v>
      </c>
    </row>
    <row r="337" spans="2:3">
      <c r="B337">
        <v>47</v>
      </c>
      <c r="C337">
        <v>131.60799146096898</v>
      </c>
    </row>
    <row r="338" spans="2:3">
      <c r="B338">
        <v>48</v>
      </c>
      <c r="C338">
        <v>141.07295710125746</v>
      </c>
    </row>
    <row r="339" spans="2:3">
      <c r="B339">
        <v>49</v>
      </c>
      <c r="C339">
        <v>140.5573787120091</v>
      </c>
    </row>
    <row r="340" spans="2:3">
      <c r="B340">
        <v>50</v>
      </c>
      <c r="C340">
        <v>149.70606510272628</v>
      </c>
    </row>
    <row r="341" spans="2:3">
      <c r="B341">
        <v>51</v>
      </c>
      <c r="C341">
        <v>179.10868790424234</v>
      </c>
    </row>
    <row r="342" spans="2:3">
      <c r="B342">
        <v>52</v>
      </c>
      <c r="C342">
        <v>161.28926218714201</v>
      </c>
    </row>
    <row r="343" spans="2:3">
      <c r="B343">
        <v>53</v>
      </c>
      <c r="C343">
        <v>168.1461234747278</v>
      </c>
    </row>
    <row r="344" spans="2:3">
      <c r="B344">
        <v>54</v>
      </c>
      <c r="C344">
        <v>167.67524698950967</v>
      </c>
    </row>
    <row r="345" spans="2:3">
      <c r="B345">
        <v>55</v>
      </c>
      <c r="C345">
        <v>166.74069108778511</v>
      </c>
    </row>
    <row r="346" spans="2:3">
      <c r="B346">
        <v>56</v>
      </c>
      <c r="C346">
        <v>154.87262415791088</v>
      </c>
    </row>
    <row r="347" spans="2:3">
      <c r="B347">
        <v>57</v>
      </c>
      <c r="C347">
        <v>112.14937251244267</v>
      </c>
    </row>
    <row r="348" spans="2:3">
      <c r="B348">
        <v>58</v>
      </c>
      <c r="C348">
        <v>153.05317274842707</v>
      </c>
    </row>
    <row r="349" spans="2:3">
      <c r="B349">
        <v>59</v>
      </c>
      <c r="C349">
        <v>138.69363170771109</v>
      </c>
    </row>
    <row r="350" spans="2:3">
      <c r="B350">
        <v>60</v>
      </c>
      <c r="C350">
        <v>170.48568928346455</v>
      </c>
    </row>
    <row r="351" spans="2:3">
      <c r="B351">
        <v>61</v>
      </c>
      <c r="C351">
        <v>147.70053343772219</v>
      </c>
    </row>
    <row r="352" spans="2:3">
      <c r="B352">
        <v>62</v>
      </c>
      <c r="C352">
        <v>173.09367907775828</v>
      </c>
    </row>
    <row r="353" spans="2:3">
      <c r="B353">
        <v>63</v>
      </c>
      <c r="C353">
        <v>135.18405773098021</v>
      </c>
    </row>
    <row r="354" spans="2:3">
      <c r="B354">
        <v>64</v>
      </c>
      <c r="C354">
        <v>144.89173543186956</v>
      </c>
    </row>
    <row r="355" spans="2:3">
      <c r="B355">
        <v>65</v>
      </c>
      <c r="C355">
        <v>136.34646695652782</v>
      </c>
    </row>
    <row r="356" spans="2:3">
      <c r="B356">
        <v>66</v>
      </c>
      <c r="C356">
        <v>178.27292307591637</v>
      </c>
    </row>
    <row r="357" spans="2:3">
      <c r="B357">
        <v>67</v>
      </c>
      <c r="C357">
        <v>143.57596345088746</v>
      </c>
    </row>
    <row r="358" spans="2:3">
      <c r="B358">
        <v>68</v>
      </c>
      <c r="C358">
        <v>165.0729473600141</v>
      </c>
    </row>
    <row r="359" spans="2:3">
      <c r="B359">
        <v>69</v>
      </c>
      <c r="C359">
        <v>155.315202241999</v>
      </c>
    </row>
    <row r="360" spans="2:3">
      <c r="B360">
        <v>70</v>
      </c>
      <c r="C360">
        <v>200.96812495246235</v>
      </c>
    </row>
    <row r="361" spans="2:3">
      <c r="B361">
        <v>71</v>
      </c>
      <c r="C361">
        <v>120.01011269759267</v>
      </c>
    </row>
    <row r="362" spans="2:3">
      <c r="B362">
        <v>72</v>
      </c>
      <c r="C362">
        <v>145.73487552150459</v>
      </c>
    </row>
    <row r="363" spans="2:3">
      <c r="B363">
        <v>73</v>
      </c>
      <c r="C363">
        <v>149.06087419144197</v>
      </c>
    </row>
    <row r="364" spans="2:3">
      <c r="B364">
        <v>74</v>
      </c>
      <c r="C364">
        <v>169.48890271309585</v>
      </c>
    </row>
    <row r="365" spans="2:3">
      <c r="B365">
        <v>75</v>
      </c>
      <c r="C365">
        <v>156.53048729027427</v>
      </c>
    </row>
    <row r="366" spans="2:3">
      <c r="B366">
        <v>76</v>
      </c>
      <c r="C366">
        <v>133.58958228606022</v>
      </c>
    </row>
    <row r="367" spans="2:3">
      <c r="B367">
        <v>77</v>
      </c>
      <c r="C367">
        <v>138.22284459173272</v>
      </c>
    </row>
    <row r="368" spans="2:3">
      <c r="B368">
        <v>78</v>
      </c>
      <c r="C368">
        <v>158.38704362524066</v>
      </c>
    </row>
    <row r="369" spans="2:3">
      <c r="B369">
        <v>79</v>
      </c>
      <c r="C369">
        <v>181.44015940922534</v>
      </c>
    </row>
    <row r="370" spans="2:3">
      <c r="B370">
        <v>80</v>
      </c>
      <c r="C370">
        <v>180.63274920971008</v>
      </c>
    </row>
    <row r="371" spans="2:3">
      <c r="B371">
        <v>81</v>
      </c>
      <c r="C371">
        <v>131.90977706439625</v>
      </c>
    </row>
    <row r="372" spans="2:3">
      <c r="B372">
        <v>82</v>
      </c>
      <c r="C372">
        <v>167.83046154894242</v>
      </c>
    </row>
    <row r="373" spans="2:3">
      <c r="B373">
        <v>83</v>
      </c>
      <c r="C373">
        <v>170.15008999605965</v>
      </c>
    </row>
    <row r="374" spans="2:3">
      <c r="B374">
        <v>84</v>
      </c>
      <c r="C374">
        <v>184.60146853000359</v>
      </c>
    </row>
    <row r="375" spans="2:3">
      <c r="B375">
        <v>85</v>
      </c>
      <c r="C375">
        <v>162.32549366855525</v>
      </c>
    </row>
    <row r="376" spans="2:3">
      <c r="B376">
        <v>86</v>
      </c>
      <c r="C376">
        <v>160.93322217347767</v>
      </c>
    </row>
    <row r="377" spans="2:3">
      <c r="B377">
        <v>87</v>
      </c>
      <c r="C377">
        <v>170.67096624786129</v>
      </c>
    </row>
    <row r="378" spans="2:3">
      <c r="B378">
        <v>88</v>
      </c>
      <c r="C378">
        <v>170.13279825736478</v>
      </c>
    </row>
    <row r="379" spans="2:3">
      <c r="B379">
        <v>89</v>
      </c>
      <c r="C379">
        <v>165.29288334519833</v>
      </c>
    </row>
    <row r="380" spans="2:3">
      <c r="B380">
        <v>90</v>
      </c>
      <c r="C380">
        <v>113.41110321209347</v>
      </c>
    </row>
    <row r="381" spans="2:3">
      <c r="B381">
        <v>91</v>
      </c>
      <c r="C381">
        <v>132.85792979731147</v>
      </c>
    </row>
    <row r="382" spans="2:3">
      <c r="B382">
        <v>92</v>
      </c>
      <c r="C382">
        <v>149.38923124311407</v>
      </c>
    </row>
    <row r="383" spans="2:3">
      <c r="B383">
        <v>93</v>
      </c>
      <c r="C383">
        <v>125.91643265641528</v>
      </c>
    </row>
    <row r="384" spans="2:3">
      <c r="B384">
        <v>94</v>
      </c>
      <c r="C384">
        <v>145.42003849127471</v>
      </c>
    </row>
    <row r="385" spans="2:3">
      <c r="B385">
        <v>95</v>
      </c>
      <c r="C385">
        <v>134.75997878259633</v>
      </c>
    </row>
    <row r="386" spans="2:3">
      <c r="B386">
        <v>96</v>
      </c>
      <c r="C386">
        <v>111.66038999110427</v>
      </c>
    </row>
    <row r="387" spans="2:3">
      <c r="B387">
        <v>97</v>
      </c>
      <c r="C387">
        <v>153.80410339065176</v>
      </c>
    </row>
    <row r="388" spans="2:3">
      <c r="B388">
        <v>98</v>
      </c>
      <c r="C388">
        <v>177.44057713057538</v>
      </c>
    </row>
    <row r="389" spans="2:3">
      <c r="B389">
        <v>99</v>
      </c>
      <c r="C389">
        <v>143.59389639274707</v>
      </c>
    </row>
    <row r="390" spans="2:3">
      <c r="B390">
        <v>100</v>
      </c>
      <c r="C390">
        <v>126.56433886851974</v>
      </c>
    </row>
    <row r="391" spans="2:3">
      <c r="B391">
        <v>101</v>
      </c>
      <c r="C391">
        <v>136.68563465073473</v>
      </c>
    </row>
    <row r="392" spans="2:3">
      <c r="B392">
        <v>102</v>
      </c>
      <c r="C392">
        <v>133.23119058257745</v>
      </c>
    </row>
    <row r="393" spans="2:3">
      <c r="B393">
        <v>103</v>
      </c>
      <c r="C393">
        <v>156.31378011687585</v>
      </c>
    </row>
    <row r="394" spans="2:3">
      <c r="B394">
        <v>104</v>
      </c>
      <c r="C394">
        <v>185.25450007941572</v>
      </c>
    </row>
    <row r="395" spans="2:3">
      <c r="B395">
        <v>105</v>
      </c>
      <c r="C395">
        <v>143.67441002638151</v>
      </c>
    </row>
    <row r="396" spans="2:3">
      <c r="B396">
        <v>106</v>
      </c>
      <c r="C396">
        <v>153.62323003315598</v>
      </c>
    </row>
    <row r="397" spans="2:3">
      <c r="B397">
        <v>107</v>
      </c>
      <c r="C397">
        <v>160.27617430871769</v>
      </c>
    </row>
    <row r="398" spans="2:3">
      <c r="B398">
        <v>108</v>
      </c>
      <c r="C398">
        <v>155.47063679818294</v>
      </c>
    </row>
    <row r="399" spans="2:3">
      <c r="B399">
        <v>109</v>
      </c>
      <c r="C399">
        <v>146.62033164998033</v>
      </c>
    </row>
    <row r="400" spans="2:3">
      <c r="B400">
        <v>110</v>
      </c>
      <c r="C400">
        <v>160.42046493308621</v>
      </c>
    </row>
    <row r="401" spans="2:3">
      <c r="B401">
        <v>111</v>
      </c>
      <c r="C401">
        <v>116.85214536758343</v>
      </c>
    </row>
    <row r="402" spans="2:3">
      <c r="B402">
        <v>112</v>
      </c>
      <c r="C402">
        <v>134.30305328614466</v>
      </c>
    </row>
    <row r="403" spans="2:3">
      <c r="B403">
        <v>113</v>
      </c>
      <c r="C403">
        <v>176.26956868033582</v>
      </c>
    </row>
    <row r="404" spans="2:3">
      <c r="B404">
        <v>114</v>
      </c>
      <c r="C404">
        <v>113.86923041672843</v>
      </c>
    </row>
    <row r="405" spans="2:3">
      <c r="B405">
        <v>115</v>
      </c>
      <c r="C405">
        <v>151.38679173139181</v>
      </c>
    </row>
    <row r="406" spans="2:3">
      <c r="B406">
        <v>116</v>
      </c>
      <c r="C406">
        <v>234.75861155304037</v>
      </c>
    </row>
    <row r="407" spans="2:3">
      <c r="B407">
        <v>117</v>
      </c>
      <c r="C407">
        <v>145.87447611382075</v>
      </c>
    </row>
    <row r="408" spans="2:3">
      <c r="B408">
        <v>118</v>
      </c>
      <c r="C408">
        <v>161.03521223407751</v>
      </c>
    </row>
    <row r="409" spans="2:3">
      <c r="B409">
        <v>119</v>
      </c>
      <c r="C409">
        <v>168.54295137618419</v>
      </c>
    </row>
    <row r="410" spans="2:3">
      <c r="B410">
        <v>120</v>
      </c>
      <c r="C410">
        <v>160.68171189243921</v>
      </c>
    </row>
    <row r="411" spans="2:3">
      <c r="B411">
        <v>121</v>
      </c>
      <c r="C411">
        <v>120.02035568076374</v>
      </c>
    </row>
    <row r="412" spans="2:3">
      <c r="B412">
        <v>122</v>
      </c>
      <c r="C412">
        <v>171.90289625729514</v>
      </c>
    </row>
    <row r="413" spans="2:3">
      <c r="B413">
        <v>123</v>
      </c>
      <c r="C413">
        <v>177.16844131750517</v>
      </c>
    </row>
    <row r="414" spans="2:3">
      <c r="B414">
        <v>124</v>
      </c>
      <c r="C414">
        <v>126.36120054461176</v>
      </c>
    </row>
    <row r="415" spans="2:3">
      <c r="B415">
        <v>125</v>
      </c>
      <c r="C415">
        <v>150.5775293412245</v>
      </c>
    </row>
    <row r="416" spans="2:3">
      <c r="B416">
        <v>126</v>
      </c>
      <c r="C416">
        <v>153.60174783723537</v>
      </c>
    </row>
    <row r="417" spans="2:3">
      <c r="B417">
        <v>127</v>
      </c>
      <c r="C417">
        <v>197.10061090269923</v>
      </c>
    </row>
    <row r="418" spans="2:3">
      <c r="B418">
        <v>128</v>
      </c>
      <c r="C418">
        <v>148.31941103329663</v>
      </c>
    </row>
    <row r="419" spans="2:3">
      <c r="B419">
        <v>129</v>
      </c>
      <c r="C419">
        <v>148.64197091300142</v>
      </c>
    </row>
    <row r="420" spans="2:3">
      <c r="B420">
        <v>130</v>
      </c>
      <c r="C420">
        <v>119.29823128592669</v>
      </c>
    </row>
    <row r="421" spans="2:3">
      <c r="B421">
        <v>131</v>
      </c>
      <c r="C421">
        <v>169.64418843478541</v>
      </c>
    </row>
    <row r="422" spans="2:3">
      <c r="B422">
        <v>132</v>
      </c>
      <c r="C422">
        <v>175.61543596885176</v>
      </c>
    </row>
    <row r="423" spans="2:3">
      <c r="B423">
        <v>133</v>
      </c>
      <c r="C423">
        <v>171.61920582743329</v>
      </c>
    </row>
    <row r="424" spans="2:3">
      <c r="B424">
        <v>134</v>
      </c>
      <c r="C424">
        <v>192.42945709667498</v>
      </c>
    </row>
    <row r="425" spans="2:3">
      <c r="B425">
        <v>135</v>
      </c>
      <c r="C425">
        <v>145.98871900826623</v>
      </c>
    </row>
    <row r="426" spans="2:3">
      <c r="B426">
        <v>136</v>
      </c>
      <c r="C426">
        <v>161.52108644971864</v>
      </c>
    </row>
    <row r="427" spans="2:3">
      <c r="B427">
        <v>137</v>
      </c>
      <c r="C427">
        <v>160.86358123149026</v>
      </c>
    </row>
    <row r="428" spans="2:3">
      <c r="B428">
        <v>138</v>
      </c>
      <c r="C428">
        <v>148.44914756195365</v>
      </c>
    </row>
    <row r="429" spans="2:3">
      <c r="B429">
        <v>139</v>
      </c>
      <c r="C429">
        <v>163.70534223142525</v>
      </c>
    </row>
    <row r="430" spans="2:3">
      <c r="B430">
        <v>140</v>
      </c>
      <c r="C430">
        <v>174.20565295001074</v>
      </c>
    </row>
    <row r="431" spans="2:3">
      <c r="B431">
        <v>141</v>
      </c>
      <c r="C431">
        <v>166.84951904120263</v>
      </c>
    </row>
    <row r="432" spans="2:3">
      <c r="B432">
        <v>142</v>
      </c>
      <c r="C432">
        <v>166.15736233266276</v>
      </c>
    </row>
    <row r="433" spans="2:3">
      <c r="B433">
        <v>143</v>
      </c>
      <c r="C433">
        <v>181.83200789943174</v>
      </c>
    </row>
    <row r="434" spans="2:3">
      <c r="B434">
        <v>144</v>
      </c>
      <c r="C434">
        <v>148.63838794925624</v>
      </c>
    </row>
    <row r="435" spans="2:3">
      <c r="B435">
        <v>145</v>
      </c>
      <c r="C435">
        <v>146.35682291393798</v>
      </c>
    </row>
    <row r="436" spans="2:3">
      <c r="B436">
        <v>146</v>
      </c>
      <c r="C436">
        <v>162.18256250274379</v>
      </c>
    </row>
    <row r="437" spans="2:3">
      <c r="B437">
        <v>147</v>
      </c>
      <c r="C437">
        <v>128.76019323575758</v>
      </c>
    </row>
    <row r="438" spans="2:3">
      <c r="B438">
        <v>148</v>
      </c>
      <c r="C438">
        <v>132.36307516491064</v>
      </c>
    </row>
    <row r="439" spans="2:3">
      <c r="B439">
        <v>149</v>
      </c>
      <c r="C439">
        <v>132.16001336784996</v>
      </c>
    </row>
    <row r="440" spans="2:3">
      <c r="B440">
        <v>150</v>
      </c>
      <c r="C440">
        <v>130.39274536806775</v>
      </c>
    </row>
    <row r="441" spans="2:3">
      <c r="B441">
        <v>151</v>
      </c>
      <c r="C441">
        <v>172.94302625343977</v>
      </c>
    </row>
    <row r="442" spans="2:3">
      <c r="B442">
        <v>152</v>
      </c>
      <c r="C442">
        <v>149.94413203891861</v>
      </c>
    </row>
    <row r="443" spans="2:3">
      <c r="B443">
        <v>153</v>
      </c>
      <c r="C443">
        <v>178.317422333493</v>
      </c>
    </row>
    <row r="444" spans="2:3">
      <c r="B444">
        <v>154</v>
      </c>
      <c r="C444">
        <v>127.02386848971686</v>
      </c>
    </row>
    <row r="445" spans="2:3">
      <c r="B445">
        <v>155</v>
      </c>
      <c r="C445">
        <v>190.71645901484186</v>
      </c>
    </row>
    <row r="446" spans="2:3">
      <c r="B446">
        <v>156</v>
      </c>
      <c r="C446">
        <v>136.01938608090862</v>
      </c>
    </row>
    <row r="447" spans="2:3">
      <c r="B447">
        <v>157</v>
      </c>
      <c r="C447">
        <v>134.42535813215596</v>
      </c>
    </row>
    <row r="448" spans="2:3">
      <c r="B448">
        <v>158</v>
      </c>
      <c r="C448">
        <v>148.0106734441737</v>
      </c>
    </row>
    <row r="449" spans="2:3">
      <c r="B449">
        <v>159</v>
      </c>
      <c r="C449">
        <v>168.94654114437682</v>
      </c>
    </row>
    <row r="450" spans="2:3">
      <c r="B450">
        <v>160</v>
      </c>
      <c r="C450">
        <v>167.50022021427958</v>
      </c>
    </row>
    <row r="451" spans="2:3">
      <c r="B451">
        <v>161</v>
      </c>
      <c r="C451">
        <v>138.91861156445484</v>
      </c>
    </row>
    <row r="452" spans="2:3">
      <c r="B452">
        <v>162</v>
      </c>
      <c r="C452">
        <v>173.29737264203291</v>
      </c>
    </row>
    <row r="453" spans="2:3">
      <c r="B453">
        <v>163</v>
      </c>
      <c r="C453">
        <v>133.6400791305208</v>
      </c>
    </row>
    <row r="454" spans="2:3">
      <c r="B454">
        <v>164</v>
      </c>
      <c r="C454">
        <v>133.56962604739468</v>
      </c>
    </row>
    <row r="455" spans="2:3">
      <c r="B455">
        <v>165</v>
      </c>
      <c r="C455">
        <v>145.93564787669769</v>
      </c>
    </row>
    <row r="456" spans="2:3">
      <c r="B456">
        <v>166</v>
      </c>
      <c r="C456">
        <v>170.39376746018331</v>
      </c>
    </row>
    <row r="457" spans="2:3">
      <c r="B457">
        <v>167</v>
      </c>
      <c r="C457">
        <v>150.08729488245001</v>
      </c>
    </row>
    <row r="458" spans="2:3">
      <c r="B458">
        <v>168</v>
      </c>
      <c r="C458">
        <v>148.32009925560584</v>
      </c>
    </row>
    <row r="459" spans="2:3">
      <c r="B459">
        <v>169</v>
      </c>
      <c r="C459">
        <v>146.58081185542781</v>
      </c>
    </row>
    <row r="460" spans="2:3">
      <c r="B460">
        <v>170</v>
      </c>
      <c r="C460">
        <v>174.30792710599567</v>
      </c>
    </row>
    <row r="461" spans="2:3">
      <c r="B461">
        <v>171</v>
      </c>
      <c r="C461">
        <v>131.41602781281458</v>
      </c>
    </row>
    <row r="462" spans="2:3">
      <c r="B462">
        <v>172</v>
      </c>
      <c r="C462">
        <v>155.97504590446343</v>
      </c>
    </row>
    <row r="463" spans="2:3">
      <c r="B463">
        <v>173</v>
      </c>
      <c r="C463">
        <v>143.02618480725945</v>
      </c>
    </row>
    <row r="464" spans="2:3">
      <c r="B464">
        <v>174</v>
      </c>
      <c r="C464">
        <v>149.74834490544004</v>
      </c>
    </row>
    <row r="465" spans="2:3">
      <c r="B465">
        <v>175</v>
      </c>
      <c r="C465">
        <v>137.11659162632003</v>
      </c>
    </row>
    <row r="466" spans="2:3">
      <c r="B466">
        <v>176</v>
      </c>
      <c r="C466">
        <v>119.63792646891466</v>
      </c>
    </row>
    <row r="467" spans="2:3">
      <c r="B467">
        <v>177</v>
      </c>
      <c r="C467">
        <v>166.88852709769208</v>
      </c>
    </row>
    <row r="468" spans="2:3">
      <c r="B468">
        <v>178</v>
      </c>
      <c r="C468">
        <v>135.12236576542051</v>
      </c>
    </row>
    <row r="469" spans="2:3">
      <c r="B469">
        <v>179</v>
      </c>
      <c r="C469">
        <v>199.05168510801241</v>
      </c>
    </row>
    <row r="470" spans="2:3">
      <c r="B470">
        <v>180</v>
      </c>
      <c r="C470">
        <v>169.70400805894025</v>
      </c>
    </row>
    <row r="471" spans="2:3">
      <c r="B471">
        <v>181</v>
      </c>
      <c r="C471">
        <v>179.14061101621763</v>
      </c>
    </row>
    <row r="472" spans="2:3">
      <c r="B472">
        <v>182</v>
      </c>
      <c r="C472">
        <v>131.37657688816799</v>
      </c>
    </row>
    <row r="473" spans="2:3">
      <c r="B473">
        <v>183</v>
      </c>
      <c r="C473">
        <v>172.39865380637789</v>
      </c>
    </row>
    <row r="474" spans="2:3">
      <c r="B474">
        <v>184</v>
      </c>
      <c r="C474">
        <v>194.18195032776367</v>
      </c>
    </row>
    <row r="475" spans="2:3">
      <c r="B475">
        <v>185</v>
      </c>
      <c r="C475">
        <v>162.4451081332933</v>
      </c>
    </row>
    <row r="476" spans="2:3">
      <c r="B476">
        <v>186</v>
      </c>
      <c r="C476">
        <v>126.8390851801865</v>
      </c>
    </row>
    <row r="477" spans="2:3">
      <c r="B477">
        <v>187</v>
      </c>
      <c r="C477">
        <v>137.15865501988023</v>
      </c>
    </row>
    <row r="478" spans="2:3">
      <c r="B478">
        <v>188</v>
      </c>
      <c r="C478">
        <v>200.15732744683669</v>
      </c>
    </row>
    <row r="479" spans="2:3">
      <c r="B479">
        <v>189</v>
      </c>
      <c r="C479">
        <v>134.34211426863104</v>
      </c>
    </row>
    <row r="480" spans="2:3">
      <c r="B480">
        <v>190</v>
      </c>
      <c r="C480">
        <v>131.98903123073393</v>
      </c>
    </row>
    <row r="481" spans="2:3">
      <c r="B481">
        <v>191</v>
      </c>
      <c r="C481">
        <v>166.44141293565067</v>
      </c>
    </row>
    <row r="482" spans="2:3">
      <c r="B482">
        <v>192</v>
      </c>
      <c r="C482">
        <v>192.85439739905806</v>
      </c>
    </row>
    <row r="483" spans="2:3">
      <c r="B483">
        <v>193</v>
      </c>
      <c r="C483">
        <v>117.94296794678722</v>
      </c>
    </row>
    <row r="484" spans="2:3">
      <c r="B484">
        <v>194</v>
      </c>
      <c r="C484">
        <v>138.09420581035735</v>
      </c>
    </row>
    <row r="485" spans="2:3">
      <c r="B485">
        <v>195</v>
      </c>
      <c r="C485">
        <v>164.72704673042222</v>
      </c>
    </row>
    <row r="486" spans="2:3">
      <c r="B486">
        <v>196</v>
      </c>
      <c r="C486">
        <v>173.60056588069889</v>
      </c>
    </row>
    <row r="487" spans="2:3">
      <c r="B487">
        <v>197</v>
      </c>
      <c r="C487">
        <v>191.04665832640467</v>
      </c>
    </row>
    <row r="488" spans="2:3">
      <c r="B488">
        <v>198</v>
      </c>
      <c r="C488">
        <v>181.48036062289083</v>
      </c>
    </row>
    <row r="489" spans="2:3">
      <c r="B489">
        <v>199</v>
      </c>
      <c r="C489">
        <v>134.80378302024531</v>
      </c>
    </row>
    <row r="490" spans="2:3">
      <c r="B490">
        <v>200</v>
      </c>
      <c r="C490">
        <v>145.63983610236002</v>
      </c>
    </row>
    <row r="491" spans="2:3">
      <c r="B491">
        <v>201</v>
      </c>
      <c r="C491">
        <v>172.74620918922199</v>
      </c>
    </row>
    <row r="492" spans="2:3">
      <c r="B492">
        <v>202</v>
      </c>
      <c r="C492">
        <v>110.00930069915154</v>
      </c>
    </row>
    <row r="493" spans="2:3">
      <c r="B493">
        <v>203</v>
      </c>
      <c r="C493">
        <v>145.91870200421437</v>
      </c>
    </row>
    <row r="494" spans="2:3">
      <c r="B494">
        <v>204</v>
      </c>
      <c r="C494">
        <v>171.40412323159609</v>
      </c>
    </row>
    <row r="495" spans="2:3">
      <c r="B495">
        <v>205</v>
      </c>
      <c r="C495">
        <v>167.52703375081344</v>
      </c>
    </row>
    <row r="496" spans="2:3">
      <c r="B496">
        <v>206</v>
      </c>
      <c r="C496">
        <v>153.11077466765821</v>
      </c>
    </row>
    <row r="497" spans="2:3">
      <c r="B497">
        <v>207</v>
      </c>
      <c r="C497">
        <v>151.68016668833292</v>
      </c>
    </row>
    <row r="498" spans="2:3">
      <c r="B498">
        <v>208</v>
      </c>
      <c r="C498">
        <v>190.75033908533638</v>
      </c>
    </row>
    <row r="499" spans="2:3">
      <c r="B499">
        <v>209</v>
      </c>
      <c r="C499">
        <v>141.83181121987997</v>
      </c>
    </row>
    <row r="500" spans="2:3">
      <c r="B500">
        <v>210</v>
      </c>
      <c r="C500">
        <v>141.97094869676312</v>
      </c>
    </row>
    <row r="501" spans="2:3">
      <c r="B501">
        <v>211</v>
      </c>
      <c r="C501">
        <v>118.25275545060391</v>
      </c>
    </row>
    <row r="502" spans="2:3">
      <c r="B502">
        <v>212</v>
      </c>
      <c r="C502">
        <v>153.57031163902693</v>
      </c>
    </row>
    <row r="503" spans="2:3">
      <c r="B503">
        <v>213</v>
      </c>
      <c r="C503">
        <v>147.36901364241376</v>
      </c>
    </row>
    <row r="504" spans="2:3">
      <c r="B504">
        <v>214</v>
      </c>
      <c r="C504">
        <v>129.02791820118841</v>
      </c>
    </row>
    <row r="505" spans="2:3">
      <c r="B505">
        <v>215</v>
      </c>
      <c r="C505">
        <v>198.23726215179153</v>
      </c>
    </row>
    <row r="506" spans="2:3">
      <c r="B506">
        <v>216</v>
      </c>
      <c r="C506">
        <v>179.92607488606203</v>
      </c>
    </row>
    <row r="507" spans="2:3">
      <c r="B507">
        <v>217</v>
      </c>
      <c r="C507">
        <v>165.4380570942503</v>
      </c>
    </row>
    <row r="508" spans="2:3">
      <c r="B508">
        <v>218</v>
      </c>
      <c r="C508">
        <v>149.17031365311038</v>
      </c>
    </row>
    <row r="509" spans="2:3">
      <c r="B509">
        <v>219</v>
      </c>
      <c r="C509">
        <v>175.05632020287331</v>
      </c>
    </row>
    <row r="510" spans="2:3">
      <c r="B510">
        <v>220</v>
      </c>
      <c r="C510">
        <v>159.25184526197771</v>
      </c>
    </row>
    <row r="511" spans="2:3">
      <c r="B511">
        <v>221</v>
      </c>
      <c r="C511">
        <v>139.82166067161475</v>
      </c>
    </row>
    <row r="512" spans="2:3">
      <c r="B512">
        <v>222</v>
      </c>
      <c r="C512">
        <v>186.09418948603945</v>
      </c>
    </row>
    <row r="513" spans="2:3">
      <c r="B513">
        <v>223</v>
      </c>
      <c r="C513">
        <v>143.19244074662186</v>
      </c>
    </row>
    <row r="514" spans="2:3">
      <c r="B514">
        <v>224</v>
      </c>
      <c r="C514">
        <v>159.01086352280836</v>
      </c>
    </row>
    <row r="515" spans="2:3">
      <c r="B515">
        <v>225</v>
      </c>
      <c r="C515">
        <v>151.07566119830881</v>
      </c>
    </row>
    <row r="516" spans="2:3">
      <c r="B516">
        <v>226</v>
      </c>
      <c r="C516">
        <v>126.60364003374174</v>
      </c>
    </row>
    <row r="517" spans="2:3">
      <c r="B517">
        <v>227</v>
      </c>
      <c r="C517">
        <v>168.35626745224658</v>
      </c>
    </row>
    <row r="518" spans="2:3">
      <c r="B518">
        <v>228</v>
      </c>
      <c r="C518">
        <v>188.8001965664636</v>
      </c>
    </row>
    <row r="519" spans="2:3">
      <c r="B519">
        <v>229</v>
      </c>
      <c r="C519">
        <v>125.79434958954621</v>
      </c>
    </row>
    <row r="520" spans="2:3">
      <c r="B520">
        <v>230</v>
      </c>
      <c r="C520">
        <v>194.81463701552875</v>
      </c>
    </row>
    <row r="521" spans="2:3">
      <c r="B521">
        <v>231</v>
      </c>
      <c r="C521">
        <v>123.87567406200414</v>
      </c>
    </row>
    <row r="522" spans="2:3">
      <c r="B522">
        <v>232</v>
      </c>
      <c r="C522">
        <v>139.62414660951086</v>
      </c>
    </row>
    <row r="523" spans="2:3">
      <c r="B523">
        <v>233</v>
      </c>
      <c r="C523">
        <v>154.34669793467975</v>
      </c>
    </row>
    <row r="524" spans="2:3">
      <c r="B524">
        <v>234</v>
      </c>
      <c r="C524">
        <v>159.65158456465784</v>
      </c>
    </row>
    <row r="525" spans="2:3">
      <c r="B525">
        <v>235</v>
      </c>
      <c r="C525">
        <v>126.90720513880409</v>
      </c>
    </row>
    <row r="526" spans="2:3">
      <c r="B526">
        <v>236</v>
      </c>
      <c r="C526">
        <v>172.91962065367346</v>
      </c>
    </row>
    <row r="527" spans="2:3">
      <c r="B527">
        <v>237</v>
      </c>
      <c r="C527">
        <v>168.84424065069351</v>
      </c>
    </row>
    <row r="528" spans="2:3">
      <c r="B528">
        <v>238</v>
      </c>
      <c r="C528">
        <v>138.23224695775033</v>
      </c>
    </row>
    <row r="529" spans="2:3">
      <c r="B529">
        <v>239</v>
      </c>
      <c r="C529">
        <v>140.71371708807231</v>
      </c>
    </row>
    <row r="530" spans="2:3">
      <c r="B530">
        <v>240</v>
      </c>
      <c r="C530">
        <v>154.84777949126175</v>
      </c>
    </row>
    <row r="531" spans="2:3">
      <c r="B531">
        <v>241</v>
      </c>
      <c r="C531">
        <v>156.039884713497</v>
      </c>
    </row>
    <row r="532" spans="2:3">
      <c r="B532">
        <v>242</v>
      </c>
      <c r="C532">
        <v>174.16569737596188</v>
      </c>
    </row>
    <row r="533" spans="2:3">
      <c r="B533">
        <v>243</v>
      </c>
      <c r="C533">
        <v>158.78305815920896</v>
      </c>
    </row>
    <row r="534" spans="2:3">
      <c r="B534">
        <v>244</v>
      </c>
      <c r="C534">
        <v>162.98031950245058</v>
      </c>
    </row>
    <row r="535" spans="2:3">
      <c r="B535">
        <v>245</v>
      </c>
      <c r="C535">
        <v>150.61283462004351</v>
      </c>
    </row>
    <row r="536" spans="2:3">
      <c r="B536">
        <v>246</v>
      </c>
      <c r="C536">
        <v>128.98260873598645</v>
      </c>
    </row>
    <row r="537" spans="2:3">
      <c r="B537">
        <v>247</v>
      </c>
      <c r="C537">
        <v>122.93265855679304</v>
      </c>
    </row>
    <row r="538" spans="2:3">
      <c r="B538">
        <v>248</v>
      </c>
      <c r="C538">
        <v>150.99609617159132</v>
      </c>
    </row>
    <row r="539" spans="2:3">
      <c r="B539">
        <v>249</v>
      </c>
      <c r="C539">
        <v>131.6278618032853</v>
      </c>
    </row>
    <row r="540" spans="2:3">
      <c r="B540">
        <v>250</v>
      </c>
      <c r="C540">
        <v>187.18411609480842</v>
      </c>
    </row>
    <row r="541" spans="2:3">
      <c r="B541">
        <v>251</v>
      </c>
      <c r="C541">
        <v>149.56201831598727</v>
      </c>
    </row>
    <row r="542" spans="2:3">
      <c r="B542">
        <v>252</v>
      </c>
      <c r="C542">
        <v>151.10952476315623</v>
      </c>
    </row>
    <row r="543" spans="2:3">
      <c r="B543">
        <v>253</v>
      </c>
      <c r="C543">
        <v>173.40752081667296</v>
      </c>
    </row>
    <row r="544" spans="2:3">
      <c r="B544">
        <v>254</v>
      </c>
      <c r="C544">
        <v>180.16196778124515</v>
      </c>
    </row>
    <row r="545" spans="2:3">
      <c r="B545">
        <v>255</v>
      </c>
      <c r="C545">
        <v>130.15213302143579</v>
      </c>
    </row>
    <row r="546" spans="2:3">
      <c r="B546">
        <v>256</v>
      </c>
      <c r="C546">
        <v>167.90923113540885</v>
      </c>
    </row>
    <row r="547" spans="2:3">
      <c r="B547">
        <v>257</v>
      </c>
      <c r="C547">
        <v>169.30351761221849</v>
      </c>
    </row>
    <row r="548" spans="2:3">
      <c r="B548">
        <v>258</v>
      </c>
      <c r="C548">
        <v>144.18644654789492</v>
      </c>
    </row>
    <row r="549" spans="2:3">
      <c r="B549">
        <v>259</v>
      </c>
      <c r="C549">
        <v>126.98577612517848</v>
      </c>
    </row>
    <row r="550" spans="2:3">
      <c r="B550">
        <v>260</v>
      </c>
      <c r="C550">
        <v>128.84740133590475</v>
      </c>
    </row>
    <row r="551" spans="2:3">
      <c r="B551">
        <v>261</v>
      </c>
      <c r="C551">
        <v>135.85143894649372</v>
      </c>
    </row>
    <row r="552" spans="2:3">
      <c r="B552">
        <v>262</v>
      </c>
      <c r="C552">
        <v>149.72379180637412</v>
      </c>
    </row>
    <row r="553" spans="2:3">
      <c r="B553">
        <v>263</v>
      </c>
      <c r="C553">
        <v>144.95023936240753</v>
      </c>
    </row>
    <row r="554" spans="2:3">
      <c r="B554">
        <v>264</v>
      </c>
      <c r="C554">
        <v>145.25908877177284</v>
      </c>
    </row>
    <row r="555" spans="2:3">
      <c r="B555">
        <v>265</v>
      </c>
      <c r="C555">
        <v>159.3073353642074</v>
      </c>
    </row>
    <row r="556" spans="2:3">
      <c r="B556">
        <v>266</v>
      </c>
      <c r="C556">
        <v>164.1916493336893</v>
      </c>
    </row>
    <row r="557" spans="2:3">
      <c r="B557">
        <v>267</v>
      </c>
      <c r="C557">
        <v>175.56340570374954</v>
      </c>
    </row>
    <row r="558" spans="2:3">
      <c r="B558">
        <v>268</v>
      </c>
      <c r="C558">
        <v>160.90358480825583</v>
      </c>
    </row>
    <row r="559" spans="2:3">
      <c r="B559">
        <v>269</v>
      </c>
      <c r="C559">
        <v>162.65519750360528</v>
      </c>
    </row>
    <row r="560" spans="2:3">
      <c r="B560">
        <v>270</v>
      </c>
      <c r="C560">
        <v>149.44014467851517</v>
      </c>
    </row>
    <row r="561" spans="2:3">
      <c r="B561">
        <v>271</v>
      </c>
      <c r="C561">
        <v>159.14373271287124</v>
      </c>
    </row>
    <row r="562" spans="2:3">
      <c r="B562">
        <v>272</v>
      </c>
      <c r="C562">
        <v>162.61872374392064</v>
      </c>
    </row>
    <row r="563" spans="2:3">
      <c r="B563">
        <v>273</v>
      </c>
      <c r="C563">
        <v>213.81191176530777</v>
      </c>
    </row>
    <row r="564" spans="2:3">
      <c r="B564">
        <v>274</v>
      </c>
      <c r="C564">
        <v>156.96791227935057</v>
      </c>
    </row>
    <row r="565" spans="2:3">
      <c r="B565">
        <v>275</v>
      </c>
      <c r="C565">
        <v>151.75798029263433</v>
      </c>
    </row>
    <row r="566" spans="2:3">
      <c r="B566">
        <v>276</v>
      </c>
      <c r="C566">
        <v>124.61780206081002</v>
      </c>
    </row>
    <row r="567" spans="2:3">
      <c r="B567">
        <v>277</v>
      </c>
      <c r="C567">
        <v>151.91818136378279</v>
      </c>
    </row>
    <row r="568" spans="2:3">
      <c r="B568">
        <v>278</v>
      </c>
      <c r="C568">
        <v>187.71107551710077</v>
      </c>
    </row>
    <row r="569" spans="2:3">
      <c r="B569">
        <v>279</v>
      </c>
      <c r="C569">
        <v>169.346065538689</v>
      </c>
    </row>
    <row r="570" spans="2:3">
      <c r="B570">
        <v>280</v>
      </c>
      <c r="C570">
        <v>128.9540521993863</v>
      </c>
    </row>
    <row r="571" spans="2:3">
      <c r="B571">
        <v>281</v>
      </c>
      <c r="C571">
        <v>148.60001282732071</v>
      </c>
    </row>
    <row r="572" spans="2:3">
      <c r="B572">
        <v>282</v>
      </c>
      <c r="C572">
        <v>147.74235094734723</v>
      </c>
    </row>
    <row r="573" spans="2:3">
      <c r="B573">
        <v>283</v>
      </c>
      <c r="C573">
        <v>167.73071053463144</v>
      </c>
    </row>
    <row r="574" spans="2:3">
      <c r="B574">
        <v>284</v>
      </c>
      <c r="C574">
        <v>143.12898392189192</v>
      </c>
    </row>
    <row r="575" spans="2:3">
      <c r="B575">
        <v>285</v>
      </c>
      <c r="C575">
        <v>145.91878888055959</v>
      </c>
    </row>
    <row r="576" spans="2:3">
      <c r="B576">
        <v>286</v>
      </c>
      <c r="C576">
        <v>150.26712146450976</v>
      </c>
    </row>
    <row r="577" spans="2:3">
      <c r="B577">
        <v>287</v>
      </c>
      <c r="C577">
        <v>160.68447424831601</v>
      </c>
    </row>
    <row r="578" spans="2:3">
      <c r="B578">
        <v>288</v>
      </c>
      <c r="C578">
        <v>152.22657015893867</v>
      </c>
    </row>
    <row r="579" spans="2:3">
      <c r="B579">
        <v>289</v>
      </c>
      <c r="C579">
        <v>184.5142422978935</v>
      </c>
    </row>
    <row r="580" spans="2:3">
      <c r="B580">
        <v>290</v>
      </c>
      <c r="C580">
        <v>161.71285908409459</v>
      </c>
    </row>
    <row r="581" spans="2:3">
      <c r="B581">
        <v>291</v>
      </c>
      <c r="C581">
        <v>168.34033878834563</v>
      </c>
    </row>
    <row r="582" spans="2:3">
      <c r="B582">
        <v>292</v>
      </c>
      <c r="C582">
        <v>136.6963013917688</v>
      </c>
    </row>
    <row r="583" spans="2:3">
      <c r="B583">
        <v>293</v>
      </c>
      <c r="C583">
        <v>166.29542514896701</v>
      </c>
    </row>
    <row r="584" spans="2:3">
      <c r="B584">
        <v>294</v>
      </c>
      <c r="C584">
        <v>156.03771016219611</v>
      </c>
    </row>
    <row r="585" spans="2:3">
      <c r="B585">
        <v>295</v>
      </c>
      <c r="C585">
        <v>154.04047151630553</v>
      </c>
    </row>
    <row r="586" spans="2:3">
      <c r="B586">
        <v>296</v>
      </c>
      <c r="C586">
        <v>173.05816688325348</v>
      </c>
    </row>
    <row r="587" spans="2:3">
      <c r="B587">
        <v>297</v>
      </c>
      <c r="C587">
        <v>116.79693625476739</v>
      </c>
    </row>
    <row r="588" spans="2:3">
      <c r="B588">
        <v>298</v>
      </c>
      <c r="C588">
        <v>150.32634302965846</v>
      </c>
    </row>
    <row r="589" spans="2:3">
      <c r="B589">
        <v>299</v>
      </c>
      <c r="C589">
        <v>163.68752947654824</v>
      </c>
    </row>
    <row r="590" spans="2:3">
      <c r="B590">
        <v>300</v>
      </c>
      <c r="C590">
        <v>146.53794943554445</v>
      </c>
    </row>
    <row r="591" spans="2:3">
      <c r="B591">
        <v>301</v>
      </c>
      <c r="C591">
        <v>132.65165299010371</v>
      </c>
    </row>
    <row r="592" spans="2:3">
      <c r="B592">
        <v>302</v>
      </c>
      <c r="C592">
        <v>130.37373800241321</v>
      </c>
    </row>
    <row r="593" spans="2:3">
      <c r="B593">
        <v>303</v>
      </c>
      <c r="C593">
        <v>167.92037116854206</v>
      </c>
    </row>
    <row r="594" spans="2:3">
      <c r="B594">
        <v>304</v>
      </c>
      <c r="C594">
        <v>142.63003906758448</v>
      </c>
    </row>
    <row r="595" spans="2:3">
      <c r="B595">
        <v>305</v>
      </c>
      <c r="C595">
        <v>136.60529989174466</v>
      </c>
    </row>
    <row r="596" spans="2:3">
      <c r="B596">
        <v>306</v>
      </c>
      <c r="C596">
        <v>130.89181962757831</v>
      </c>
    </row>
    <row r="597" spans="2:3">
      <c r="B597">
        <v>307</v>
      </c>
      <c r="C597">
        <v>155.82944148178407</v>
      </c>
    </row>
    <row r="598" spans="2:3">
      <c r="B598">
        <v>308</v>
      </c>
      <c r="C598">
        <v>133.19448706908</v>
      </c>
    </row>
    <row r="599" spans="2:3">
      <c r="B599">
        <v>309</v>
      </c>
      <c r="C599">
        <v>109.69005355351251</v>
      </c>
    </row>
    <row r="600" spans="2:3">
      <c r="B600">
        <v>310</v>
      </c>
      <c r="C600">
        <v>164.18809359360642</v>
      </c>
    </row>
    <row r="601" spans="2:3">
      <c r="B601">
        <v>311</v>
      </c>
      <c r="C601">
        <v>148.62017788480819</v>
      </c>
    </row>
    <row r="602" spans="2:3">
      <c r="B602">
        <v>312</v>
      </c>
      <c r="C602">
        <v>138.97954909356991</v>
      </c>
    </row>
    <row r="603" spans="2:3">
      <c r="B603">
        <v>313</v>
      </c>
      <c r="C603">
        <v>177.75939201331124</v>
      </c>
    </row>
    <row r="604" spans="2:3">
      <c r="B604">
        <v>314</v>
      </c>
      <c r="C604">
        <v>137.07272525444861</v>
      </c>
    </row>
    <row r="605" spans="2:3">
      <c r="B605">
        <v>315</v>
      </c>
      <c r="C605">
        <v>152.64165172032639</v>
      </c>
    </row>
    <row r="606" spans="2:3">
      <c r="B606">
        <v>316</v>
      </c>
      <c r="C606">
        <v>154.30188447126972</v>
      </c>
    </row>
    <row r="607" spans="2:3">
      <c r="B607">
        <v>317</v>
      </c>
      <c r="C607">
        <v>165.5086527662769</v>
      </c>
    </row>
    <row r="608" spans="2:3">
      <c r="B608">
        <v>318</v>
      </c>
      <c r="C608">
        <v>152.18688517288231</v>
      </c>
    </row>
    <row r="609" spans="2:3">
      <c r="B609">
        <v>319</v>
      </c>
      <c r="C609">
        <v>145.40892945708075</v>
      </c>
    </row>
    <row r="610" spans="2:3">
      <c r="B610">
        <v>320</v>
      </c>
      <c r="C610">
        <v>170.42420920255293</v>
      </c>
    </row>
    <row r="611" spans="2:3">
      <c r="B611">
        <v>321</v>
      </c>
      <c r="C611">
        <v>153.5706408125202</v>
      </c>
    </row>
    <row r="612" spans="2:3">
      <c r="B612">
        <v>322</v>
      </c>
      <c r="C612">
        <v>159.76415896550623</v>
      </c>
    </row>
    <row r="613" spans="2:3">
      <c r="B613">
        <v>323</v>
      </c>
      <c r="C613">
        <v>196.8693067066751</v>
      </c>
    </row>
    <row r="614" spans="2:3">
      <c r="B614">
        <v>324</v>
      </c>
      <c r="C614">
        <v>118.3282227297608</v>
      </c>
    </row>
    <row r="615" spans="2:3">
      <c r="B615">
        <v>325</v>
      </c>
      <c r="C615">
        <v>154.65322706066019</v>
      </c>
    </row>
    <row r="616" spans="2:3">
      <c r="B616">
        <v>326</v>
      </c>
      <c r="C616">
        <v>164.51235230889532</v>
      </c>
    </row>
    <row r="617" spans="2:3">
      <c r="B617">
        <v>327</v>
      </c>
      <c r="C617">
        <v>162.7960138649994</v>
      </c>
    </row>
    <row r="618" spans="2:3">
      <c r="B618">
        <v>328</v>
      </c>
      <c r="C618">
        <v>197.18213692883165</v>
      </c>
    </row>
    <row r="619" spans="2:3">
      <c r="B619">
        <v>329</v>
      </c>
      <c r="C619">
        <v>126.23157325760187</v>
      </c>
    </row>
    <row r="620" spans="2:3">
      <c r="B620">
        <v>330</v>
      </c>
      <c r="C620">
        <v>169.8132304173015</v>
      </c>
    </row>
    <row r="621" spans="2:3">
      <c r="B621">
        <v>331</v>
      </c>
      <c r="C621">
        <v>145.88721598081383</v>
      </c>
    </row>
    <row r="622" spans="2:3">
      <c r="B622">
        <v>332</v>
      </c>
      <c r="C622">
        <v>138.63020881839262</v>
      </c>
    </row>
    <row r="623" spans="2:3">
      <c r="B623">
        <v>333</v>
      </c>
      <c r="C623">
        <v>193.85072472635508</v>
      </c>
    </row>
    <row r="624" spans="2:3">
      <c r="B624">
        <v>334</v>
      </c>
      <c r="C624">
        <v>184.72809083846505</v>
      </c>
    </row>
    <row r="625" spans="2:3">
      <c r="B625">
        <v>335</v>
      </c>
      <c r="C625">
        <v>137.0111194320198</v>
      </c>
    </row>
    <row r="626" spans="2:3">
      <c r="B626">
        <v>336</v>
      </c>
      <c r="C626">
        <v>153.97318612402842</v>
      </c>
    </row>
    <row r="627" spans="2:3">
      <c r="B627">
        <v>337</v>
      </c>
      <c r="C627">
        <v>189.60507806388895</v>
      </c>
    </row>
    <row r="628" spans="2:3">
      <c r="B628">
        <v>338</v>
      </c>
      <c r="C628">
        <v>170.02464838868346</v>
      </c>
    </row>
    <row r="629" spans="2:3">
      <c r="B629">
        <v>339</v>
      </c>
      <c r="C629">
        <v>134.91526504501616</v>
      </c>
    </row>
    <row r="630" spans="2:3">
      <c r="B630">
        <v>340</v>
      </c>
      <c r="C630">
        <v>165.79357254576163</v>
      </c>
    </row>
    <row r="631" spans="2:3">
      <c r="B631">
        <v>341</v>
      </c>
      <c r="C631">
        <v>178.74542632183548</v>
      </c>
    </row>
    <row r="632" spans="2:3">
      <c r="B632">
        <v>342</v>
      </c>
      <c r="C632">
        <v>134.39807600987064</v>
      </c>
    </row>
    <row r="633" spans="2:3">
      <c r="B633">
        <v>343</v>
      </c>
      <c r="C633">
        <v>171.47714753818212</v>
      </c>
    </row>
    <row r="634" spans="2:3">
      <c r="B634">
        <v>344</v>
      </c>
      <c r="C634">
        <v>149.7140721671928</v>
      </c>
    </row>
    <row r="635" spans="2:3">
      <c r="B635">
        <v>345</v>
      </c>
      <c r="C635">
        <v>142.97953914350126</v>
      </c>
    </row>
    <row r="636" spans="2:3">
      <c r="B636">
        <v>346</v>
      </c>
      <c r="C636">
        <v>165.65019922950961</v>
      </c>
    </row>
    <row r="637" spans="2:3">
      <c r="B637">
        <v>347</v>
      </c>
      <c r="C637">
        <v>158.98639094765591</v>
      </c>
    </row>
    <row r="638" spans="2:3">
      <c r="B638">
        <v>348</v>
      </c>
      <c r="C638">
        <v>164.07484290266669</v>
      </c>
    </row>
    <row r="639" spans="2:3">
      <c r="B639">
        <v>349</v>
      </c>
      <c r="C639">
        <v>172.34849174648093</v>
      </c>
    </row>
    <row r="640" spans="2:3">
      <c r="B640">
        <v>350</v>
      </c>
      <c r="C640">
        <v>159.44046905156324</v>
      </c>
    </row>
    <row r="641" spans="2:3">
      <c r="B641">
        <v>351</v>
      </c>
      <c r="C641">
        <v>143.78704047223457</v>
      </c>
    </row>
    <row r="642" spans="2:3">
      <c r="B642">
        <v>352</v>
      </c>
      <c r="C642">
        <v>164.44375845766359</v>
      </c>
    </row>
    <row r="643" spans="2:3">
      <c r="B643">
        <v>353</v>
      </c>
      <c r="C643">
        <v>151.4898599550942</v>
      </c>
    </row>
    <row r="644" spans="2:3">
      <c r="B644">
        <v>354</v>
      </c>
      <c r="C644">
        <v>144.71858321390732</v>
      </c>
    </row>
    <row r="645" spans="2:3">
      <c r="B645">
        <v>355</v>
      </c>
      <c r="C645">
        <v>159.8412315673618</v>
      </c>
    </row>
    <row r="646" spans="2:3">
      <c r="B646">
        <v>356</v>
      </c>
      <c r="C646">
        <v>131.91614313812619</v>
      </c>
    </row>
    <row r="647" spans="2:3">
      <c r="B647">
        <v>357</v>
      </c>
      <c r="C647">
        <v>170.0772633741912</v>
      </c>
    </row>
    <row r="648" spans="2:3">
      <c r="B648">
        <v>358</v>
      </c>
      <c r="C648">
        <v>155.3962128256311</v>
      </c>
    </row>
    <row r="649" spans="2:3">
      <c r="B649">
        <v>359</v>
      </c>
      <c r="C649">
        <v>172.57030348140421</v>
      </c>
    </row>
    <row r="650" spans="2:3">
      <c r="B650">
        <v>360</v>
      </c>
      <c r="C650">
        <v>132.15227869535747</v>
      </c>
    </row>
    <row r="651" spans="2:3">
      <c r="B651">
        <v>361</v>
      </c>
      <c r="C651">
        <v>137.1643050032348</v>
      </c>
    </row>
    <row r="652" spans="2:3">
      <c r="B652">
        <v>362</v>
      </c>
      <c r="C652">
        <v>184.01992044215055</v>
      </c>
    </row>
    <row r="653" spans="2:3">
      <c r="B653">
        <v>363</v>
      </c>
      <c r="C653">
        <v>136.9900911739131</v>
      </c>
    </row>
    <row r="654" spans="2:3">
      <c r="B654">
        <v>364</v>
      </c>
      <c r="C654">
        <v>187.39066143733106</v>
      </c>
    </row>
    <row r="655" spans="2:3">
      <c r="B655">
        <v>365</v>
      </c>
      <c r="C655">
        <v>142.25708340064179</v>
      </c>
    </row>
    <row r="656" spans="2:3">
      <c r="B656">
        <v>366</v>
      </c>
      <c r="C656">
        <v>150.09834500322324</v>
      </c>
    </row>
    <row r="657" spans="2:3">
      <c r="B657">
        <v>367</v>
      </c>
      <c r="C657">
        <v>134.20303877717205</v>
      </c>
    </row>
    <row r="658" spans="2:3">
      <c r="B658">
        <v>368</v>
      </c>
      <c r="C658">
        <v>154.25695747685339</v>
      </c>
    </row>
    <row r="659" spans="2:3">
      <c r="B659">
        <v>369</v>
      </c>
      <c r="C659">
        <v>162.83149115648877</v>
      </c>
    </row>
    <row r="660" spans="2:3">
      <c r="B660">
        <v>370</v>
      </c>
      <c r="C660">
        <v>159.23202308067883</v>
      </c>
    </row>
    <row r="661" spans="2:3">
      <c r="B661">
        <v>371</v>
      </c>
      <c r="C661">
        <v>145.6163308845035</v>
      </c>
    </row>
    <row r="662" spans="2:3">
      <c r="B662">
        <v>372</v>
      </c>
      <c r="C662">
        <v>132.59742371341451</v>
      </c>
    </row>
    <row r="663" spans="2:3">
      <c r="B663">
        <v>373</v>
      </c>
      <c r="C663">
        <v>170.22294605008375</v>
      </c>
    </row>
    <row r="664" spans="2:3">
      <c r="B664">
        <v>374</v>
      </c>
      <c r="C664">
        <v>171.31304693591542</v>
      </c>
    </row>
    <row r="665" spans="2:3">
      <c r="B665">
        <v>375</v>
      </c>
      <c r="C665">
        <v>148.73790105159551</v>
      </c>
    </row>
    <row r="666" spans="2:3">
      <c r="B666">
        <v>376</v>
      </c>
      <c r="C666">
        <v>162.20726493531262</v>
      </c>
    </row>
    <row r="667" spans="2:3">
      <c r="B667">
        <v>377</v>
      </c>
      <c r="C667">
        <v>187.22536561844663</v>
      </c>
    </row>
    <row r="668" spans="2:3">
      <c r="B668">
        <v>378</v>
      </c>
      <c r="C668">
        <v>146.73680809249879</v>
      </c>
    </row>
    <row r="669" spans="2:3">
      <c r="B669">
        <v>379</v>
      </c>
      <c r="C669">
        <v>151.16030558091649</v>
      </c>
    </row>
    <row r="670" spans="2:3">
      <c r="B670">
        <v>380</v>
      </c>
      <c r="C670">
        <v>248.99452031978498</v>
      </c>
    </row>
    <row r="671" spans="2:3">
      <c r="B671">
        <v>381</v>
      </c>
      <c r="C671">
        <v>147.53809525341248</v>
      </c>
    </row>
    <row r="672" spans="2:3">
      <c r="B672">
        <v>382</v>
      </c>
      <c r="C672">
        <v>132.166658439451</v>
      </c>
    </row>
    <row r="673" spans="2:3">
      <c r="B673">
        <v>383</v>
      </c>
      <c r="C673">
        <v>139.81586856590471</v>
      </c>
    </row>
    <row r="674" spans="2:3">
      <c r="B674">
        <v>384</v>
      </c>
      <c r="C674">
        <v>191.66996586685244</v>
      </c>
    </row>
    <row r="675" spans="2:3">
      <c r="B675">
        <v>385</v>
      </c>
      <c r="C675">
        <v>184.05980722142112</v>
      </c>
    </row>
    <row r="676" spans="2:3">
      <c r="B676">
        <v>386</v>
      </c>
      <c r="C676">
        <v>177.05302316497676</v>
      </c>
    </row>
    <row r="677" spans="2:3">
      <c r="B677">
        <v>387</v>
      </c>
      <c r="C677">
        <v>140.69344028573047</v>
      </c>
    </row>
    <row r="678" spans="2:3">
      <c r="B678">
        <v>388</v>
      </c>
      <c r="C678">
        <v>116.68086599283465</v>
      </c>
    </row>
    <row r="679" spans="2:3">
      <c r="B679">
        <v>389</v>
      </c>
      <c r="C679">
        <v>141.14354138005416</v>
      </c>
    </row>
    <row r="680" spans="2:3">
      <c r="B680">
        <v>390</v>
      </c>
      <c r="C680">
        <v>149.89928242020306</v>
      </c>
    </row>
    <row r="681" spans="2:3">
      <c r="B681">
        <v>391</v>
      </c>
      <c r="C681">
        <v>150.07925078233382</v>
      </c>
    </row>
    <row r="682" spans="2:3">
      <c r="B682">
        <v>392</v>
      </c>
      <c r="C682">
        <v>116.86387147486084</v>
      </c>
    </row>
    <row r="683" spans="2:3">
      <c r="B683">
        <v>393</v>
      </c>
      <c r="C683">
        <v>152.56275479190589</v>
      </c>
    </row>
    <row r="684" spans="2:3">
      <c r="B684">
        <v>394</v>
      </c>
      <c r="C684">
        <v>137.62178853186677</v>
      </c>
    </row>
    <row r="685" spans="2:3">
      <c r="B685">
        <v>395</v>
      </c>
      <c r="C685">
        <v>144.99941509272267</v>
      </c>
    </row>
    <row r="686" spans="2:3">
      <c r="B686">
        <v>396</v>
      </c>
      <c r="C686">
        <v>172.98995655074219</v>
      </c>
    </row>
    <row r="687" spans="2:3">
      <c r="B687">
        <v>397</v>
      </c>
      <c r="C687">
        <v>162.82703556737303</v>
      </c>
    </row>
    <row r="688" spans="2:3">
      <c r="B688">
        <v>398</v>
      </c>
      <c r="C688">
        <v>147.17883223784446</v>
      </c>
    </row>
    <row r="689" spans="2:3">
      <c r="B689">
        <v>399</v>
      </c>
      <c r="C689">
        <v>183.52472030353044</v>
      </c>
    </row>
    <row r="690" spans="2:3">
      <c r="B690">
        <v>400</v>
      </c>
      <c r="C690">
        <v>156.44804341067993</v>
      </c>
    </row>
    <row r="691" spans="2:3">
      <c r="B691">
        <v>401</v>
      </c>
      <c r="C691">
        <v>197.1198069371213</v>
      </c>
    </row>
    <row r="692" spans="2:3">
      <c r="B692">
        <v>402</v>
      </c>
      <c r="C692">
        <v>142.11508986761012</v>
      </c>
    </row>
    <row r="693" spans="2:3">
      <c r="B693">
        <v>403</v>
      </c>
      <c r="C693">
        <v>153.00263843273896</v>
      </c>
    </row>
    <row r="694" spans="2:3">
      <c r="B694">
        <v>404</v>
      </c>
      <c r="C694">
        <v>171.74911902667981</v>
      </c>
    </row>
    <row r="695" spans="2:3">
      <c r="B695">
        <v>405</v>
      </c>
      <c r="C695">
        <v>165.4112748567693</v>
      </c>
    </row>
    <row r="696" spans="2:3">
      <c r="B696">
        <v>406</v>
      </c>
      <c r="C696">
        <v>139.04196699337152</v>
      </c>
    </row>
    <row r="697" spans="2:3">
      <c r="B697">
        <v>407</v>
      </c>
      <c r="C697">
        <v>155.38366722877743</v>
      </c>
    </row>
    <row r="698" spans="2:3">
      <c r="B698">
        <v>408</v>
      </c>
      <c r="C698">
        <v>136.88979389786084</v>
      </c>
    </row>
    <row r="699" spans="2:3">
      <c r="B699">
        <v>409</v>
      </c>
      <c r="C699">
        <v>164.46137693115287</v>
      </c>
    </row>
    <row r="700" spans="2:3">
      <c r="B700">
        <v>410</v>
      </c>
      <c r="C700">
        <v>156.32071146664828</v>
      </c>
    </row>
    <row r="701" spans="2:3">
      <c r="B701">
        <v>411</v>
      </c>
      <c r="C701">
        <v>150.02340157884313</v>
      </c>
    </row>
    <row r="702" spans="2:3">
      <c r="B702">
        <v>412</v>
      </c>
      <c r="C702">
        <v>146.16071266223324</v>
      </c>
    </row>
    <row r="703" spans="2:3">
      <c r="B703">
        <v>413</v>
      </c>
      <c r="C703">
        <v>180.89965059494176</v>
      </c>
    </row>
    <row r="704" spans="2:3">
      <c r="B704">
        <v>414</v>
      </c>
      <c r="C704">
        <v>112.62970406814475</v>
      </c>
    </row>
    <row r="705" spans="2:3">
      <c r="B705">
        <v>415</v>
      </c>
      <c r="C705">
        <v>132.55095486825053</v>
      </c>
    </row>
    <row r="706" spans="2:3">
      <c r="B706">
        <v>416</v>
      </c>
      <c r="C706">
        <v>128.29206731393901</v>
      </c>
    </row>
    <row r="707" spans="2:3">
      <c r="B707">
        <v>417</v>
      </c>
      <c r="C707">
        <v>178.87080749114978</v>
      </c>
    </row>
    <row r="708" spans="2:3">
      <c r="B708">
        <v>418</v>
      </c>
      <c r="C708">
        <v>183.2421121315468</v>
      </c>
    </row>
    <row r="709" spans="2:3">
      <c r="B709">
        <v>419</v>
      </c>
      <c r="C709">
        <v>147.18586929010536</v>
      </c>
    </row>
    <row r="710" spans="2:3">
      <c r="B710">
        <v>420</v>
      </c>
      <c r="C710">
        <v>158.58202220800376</v>
      </c>
    </row>
    <row r="711" spans="2:3">
      <c r="B711">
        <v>421</v>
      </c>
      <c r="C711">
        <v>127.42804263432164</v>
      </c>
    </row>
    <row r="712" spans="2:3">
      <c r="B712">
        <v>422</v>
      </c>
      <c r="C712">
        <v>160.71700357318485</v>
      </c>
    </row>
    <row r="713" spans="2:3">
      <c r="B713">
        <v>423</v>
      </c>
      <c r="C713">
        <v>162.12285153852883</v>
      </c>
    </row>
    <row r="714" spans="2:3">
      <c r="B714">
        <v>424</v>
      </c>
      <c r="C714">
        <v>201.03145766056215</v>
      </c>
    </row>
    <row r="715" spans="2:3">
      <c r="B715">
        <v>425</v>
      </c>
      <c r="C715">
        <v>200.33343533121496</v>
      </c>
    </row>
    <row r="716" spans="2:3">
      <c r="B716">
        <v>426</v>
      </c>
      <c r="C716">
        <v>166.5897812478282</v>
      </c>
    </row>
    <row r="717" spans="2:3">
      <c r="B717">
        <v>427</v>
      </c>
      <c r="C717">
        <v>129.73428928083362</v>
      </c>
    </row>
    <row r="718" spans="2:3">
      <c r="B718">
        <v>428</v>
      </c>
      <c r="C718">
        <v>142.06058118426606</v>
      </c>
    </row>
    <row r="719" spans="2:3">
      <c r="B719">
        <v>429</v>
      </c>
      <c r="C719">
        <v>169.80955630562488</v>
      </c>
    </row>
    <row r="720" spans="2:3">
      <c r="B720">
        <v>430</v>
      </c>
      <c r="C720">
        <v>155.19445736809638</v>
      </c>
    </row>
    <row r="721" spans="2:3">
      <c r="B721">
        <v>431</v>
      </c>
      <c r="C721">
        <v>206.8072172129628</v>
      </c>
    </row>
    <row r="722" spans="2:3">
      <c r="B722">
        <v>432</v>
      </c>
      <c r="C722">
        <v>176.64419798511358</v>
      </c>
    </row>
    <row r="723" spans="2:3">
      <c r="B723">
        <v>433</v>
      </c>
      <c r="C723">
        <v>162.21595633311085</v>
      </c>
    </row>
    <row r="724" spans="2:3">
      <c r="B724">
        <v>434</v>
      </c>
      <c r="C724">
        <v>161.37694656939459</v>
      </c>
    </row>
    <row r="725" spans="2:3">
      <c r="B725">
        <v>435</v>
      </c>
      <c r="C725">
        <v>118.76991987520944</v>
      </c>
    </row>
    <row r="726" spans="2:3">
      <c r="B726">
        <v>436</v>
      </c>
      <c r="C726">
        <v>161.40088734517226</v>
      </c>
    </row>
    <row r="727" spans="2:3">
      <c r="B727">
        <v>437</v>
      </c>
      <c r="C727">
        <v>144.8710625976546</v>
      </c>
    </row>
    <row r="728" spans="2:3">
      <c r="B728">
        <v>438</v>
      </c>
      <c r="C728">
        <v>171.60491430065812</v>
      </c>
    </row>
    <row r="729" spans="2:3">
      <c r="B729">
        <v>439</v>
      </c>
      <c r="C729">
        <v>170.68923086723129</v>
      </c>
    </row>
    <row r="730" spans="2:3">
      <c r="B730">
        <v>440</v>
      </c>
      <c r="C730">
        <v>146.28019767664509</v>
      </c>
    </row>
    <row r="731" spans="2:3">
      <c r="B731">
        <v>441</v>
      </c>
      <c r="C731">
        <v>148.61101796659196</v>
      </c>
    </row>
    <row r="732" spans="2:3">
      <c r="B732">
        <v>442</v>
      </c>
      <c r="C732">
        <v>164.98772641416789</v>
      </c>
    </row>
    <row r="733" spans="2:3">
      <c r="B733">
        <v>443</v>
      </c>
      <c r="C733">
        <v>160.40310133376897</v>
      </c>
    </row>
    <row r="734" spans="2:3">
      <c r="B734">
        <v>444</v>
      </c>
      <c r="C734">
        <v>156.41523566254341</v>
      </c>
    </row>
    <row r="735" spans="2:3">
      <c r="B735">
        <v>445</v>
      </c>
      <c r="C735">
        <v>202.99372002595612</v>
      </c>
    </row>
    <row r="736" spans="2:3">
      <c r="B736">
        <v>446</v>
      </c>
      <c r="C736">
        <v>164.79988218836692</v>
      </c>
    </row>
    <row r="737" spans="2:3">
      <c r="B737">
        <v>447</v>
      </c>
      <c r="C737">
        <v>162.75549498715569</v>
      </c>
    </row>
    <row r="738" spans="2:3">
      <c r="B738">
        <v>448</v>
      </c>
      <c r="C738">
        <v>222.04978304030635</v>
      </c>
    </row>
    <row r="739" spans="2:3">
      <c r="B739">
        <v>449</v>
      </c>
      <c r="C739">
        <v>155.51785090617028</v>
      </c>
    </row>
    <row r="740" spans="2:3">
      <c r="B740">
        <v>450</v>
      </c>
      <c r="C740">
        <v>137.88723669623744</v>
      </c>
    </row>
    <row r="741" spans="2:3">
      <c r="B741">
        <v>451</v>
      </c>
      <c r="C741">
        <v>139.17081304117906</v>
      </c>
    </row>
    <row r="742" spans="2:3">
      <c r="B742">
        <v>452</v>
      </c>
      <c r="C742">
        <v>249.03340066051584</v>
      </c>
    </row>
    <row r="743" spans="2:3">
      <c r="B743">
        <v>453</v>
      </c>
      <c r="C743">
        <v>158.57300482290617</v>
      </c>
    </row>
    <row r="744" spans="2:3">
      <c r="B744">
        <v>454</v>
      </c>
      <c r="C744">
        <v>154.07897178965155</v>
      </c>
    </row>
    <row r="745" spans="2:3">
      <c r="B745">
        <v>455</v>
      </c>
      <c r="C745">
        <v>168.43822674489519</v>
      </c>
    </row>
    <row r="746" spans="2:3">
      <c r="B746">
        <v>456</v>
      </c>
      <c r="C746">
        <v>167.44280147012876</v>
      </c>
    </row>
    <row r="747" spans="2:3">
      <c r="B747">
        <v>457</v>
      </c>
      <c r="C747">
        <v>143.1822864576219</v>
      </c>
    </row>
    <row r="748" spans="2:3">
      <c r="B748">
        <v>458</v>
      </c>
      <c r="C748">
        <v>150.63477085311882</v>
      </c>
    </row>
    <row r="749" spans="2:3">
      <c r="B749">
        <v>459</v>
      </c>
      <c r="C749">
        <v>185.42332318794757</v>
      </c>
    </row>
    <row r="750" spans="2:3">
      <c r="B750">
        <v>460</v>
      </c>
      <c r="C750">
        <v>128.91107250894879</v>
      </c>
    </row>
    <row r="751" spans="2:3">
      <c r="B751">
        <v>461</v>
      </c>
      <c r="C751">
        <v>150.47191109979715</v>
      </c>
    </row>
    <row r="752" spans="2:3">
      <c r="B752">
        <v>462</v>
      </c>
      <c r="C752">
        <v>117.29676444619886</v>
      </c>
    </row>
    <row r="753" spans="2:3">
      <c r="B753">
        <v>463</v>
      </c>
      <c r="C753">
        <v>154.03932675035475</v>
      </c>
    </row>
    <row r="754" spans="2:3">
      <c r="B754">
        <v>464</v>
      </c>
      <c r="C754">
        <v>136.0201707412738</v>
      </c>
    </row>
    <row r="755" spans="2:3">
      <c r="B755">
        <v>465</v>
      </c>
      <c r="C755">
        <v>165.90390149354931</v>
      </c>
    </row>
    <row r="756" spans="2:3">
      <c r="B756">
        <v>466</v>
      </c>
      <c r="C756">
        <v>171.52691107911795</v>
      </c>
    </row>
    <row r="757" spans="2:3">
      <c r="B757">
        <v>467</v>
      </c>
      <c r="C757">
        <v>207.46351971301581</v>
      </c>
    </row>
    <row r="758" spans="2:3">
      <c r="B758">
        <v>468</v>
      </c>
      <c r="C758">
        <v>139.49709441791228</v>
      </c>
    </row>
    <row r="759" spans="2:3">
      <c r="B759">
        <v>469</v>
      </c>
      <c r="C759">
        <v>166.34268756411458</v>
      </c>
    </row>
    <row r="760" spans="2:3">
      <c r="B760">
        <v>470</v>
      </c>
      <c r="C760">
        <v>195.7790724525031</v>
      </c>
    </row>
    <row r="761" spans="2:3">
      <c r="B761">
        <v>471</v>
      </c>
      <c r="C761">
        <v>158.24713018992975</v>
      </c>
    </row>
    <row r="762" spans="2:3">
      <c r="B762">
        <v>472</v>
      </c>
      <c r="C762">
        <v>130.92607074508553</v>
      </c>
    </row>
    <row r="763" spans="2:3">
      <c r="B763">
        <v>473</v>
      </c>
      <c r="C763">
        <v>136.27712943087974</v>
      </c>
    </row>
    <row r="764" spans="2:3">
      <c r="B764">
        <v>474</v>
      </c>
      <c r="C764">
        <v>160.12353048193279</v>
      </c>
    </row>
    <row r="765" spans="2:3">
      <c r="B765">
        <v>475</v>
      </c>
      <c r="C765">
        <v>172.66171844021503</v>
      </c>
    </row>
    <row r="766" spans="2:3">
      <c r="B766">
        <v>476</v>
      </c>
      <c r="C766">
        <v>177.45085859521964</v>
      </c>
    </row>
    <row r="767" spans="2:3">
      <c r="B767">
        <v>477</v>
      </c>
      <c r="C767">
        <v>158.37776711617514</v>
      </c>
    </row>
    <row r="768" spans="2:3">
      <c r="B768">
        <v>478</v>
      </c>
      <c r="C768">
        <v>153.92009193919972</v>
      </c>
    </row>
    <row r="769" spans="2:3">
      <c r="B769">
        <v>479</v>
      </c>
      <c r="C769">
        <v>162.37448060109011</v>
      </c>
    </row>
    <row r="770" spans="2:3">
      <c r="B770">
        <v>480</v>
      </c>
      <c r="C770">
        <v>139.75756989465162</v>
      </c>
    </row>
    <row r="771" spans="2:3">
      <c r="B771">
        <v>481</v>
      </c>
      <c r="C771">
        <v>163.37292683922621</v>
      </c>
    </row>
    <row r="772" spans="2:3">
      <c r="B772">
        <v>482</v>
      </c>
      <c r="C772">
        <v>162.8033510531466</v>
      </c>
    </row>
    <row r="773" spans="2:3">
      <c r="B773">
        <v>483</v>
      </c>
      <c r="C773">
        <v>179.81036596851558</v>
      </c>
    </row>
    <row r="774" spans="2:3">
      <c r="B774">
        <v>484</v>
      </c>
      <c r="C774">
        <v>165.34678087381184</v>
      </c>
    </row>
    <row r="775" spans="2:3">
      <c r="B775">
        <v>485</v>
      </c>
      <c r="C775">
        <v>169.73498566149561</v>
      </c>
    </row>
    <row r="776" spans="2:3">
      <c r="B776">
        <v>486</v>
      </c>
      <c r="C776">
        <v>134.9949105647384</v>
      </c>
    </row>
    <row r="777" spans="2:3">
      <c r="B777">
        <v>487</v>
      </c>
      <c r="C777">
        <v>118.39529142454336</v>
      </c>
    </row>
    <row r="778" spans="2:3">
      <c r="B778">
        <v>488</v>
      </c>
      <c r="C778">
        <v>170.41186823756945</v>
      </c>
    </row>
    <row r="779" spans="2:3">
      <c r="B779">
        <v>489</v>
      </c>
      <c r="C779">
        <v>210.14103104013688</v>
      </c>
    </row>
    <row r="780" spans="2:3">
      <c r="B780">
        <v>490</v>
      </c>
      <c r="C780">
        <v>161.6143578484162</v>
      </c>
    </row>
    <row r="781" spans="2:3">
      <c r="B781">
        <v>491</v>
      </c>
      <c r="C781">
        <v>161.21956192395595</v>
      </c>
    </row>
    <row r="782" spans="2:3">
      <c r="B782">
        <v>492</v>
      </c>
      <c r="C782">
        <v>162.62224088969003</v>
      </c>
    </row>
    <row r="783" spans="2:3">
      <c r="B783">
        <v>493</v>
      </c>
      <c r="C783">
        <v>136.88678437117562</v>
      </c>
    </row>
    <row r="784" spans="2:3">
      <c r="B784">
        <v>494</v>
      </c>
      <c r="C784">
        <v>168.99946135676691</v>
      </c>
    </row>
    <row r="785" spans="2:3">
      <c r="B785">
        <v>495</v>
      </c>
      <c r="C785">
        <v>177.19101788727809</v>
      </c>
    </row>
    <row r="786" spans="2:3">
      <c r="B786">
        <v>496</v>
      </c>
      <c r="C786">
        <v>160.33985326688986</v>
      </c>
    </row>
    <row r="787" spans="2:3">
      <c r="B787">
        <v>497</v>
      </c>
      <c r="C787">
        <v>167.33281251308961</v>
      </c>
    </row>
    <row r="788" spans="2:3">
      <c r="B788">
        <v>498</v>
      </c>
      <c r="C788">
        <v>131.79294812333251</v>
      </c>
    </row>
    <row r="789" spans="2:3">
      <c r="B789">
        <v>499</v>
      </c>
      <c r="C789">
        <v>148.10649523066462</v>
      </c>
    </row>
    <row r="790" spans="2:3">
      <c r="B790">
        <v>500</v>
      </c>
      <c r="C790">
        <v>155.25726873954207</v>
      </c>
    </row>
    <row r="791" spans="2:3">
      <c r="B791">
        <v>501</v>
      </c>
      <c r="C791">
        <v>136.35513455282347</v>
      </c>
    </row>
    <row r="792" spans="2:3">
      <c r="B792">
        <v>502</v>
      </c>
      <c r="C792">
        <v>176.50909297018353</v>
      </c>
    </row>
    <row r="793" spans="2:3">
      <c r="B793">
        <v>503</v>
      </c>
      <c r="C793">
        <v>138.5082946774331</v>
      </c>
    </row>
    <row r="794" spans="2:3">
      <c r="B794">
        <v>504</v>
      </c>
      <c r="C794">
        <v>155.19868329239813</v>
      </c>
    </row>
    <row r="795" spans="2:3">
      <c r="B795">
        <v>505</v>
      </c>
      <c r="C795">
        <v>153.83863326325297</v>
      </c>
    </row>
    <row r="796" spans="2:3">
      <c r="B796">
        <v>506</v>
      </c>
      <c r="C796">
        <v>153.24029780358279</v>
      </c>
    </row>
    <row r="797" spans="2:3">
      <c r="B797">
        <v>507</v>
      </c>
      <c r="C797">
        <v>139.63175897335029</v>
      </c>
    </row>
    <row r="798" spans="2:3">
      <c r="B798">
        <v>508</v>
      </c>
      <c r="C798">
        <v>126.59245644032585</v>
      </c>
    </row>
    <row r="799" spans="2:3">
      <c r="B799">
        <v>509</v>
      </c>
      <c r="C799">
        <v>165.74898640044108</v>
      </c>
    </row>
    <row r="800" spans="2:3">
      <c r="B800">
        <v>510</v>
      </c>
      <c r="C800">
        <v>147.41498703625277</v>
      </c>
    </row>
    <row r="801" spans="2:3">
      <c r="B801">
        <v>511</v>
      </c>
      <c r="C801">
        <v>156.98679560728692</v>
      </c>
    </row>
    <row r="802" spans="2:3">
      <c r="B802">
        <v>512</v>
      </c>
      <c r="C802">
        <v>187.03672642410046</v>
      </c>
    </row>
    <row r="803" spans="2:3">
      <c r="B803">
        <v>513</v>
      </c>
      <c r="C803">
        <v>141.51932321993038</v>
      </c>
    </row>
    <row r="804" spans="2:3">
      <c r="B804">
        <v>514</v>
      </c>
      <c r="C804">
        <v>162.62072180836233</v>
      </c>
    </row>
    <row r="805" spans="2:3">
      <c r="B805">
        <v>515</v>
      </c>
      <c r="C805">
        <v>150.61429252278407</v>
      </c>
    </row>
    <row r="806" spans="2:3">
      <c r="B806">
        <v>516</v>
      </c>
      <c r="C806">
        <v>159.26695026261658</v>
      </c>
    </row>
    <row r="807" spans="2:3">
      <c r="B807">
        <v>517</v>
      </c>
      <c r="C807">
        <v>139.5697309838697</v>
      </c>
    </row>
    <row r="808" spans="2:3">
      <c r="B808">
        <v>518</v>
      </c>
      <c r="C808">
        <v>168.8089447723606</v>
      </c>
    </row>
    <row r="809" spans="2:3">
      <c r="B809">
        <v>519</v>
      </c>
      <c r="C809">
        <v>166.92912342070815</v>
      </c>
    </row>
    <row r="810" spans="2:3">
      <c r="B810">
        <v>520</v>
      </c>
      <c r="C810">
        <v>129.4313712272218</v>
      </c>
    </row>
    <row r="811" spans="2:3">
      <c r="B811">
        <v>521</v>
      </c>
      <c r="C811">
        <v>146.21733769291851</v>
      </c>
    </row>
    <row r="812" spans="2:3">
      <c r="B812">
        <v>522</v>
      </c>
      <c r="C812">
        <v>176.70212412404675</v>
      </c>
    </row>
    <row r="813" spans="2:3">
      <c r="B813">
        <v>523</v>
      </c>
      <c r="C813">
        <v>170.37364930239025</v>
      </c>
    </row>
    <row r="814" spans="2:3">
      <c r="B814">
        <v>524</v>
      </c>
      <c r="C814">
        <v>130.26607387282829</v>
      </c>
    </row>
    <row r="815" spans="2:3">
      <c r="B815">
        <v>525</v>
      </c>
      <c r="C815">
        <v>156.09053035937069</v>
      </c>
    </row>
    <row r="816" spans="2:3">
      <c r="B816">
        <v>526</v>
      </c>
      <c r="C816">
        <v>170.15490550942587</v>
      </c>
    </row>
    <row r="817" spans="2:3">
      <c r="B817">
        <v>527</v>
      </c>
      <c r="C817">
        <v>136.42049346041438</v>
      </c>
    </row>
    <row r="818" spans="2:3">
      <c r="B818">
        <v>528</v>
      </c>
      <c r="C818">
        <v>161.34324417652493</v>
      </c>
    </row>
    <row r="819" spans="2:3">
      <c r="B819">
        <v>529</v>
      </c>
      <c r="C819">
        <v>140.44775350768265</v>
      </c>
    </row>
    <row r="820" spans="2:3">
      <c r="B820">
        <v>530</v>
      </c>
      <c r="C820">
        <v>165.85864295978612</v>
      </c>
    </row>
    <row r="821" spans="2:3">
      <c r="B821">
        <v>531</v>
      </c>
      <c r="C821">
        <v>116.47259731706684</v>
      </c>
    </row>
    <row r="822" spans="2:3">
      <c r="B822">
        <v>532</v>
      </c>
      <c r="C822">
        <v>165.10477468529055</v>
      </c>
    </row>
    <row r="823" spans="2:3">
      <c r="B823">
        <v>533</v>
      </c>
      <c r="C823">
        <v>157.19504867079021</v>
      </c>
    </row>
    <row r="824" spans="2:3">
      <c r="B824">
        <v>534</v>
      </c>
      <c r="C824">
        <v>133.27688052304723</v>
      </c>
    </row>
    <row r="825" spans="2:3">
      <c r="B825">
        <v>535</v>
      </c>
      <c r="C825">
        <v>133.39539564627492</v>
      </c>
    </row>
    <row r="826" spans="2:3">
      <c r="B826">
        <v>536</v>
      </c>
      <c r="C826">
        <v>163.49758047805474</v>
      </c>
    </row>
    <row r="827" spans="2:3">
      <c r="B827">
        <v>537</v>
      </c>
      <c r="C827">
        <v>143.34435926076637</v>
      </c>
    </row>
    <row r="828" spans="2:3">
      <c r="B828">
        <v>538</v>
      </c>
      <c r="C828">
        <v>198.73006531811558</v>
      </c>
    </row>
    <row r="829" spans="2:3">
      <c r="B829">
        <v>539</v>
      </c>
      <c r="C829">
        <v>143.84982344299124</v>
      </c>
    </row>
    <row r="830" spans="2:3">
      <c r="B830">
        <v>540</v>
      </c>
      <c r="C830">
        <v>179.61200617864566</v>
      </c>
    </row>
    <row r="831" spans="2:3">
      <c r="B831">
        <v>541</v>
      </c>
      <c r="C831">
        <v>162.12999976078169</v>
      </c>
    </row>
    <row r="832" spans="2:3">
      <c r="B832">
        <v>542</v>
      </c>
      <c r="C832">
        <v>142.21940423168027</v>
      </c>
    </row>
    <row r="833" spans="2:3">
      <c r="B833">
        <v>543</v>
      </c>
      <c r="C833">
        <v>187.01865895101579</v>
      </c>
    </row>
    <row r="834" spans="2:3">
      <c r="B834">
        <v>544</v>
      </c>
      <c r="C834">
        <v>154.41236369707627</v>
      </c>
    </row>
    <row r="835" spans="2:3">
      <c r="B835">
        <v>545</v>
      </c>
      <c r="C835">
        <v>182.4161465452955</v>
      </c>
    </row>
    <row r="836" spans="2:3">
      <c r="B836">
        <v>546</v>
      </c>
      <c r="C836">
        <v>165.86269108014437</v>
      </c>
    </row>
    <row r="837" spans="2:3">
      <c r="B837">
        <v>547</v>
      </c>
      <c r="C837">
        <v>162.13443645673317</v>
      </c>
    </row>
    <row r="838" spans="2:3">
      <c r="B838">
        <v>548</v>
      </c>
      <c r="C838">
        <v>136.39293477065516</v>
      </c>
    </row>
    <row r="839" spans="2:3">
      <c r="B839">
        <v>549</v>
      </c>
      <c r="C839">
        <v>160.51338543642063</v>
      </c>
    </row>
    <row r="840" spans="2:3">
      <c r="B840">
        <v>550</v>
      </c>
      <c r="C840">
        <v>134.01668414874587</v>
      </c>
    </row>
    <row r="841" spans="2:3">
      <c r="B841">
        <v>551</v>
      </c>
      <c r="C841">
        <v>142.89034940016313</v>
      </c>
    </row>
    <row r="842" spans="2:3">
      <c r="B842">
        <v>552</v>
      </c>
      <c r="C842">
        <v>155.66674568713015</v>
      </c>
    </row>
    <row r="843" spans="2:3">
      <c r="B843">
        <v>553</v>
      </c>
      <c r="C843">
        <v>128.1572289821294</v>
      </c>
    </row>
    <row r="844" spans="2:3">
      <c r="B844">
        <v>554</v>
      </c>
      <c r="C844">
        <v>170.65690042797337</v>
      </c>
    </row>
    <row r="845" spans="2:3">
      <c r="B845">
        <v>555</v>
      </c>
      <c r="C845">
        <v>147.88267740579738</v>
      </c>
    </row>
    <row r="846" spans="2:3">
      <c r="B846">
        <v>556</v>
      </c>
      <c r="C846">
        <v>160.35412269411583</v>
      </c>
    </row>
    <row r="847" spans="2:3">
      <c r="B847">
        <v>557</v>
      </c>
      <c r="C847">
        <v>139.91685183742624</v>
      </c>
    </row>
    <row r="848" spans="2:3">
      <c r="B848">
        <v>558</v>
      </c>
      <c r="C848">
        <v>151.40877077322574</v>
      </c>
    </row>
    <row r="849" spans="2:3">
      <c r="B849">
        <v>559</v>
      </c>
      <c r="C849">
        <v>227.27705023519587</v>
      </c>
    </row>
    <row r="850" spans="2:3">
      <c r="B850">
        <v>560</v>
      </c>
      <c r="C850">
        <v>155.59265158433669</v>
      </c>
    </row>
    <row r="851" spans="2:3">
      <c r="B851">
        <v>561</v>
      </c>
      <c r="C851">
        <v>150.2538763283855</v>
      </c>
    </row>
    <row r="852" spans="2:3">
      <c r="B852">
        <v>562</v>
      </c>
      <c r="C852">
        <v>174.36149542878869</v>
      </c>
    </row>
    <row r="853" spans="2:3">
      <c r="B853">
        <v>563</v>
      </c>
      <c r="C853">
        <v>170.18057515775436</v>
      </c>
    </row>
    <row r="854" spans="2:3">
      <c r="B854">
        <v>564</v>
      </c>
      <c r="C854">
        <v>183.32506063721866</v>
      </c>
    </row>
    <row r="855" spans="2:3">
      <c r="B855">
        <v>565</v>
      </c>
      <c r="C855">
        <v>139.66273123789725</v>
      </c>
    </row>
    <row r="856" spans="2:3">
      <c r="B856">
        <v>566</v>
      </c>
      <c r="C856">
        <v>124.48324466101994</v>
      </c>
    </row>
    <row r="857" spans="2:3">
      <c r="B857">
        <v>567</v>
      </c>
      <c r="C857">
        <v>142.69350996661029</v>
      </c>
    </row>
    <row r="858" spans="2:3">
      <c r="B858">
        <v>568</v>
      </c>
      <c r="C858">
        <v>131.12828629611028</v>
      </c>
    </row>
    <row r="859" spans="2:3">
      <c r="B859">
        <v>569</v>
      </c>
      <c r="C859">
        <v>180.40454991904903</v>
      </c>
    </row>
    <row r="860" spans="2:3">
      <c r="B860">
        <v>570</v>
      </c>
      <c r="C860">
        <v>149.97562034009388</v>
      </c>
    </row>
    <row r="861" spans="2:3">
      <c r="B861">
        <v>571</v>
      </c>
      <c r="C861">
        <v>140.01668637003203</v>
      </c>
    </row>
    <row r="862" spans="2:3">
      <c r="B862">
        <v>572</v>
      </c>
      <c r="C862">
        <v>124.57724520027413</v>
      </c>
    </row>
    <row r="863" spans="2:3">
      <c r="B863">
        <v>573</v>
      </c>
      <c r="C863">
        <v>181.13882571915917</v>
      </c>
    </row>
    <row r="864" spans="2:3">
      <c r="B864">
        <v>574</v>
      </c>
      <c r="C864">
        <v>190.74208400469084</v>
      </c>
    </row>
    <row r="865" spans="2:3">
      <c r="B865">
        <v>575</v>
      </c>
      <c r="C865">
        <v>136.06484349104002</v>
      </c>
    </row>
    <row r="866" spans="2:3">
      <c r="B866">
        <v>576</v>
      </c>
      <c r="C866">
        <v>175.71557489842527</v>
      </c>
    </row>
    <row r="867" spans="2:3">
      <c r="B867">
        <v>577</v>
      </c>
      <c r="C867">
        <v>153.04782506737004</v>
      </c>
    </row>
    <row r="868" spans="2:3">
      <c r="B868">
        <v>578</v>
      </c>
      <c r="C868">
        <v>174.90832681474231</v>
      </c>
    </row>
    <row r="869" spans="2:3">
      <c r="B869">
        <v>579</v>
      </c>
      <c r="C869">
        <v>126.97253569347488</v>
      </c>
    </row>
    <row r="870" spans="2:3">
      <c r="B870">
        <v>580</v>
      </c>
      <c r="C870">
        <v>136.82928380679706</v>
      </c>
    </row>
    <row r="871" spans="2:3">
      <c r="B871">
        <v>581</v>
      </c>
      <c r="C871">
        <v>173.64311397436359</v>
      </c>
    </row>
    <row r="872" spans="2:3">
      <c r="B872">
        <v>582</v>
      </c>
      <c r="C872">
        <v>181.74220294471237</v>
      </c>
    </row>
    <row r="873" spans="2:3">
      <c r="B873">
        <v>583</v>
      </c>
      <c r="C873">
        <v>154.97935841198657</v>
      </c>
    </row>
    <row r="874" spans="2:3">
      <c r="B874">
        <v>584</v>
      </c>
      <c r="C874">
        <v>144.28778898849043</v>
      </c>
    </row>
    <row r="875" spans="2:3">
      <c r="B875">
        <v>585</v>
      </c>
      <c r="C875">
        <v>168.9713473520701</v>
      </c>
    </row>
    <row r="876" spans="2:3">
      <c r="B876">
        <v>586</v>
      </c>
      <c r="C876">
        <v>145.19824461367293</v>
      </c>
    </row>
    <row r="877" spans="2:3">
      <c r="B877">
        <v>587</v>
      </c>
      <c r="C877">
        <v>202.59097887297506</v>
      </c>
    </row>
    <row r="878" spans="2:3">
      <c r="B878">
        <v>588</v>
      </c>
      <c r="C878">
        <v>207.22269487602202</v>
      </c>
    </row>
    <row r="879" spans="2:3">
      <c r="B879">
        <v>589</v>
      </c>
      <c r="C879">
        <v>151.36378963355682</v>
      </c>
    </row>
    <row r="880" spans="2:3">
      <c r="B880">
        <v>590</v>
      </c>
      <c r="C880">
        <v>173.25605841697654</v>
      </c>
    </row>
    <row r="881" spans="2:3">
      <c r="B881">
        <v>591</v>
      </c>
      <c r="C881">
        <v>130.02161615963402</v>
      </c>
    </row>
    <row r="882" spans="2:3">
      <c r="B882">
        <v>592</v>
      </c>
      <c r="C882">
        <v>148.13307656202949</v>
      </c>
    </row>
    <row r="883" spans="2:3">
      <c r="B883">
        <v>593</v>
      </c>
      <c r="C883">
        <v>145.80220441998861</v>
      </c>
    </row>
    <row r="884" spans="2:3">
      <c r="B884">
        <v>594</v>
      </c>
      <c r="C884">
        <v>159.25554273438416</v>
      </c>
    </row>
    <row r="885" spans="2:3">
      <c r="B885">
        <v>595</v>
      </c>
      <c r="C885">
        <v>130.02960985300416</v>
      </c>
    </row>
    <row r="886" spans="2:3">
      <c r="B886">
        <v>596</v>
      </c>
      <c r="C886">
        <v>158.73099087476317</v>
      </c>
    </row>
    <row r="887" spans="2:3">
      <c r="B887">
        <v>597</v>
      </c>
      <c r="C887">
        <v>171.60098202924129</v>
      </c>
    </row>
    <row r="888" spans="2:3">
      <c r="B888">
        <v>598</v>
      </c>
      <c r="C888">
        <v>136.63650022357876</v>
      </c>
    </row>
    <row r="889" spans="2:3">
      <c r="B889">
        <v>599</v>
      </c>
      <c r="C889">
        <v>165.28999103146106</v>
      </c>
    </row>
    <row r="890" spans="2:3">
      <c r="B890">
        <v>600</v>
      </c>
      <c r="C890">
        <v>163.86355318235789</v>
      </c>
    </row>
    <row r="891" spans="2:3">
      <c r="B891">
        <v>601</v>
      </c>
      <c r="C891">
        <v>128.79255709222207</v>
      </c>
    </row>
    <row r="892" spans="2:3">
      <c r="B892">
        <v>602</v>
      </c>
      <c r="C892">
        <v>177.69556374425284</v>
      </c>
    </row>
    <row r="893" spans="2:3">
      <c r="B893">
        <v>603</v>
      </c>
      <c r="C893">
        <v>138.30473002635762</v>
      </c>
    </row>
    <row r="894" spans="2:3">
      <c r="B894">
        <v>604</v>
      </c>
      <c r="C894">
        <v>191.9176769152721</v>
      </c>
    </row>
    <row r="895" spans="2:3">
      <c r="B895">
        <v>605</v>
      </c>
      <c r="C895">
        <v>161.70250030659284</v>
      </c>
    </row>
    <row r="896" spans="2:3">
      <c r="B896">
        <v>606</v>
      </c>
      <c r="C896">
        <v>166.54277344002281</v>
      </c>
    </row>
    <row r="897" spans="2:3">
      <c r="B897">
        <v>607</v>
      </c>
      <c r="C897">
        <v>160.30257073741927</v>
      </c>
    </row>
    <row r="898" spans="2:3">
      <c r="B898">
        <v>608</v>
      </c>
      <c r="C898">
        <v>196.2052170801685</v>
      </c>
    </row>
    <row r="899" spans="2:3">
      <c r="B899">
        <v>609</v>
      </c>
      <c r="C899">
        <v>130.09619717258184</v>
      </c>
    </row>
    <row r="900" spans="2:3">
      <c r="B900">
        <v>610</v>
      </c>
      <c r="C900">
        <v>146.16629633349336</v>
      </c>
    </row>
    <row r="901" spans="2:3">
      <c r="B901">
        <v>611</v>
      </c>
      <c r="C901">
        <v>148.55515981920783</v>
      </c>
    </row>
    <row r="902" spans="2:3">
      <c r="B902">
        <v>612</v>
      </c>
      <c r="C902">
        <v>147.83176601192551</v>
      </c>
    </row>
    <row r="903" spans="2:3">
      <c r="B903">
        <v>613</v>
      </c>
      <c r="C903">
        <v>167.66009108481541</v>
      </c>
    </row>
    <row r="904" spans="2:3">
      <c r="B904">
        <v>614</v>
      </c>
      <c r="C904">
        <v>147.36207879680435</v>
      </c>
    </row>
    <row r="905" spans="2:3">
      <c r="B905">
        <v>615</v>
      </c>
      <c r="C905">
        <v>158.75792287091838</v>
      </c>
    </row>
    <row r="906" spans="2:3">
      <c r="B906">
        <v>616</v>
      </c>
      <c r="C906">
        <v>194.32508907144913</v>
      </c>
    </row>
    <row r="907" spans="2:3">
      <c r="B907">
        <v>617</v>
      </c>
      <c r="C907">
        <v>132.52471780270182</v>
      </c>
    </row>
    <row r="908" spans="2:3">
      <c r="B908">
        <v>618</v>
      </c>
      <c r="C908">
        <v>191.30840482283025</v>
      </c>
    </row>
    <row r="909" spans="2:3">
      <c r="B909">
        <v>619</v>
      </c>
      <c r="C909">
        <v>143.31864535274693</v>
      </c>
    </row>
    <row r="910" spans="2:3">
      <c r="B910">
        <v>620</v>
      </c>
      <c r="C910">
        <v>203.71876864675579</v>
      </c>
    </row>
    <row r="911" spans="2:3">
      <c r="B911">
        <v>621</v>
      </c>
      <c r="C911">
        <v>118.13485303835836</v>
      </c>
    </row>
    <row r="912" spans="2:3">
      <c r="B912">
        <v>622</v>
      </c>
      <c r="C912">
        <v>164.6879624699981</v>
      </c>
    </row>
    <row r="913" spans="2:3">
      <c r="B913">
        <v>623</v>
      </c>
      <c r="C913">
        <v>164.63672416660683</v>
      </c>
    </row>
    <row r="914" spans="2:3">
      <c r="B914">
        <v>624</v>
      </c>
      <c r="C914">
        <v>139.68004543711453</v>
      </c>
    </row>
    <row r="915" spans="2:3">
      <c r="B915">
        <v>625</v>
      </c>
      <c r="C915">
        <v>202.98953994918116</v>
      </c>
    </row>
    <row r="916" spans="2:3">
      <c r="B916">
        <v>626</v>
      </c>
      <c r="C916">
        <v>150.80554951477831</v>
      </c>
    </row>
    <row r="917" spans="2:3">
      <c r="B917">
        <v>627</v>
      </c>
      <c r="C917">
        <v>142.05886527789099</v>
      </c>
    </row>
    <row r="918" spans="2:3">
      <c r="B918">
        <v>628</v>
      </c>
      <c r="C918">
        <v>159.02107327862015</v>
      </c>
    </row>
    <row r="919" spans="2:3">
      <c r="B919">
        <v>629</v>
      </c>
      <c r="C919">
        <v>145.87940148862612</v>
      </c>
    </row>
    <row r="920" spans="2:3">
      <c r="B920">
        <v>630</v>
      </c>
      <c r="C920">
        <v>142.84438731187694</v>
      </c>
    </row>
    <row r="921" spans="2:3">
      <c r="B921">
        <v>631</v>
      </c>
      <c r="C921">
        <v>162.7649614813084</v>
      </c>
    </row>
    <row r="922" spans="2:3">
      <c r="B922">
        <v>632</v>
      </c>
      <c r="C922">
        <v>142.34831602170874</v>
      </c>
    </row>
    <row r="923" spans="2:3">
      <c r="B923">
        <v>633</v>
      </c>
      <c r="C923">
        <v>138.63587760212073</v>
      </c>
    </row>
    <row r="924" spans="2:3">
      <c r="B924">
        <v>634</v>
      </c>
      <c r="C924">
        <v>146.87425916010997</v>
      </c>
    </row>
    <row r="925" spans="2:3">
      <c r="B925">
        <v>635</v>
      </c>
      <c r="C925">
        <v>172.43971888539312</v>
      </c>
    </row>
    <row r="926" spans="2:3">
      <c r="B926">
        <v>636</v>
      </c>
      <c r="C926">
        <v>143.04506852851836</v>
      </c>
    </row>
    <row r="927" spans="2:3">
      <c r="B927">
        <v>637</v>
      </c>
      <c r="C927">
        <v>128.00478421547979</v>
      </c>
    </row>
    <row r="928" spans="2:3">
      <c r="B928">
        <v>638</v>
      </c>
      <c r="C928">
        <v>210.3222105548497</v>
      </c>
    </row>
    <row r="929" spans="2:3">
      <c r="B929">
        <v>639</v>
      </c>
      <c r="C929">
        <v>147.91133218580811</v>
      </c>
    </row>
    <row r="930" spans="2:3">
      <c r="B930">
        <v>640</v>
      </c>
      <c r="C930">
        <v>179.77613690398965</v>
      </c>
    </row>
    <row r="931" spans="2:3">
      <c r="B931">
        <v>641</v>
      </c>
      <c r="C931">
        <v>212.90358565450211</v>
      </c>
    </row>
    <row r="932" spans="2:3">
      <c r="B932">
        <v>642</v>
      </c>
      <c r="C932">
        <v>147.7153149930156</v>
      </c>
    </row>
    <row r="933" spans="2:3">
      <c r="B933">
        <v>643</v>
      </c>
      <c r="C933">
        <v>174.93044678412286</v>
      </c>
    </row>
    <row r="934" spans="2:3">
      <c r="B934">
        <v>644</v>
      </c>
      <c r="C934">
        <v>240.35305686461496</v>
      </c>
    </row>
    <row r="935" spans="2:3">
      <c r="B935">
        <v>645</v>
      </c>
      <c r="C935">
        <v>141.06539242946607</v>
      </c>
    </row>
    <row r="936" spans="2:3">
      <c r="B936">
        <v>646</v>
      </c>
      <c r="C936">
        <v>177.69132142798875</v>
      </c>
    </row>
    <row r="937" spans="2:3">
      <c r="B937">
        <v>647</v>
      </c>
      <c r="C937">
        <v>132.69342678779248</v>
      </c>
    </row>
    <row r="938" spans="2:3">
      <c r="B938">
        <v>648</v>
      </c>
      <c r="C938">
        <v>116.14841956589493</v>
      </c>
    </row>
    <row r="939" spans="2:3">
      <c r="B939">
        <v>649</v>
      </c>
      <c r="C939">
        <v>149.94574605944578</v>
      </c>
    </row>
    <row r="940" spans="2:3">
      <c r="B940">
        <v>650</v>
      </c>
      <c r="C940">
        <v>130.13535122650549</v>
      </c>
    </row>
    <row r="941" spans="2:3">
      <c r="B941">
        <v>651</v>
      </c>
      <c r="C941">
        <v>196.35602129057858</v>
      </c>
    </row>
    <row r="942" spans="2:3">
      <c r="B942">
        <v>652</v>
      </c>
      <c r="C942">
        <v>249.63424531929559</v>
      </c>
    </row>
    <row r="943" spans="2:3">
      <c r="B943">
        <v>653</v>
      </c>
      <c r="C943">
        <v>146.69609666030874</v>
      </c>
    </row>
    <row r="944" spans="2:3">
      <c r="B944">
        <v>654</v>
      </c>
      <c r="C944">
        <v>159.29423441146753</v>
      </c>
    </row>
    <row r="945" spans="2:3">
      <c r="B945">
        <v>655</v>
      </c>
      <c r="C945">
        <v>168.36325657997409</v>
      </c>
    </row>
    <row r="946" spans="2:3">
      <c r="B946">
        <v>656</v>
      </c>
      <c r="C946">
        <v>167.97590517441714</v>
      </c>
    </row>
    <row r="947" spans="2:3">
      <c r="B947">
        <v>657</v>
      </c>
      <c r="C947">
        <v>185.44044938886569</v>
      </c>
    </row>
    <row r="948" spans="2:3">
      <c r="B948">
        <v>658</v>
      </c>
      <c r="C948">
        <v>175.97297994433634</v>
      </c>
    </row>
    <row r="949" spans="2:3">
      <c r="B949">
        <v>659</v>
      </c>
      <c r="C949">
        <v>170.75412985614204</v>
      </c>
    </row>
    <row r="950" spans="2:3">
      <c r="B950">
        <v>660</v>
      </c>
      <c r="C950">
        <v>170.92158689119452</v>
      </c>
    </row>
    <row r="951" spans="2:3">
      <c r="B951">
        <v>661</v>
      </c>
      <c r="C951">
        <v>128.90046126370652</v>
      </c>
    </row>
    <row r="952" spans="2:3">
      <c r="B952">
        <v>662</v>
      </c>
      <c r="C952">
        <v>159.89448210583004</v>
      </c>
    </row>
    <row r="953" spans="2:3">
      <c r="B953">
        <v>663</v>
      </c>
      <c r="C953">
        <v>170.06137322791722</v>
      </c>
    </row>
    <row r="954" spans="2:3">
      <c r="B954">
        <v>664</v>
      </c>
      <c r="C954">
        <v>168.76906911450217</v>
      </c>
    </row>
    <row r="955" spans="2:3">
      <c r="B955">
        <v>665</v>
      </c>
      <c r="C955">
        <v>142.9872433237</v>
      </c>
    </row>
    <row r="956" spans="2:3">
      <c r="B956">
        <v>666</v>
      </c>
      <c r="C956">
        <v>144.53475232071074</v>
      </c>
    </row>
    <row r="957" spans="2:3">
      <c r="B957">
        <v>667</v>
      </c>
      <c r="C957">
        <v>153.45321197745903</v>
      </c>
    </row>
    <row r="958" spans="2:3">
      <c r="B958">
        <v>668</v>
      </c>
      <c r="C958">
        <v>163.87685354344899</v>
      </c>
    </row>
    <row r="959" spans="2:3">
      <c r="B959">
        <v>669</v>
      </c>
      <c r="C959">
        <v>152.08152498533474</v>
      </c>
    </row>
    <row r="960" spans="2:3">
      <c r="B960">
        <v>670</v>
      </c>
      <c r="C960">
        <v>162.64045047333602</v>
      </c>
    </row>
    <row r="961" spans="2:3">
      <c r="B961">
        <v>671</v>
      </c>
      <c r="C961">
        <v>159.67302107682062</v>
      </c>
    </row>
    <row r="962" spans="2:3">
      <c r="B962">
        <v>672</v>
      </c>
      <c r="C962">
        <v>123.40104091884128</v>
      </c>
    </row>
    <row r="963" spans="2:3">
      <c r="B963">
        <v>673</v>
      </c>
      <c r="C963">
        <v>117.37227711895198</v>
      </c>
    </row>
    <row r="964" spans="2:3">
      <c r="B964">
        <v>674</v>
      </c>
      <c r="C964">
        <v>154.786845160524</v>
      </c>
    </row>
    <row r="965" spans="2:3">
      <c r="B965">
        <v>675</v>
      </c>
      <c r="C965">
        <v>128.87031631711966</v>
      </c>
    </row>
    <row r="966" spans="2:3">
      <c r="B966">
        <v>676</v>
      </c>
      <c r="C966">
        <v>156.37286443366037</v>
      </c>
    </row>
    <row r="967" spans="2:3">
      <c r="B967">
        <v>677</v>
      </c>
      <c r="C967">
        <v>167.12318616620053</v>
      </c>
    </row>
    <row r="968" spans="2:3">
      <c r="B968">
        <v>678</v>
      </c>
      <c r="C968">
        <v>146.93500693839053</v>
      </c>
    </row>
    <row r="969" spans="2:3">
      <c r="B969">
        <v>679</v>
      </c>
      <c r="C969">
        <v>160.6100056958814</v>
      </c>
    </row>
    <row r="970" spans="2:3">
      <c r="B970">
        <v>680</v>
      </c>
      <c r="C970">
        <v>182.46355287481748</v>
      </c>
    </row>
    <row r="971" spans="2:3">
      <c r="B971">
        <v>681</v>
      </c>
      <c r="C971">
        <v>129.80862691040105</v>
      </c>
    </row>
    <row r="972" spans="2:3">
      <c r="B972">
        <v>682</v>
      </c>
      <c r="C972">
        <v>132.53849394480824</v>
      </c>
    </row>
    <row r="973" spans="2:3">
      <c r="B973">
        <v>683</v>
      </c>
      <c r="C973">
        <v>140.82954318988524</v>
      </c>
    </row>
    <row r="974" spans="2:3">
      <c r="B974">
        <v>684</v>
      </c>
      <c r="C974">
        <v>137.33856915479001</v>
      </c>
    </row>
    <row r="975" spans="2:3">
      <c r="B975">
        <v>685</v>
      </c>
      <c r="C975">
        <v>143.15703625793464</v>
      </c>
    </row>
    <row r="976" spans="2:3">
      <c r="B976">
        <v>686</v>
      </c>
      <c r="C976">
        <v>130.71763939433575</v>
      </c>
    </row>
    <row r="977" spans="2:3">
      <c r="B977">
        <v>687</v>
      </c>
      <c r="C977">
        <v>168.46070157465115</v>
      </c>
    </row>
    <row r="978" spans="2:3">
      <c r="B978">
        <v>688</v>
      </c>
      <c r="C978">
        <v>151.2086322223235</v>
      </c>
    </row>
    <row r="979" spans="2:3">
      <c r="B979">
        <v>689</v>
      </c>
      <c r="C979">
        <v>152.23279084090268</v>
      </c>
    </row>
    <row r="980" spans="2:3">
      <c r="B980">
        <v>690</v>
      </c>
      <c r="C980">
        <v>142.33453461116181</v>
      </c>
    </row>
    <row r="981" spans="2:3">
      <c r="B981">
        <v>691</v>
      </c>
      <c r="C981">
        <v>171.75492326026188</v>
      </c>
    </row>
    <row r="982" spans="2:3">
      <c r="B982">
        <v>692</v>
      </c>
      <c r="C982">
        <v>121.5594876405922</v>
      </c>
    </row>
    <row r="983" spans="2:3">
      <c r="B983">
        <v>693</v>
      </c>
      <c r="C983">
        <v>151.3728034690748</v>
      </c>
    </row>
    <row r="984" spans="2:3">
      <c r="B984">
        <v>694</v>
      </c>
      <c r="C984">
        <v>154.66504813145644</v>
      </c>
    </row>
    <row r="985" spans="2:3">
      <c r="B985">
        <v>695</v>
      </c>
      <c r="C985">
        <v>189.73980425561604</v>
      </c>
    </row>
    <row r="986" spans="2:3">
      <c r="B986">
        <v>696</v>
      </c>
      <c r="C986">
        <v>151.44036926432776</v>
      </c>
    </row>
    <row r="987" spans="2:3">
      <c r="B987">
        <v>697</v>
      </c>
      <c r="C987">
        <v>164.18456004880201</v>
      </c>
    </row>
    <row r="988" spans="2:3">
      <c r="B988">
        <v>698</v>
      </c>
      <c r="C988">
        <v>156.79708945130324</v>
      </c>
    </row>
    <row r="989" spans="2:3">
      <c r="B989">
        <v>699</v>
      </c>
      <c r="C989">
        <v>164.82080978474724</v>
      </c>
    </row>
    <row r="990" spans="2:3">
      <c r="B990">
        <v>700</v>
      </c>
      <c r="C990">
        <v>144.87721583361025</v>
      </c>
    </row>
    <row r="991" spans="2:3">
      <c r="B991">
        <v>701</v>
      </c>
      <c r="C991">
        <v>174.95961746434503</v>
      </c>
    </row>
    <row r="992" spans="2:3">
      <c r="B992">
        <v>702</v>
      </c>
      <c r="C992">
        <v>151.49064797792965</v>
      </c>
    </row>
    <row r="993" spans="2:3">
      <c r="B993">
        <v>703</v>
      </c>
      <c r="C993">
        <v>186.93244982023202</v>
      </c>
    </row>
    <row r="994" spans="2:3">
      <c r="B994">
        <v>704</v>
      </c>
      <c r="C994">
        <v>179.59772651727641</v>
      </c>
    </row>
    <row r="995" spans="2:3">
      <c r="B995">
        <v>705</v>
      </c>
      <c r="C995">
        <v>175.52318820530914</v>
      </c>
    </row>
    <row r="996" spans="2:3">
      <c r="B996">
        <v>706</v>
      </c>
      <c r="C996">
        <v>186.50432162550149</v>
      </c>
    </row>
    <row r="997" spans="2:3">
      <c r="B997">
        <v>707</v>
      </c>
      <c r="C997">
        <v>121.58120642025446</v>
      </c>
    </row>
    <row r="998" spans="2:3">
      <c r="B998">
        <v>708</v>
      </c>
      <c r="C998">
        <v>146.29991227351516</v>
      </c>
    </row>
    <row r="999" spans="2:3">
      <c r="B999">
        <v>709</v>
      </c>
      <c r="C999">
        <v>140.35599627541606</v>
      </c>
    </row>
    <row r="1000" spans="2:3">
      <c r="B1000">
        <v>710</v>
      </c>
      <c r="C1000">
        <v>157.28418882786167</v>
      </c>
    </row>
    <row r="1001" spans="2:3">
      <c r="B1001">
        <v>711</v>
      </c>
      <c r="C1001">
        <v>146.93493002468057</v>
      </c>
    </row>
    <row r="1002" spans="2:3">
      <c r="B1002">
        <v>712</v>
      </c>
      <c r="C1002">
        <v>154.77511568338818</v>
      </c>
    </row>
    <row r="1003" spans="2:3">
      <c r="B1003">
        <v>713</v>
      </c>
      <c r="C1003">
        <v>165.06067056630073</v>
      </c>
    </row>
    <row r="1004" spans="2:3">
      <c r="B1004">
        <v>714</v>
      </c>
      <c r="C1004">
        <v>212.34721401125032</v>
      </c>
    </row>
    <row r="1005" spans="2:3">
      <c r="B1005">
        <v>715</v>
      </c>
      <c r="C1005">
        <v>149.19893907296228</v>
      </c>
    </row>
    <row r="1006" spans="2:3">
      <c r="B1006">
        <v>716</v>
      </c>
      <c r="C1006">
        <v>179.25264143336372</v>
      </c>
    </row>
    <row r="1007" spans="2:3">
      <c r="B1007">
        <v>717</v>
      </c>
      <c r="C1007">
        <v>150.67388193967372</v>
      </c>
    </row>
    <row r="1008" spans="2:3">
      <c r="B1008">
        <v>718</v>
      </c>
      <c r="C1008">
        <v>172.58810854346186</v>
      </c>
    </row>
    <row r="1009" spans="2:3">
      <c r="B1009">
        <v>719</v>
      </c>
      <c r="C1009">
        <v>175.85745630283438</v>
      </c>
    </row>
    <row r="1010" spans="2:3">
      <c r="B1010">
        <v>720</v>
      </c>
      <c r="C1010">
        <v>167.51916046105859</v>
      </c>
    </row>
    <row r="1011" spans="2:3">
      <c r="B1011">
        <v>721</v>
      </c>
      <c r="C1011">
        <v>147.23031546721305</v>
      </c>
    </row>
    <row r="1012" spans="2:3">
      <c r="B1012">
        <v>722</v>
      </c>
      <c r="C1012">
        <v>195.28624304523606</v>
      </c>
    </row>
    <row r="1013" spans="2:3">
      <c r="B1013">
        <v>723</v>
      </c>
      <c r="C1013">
        <v>128.07525172452853</v>
      </c>
    </row>
    <row r="1014" spans="2:3">
      <c r="B1014">
        <v>724</v>
      </c>
      <c r="C1014">
        <v>208.47128296285811</v>
      </c>
    </row>
    <row r="1015" spans="2:3">
      <c r="B1015">
        <v>725</v>
      </c>
      <c r="C1015">
        <v>145.65915903021079</v>
      </c>
    </row>
    <row r="1016" spans="2:3">
      <c r="B1016">
        <v>726</v>
      </c>
      <c r="C1016">
        <v>171.68708984594852</v>
      </c>
    </row>
    <row r="1017" spans="2:3">
      <c r="B1017">
        <v>727</v>
      </c>
      <c r="C1017">
        <v>163.27308884802136</v>
      </c>
    </row>
    <row r="1018" spans="2:3">
      <c r="B1018">
        <v>728</v>
      </c>
      <c r="C1018">
        <v>128.88462754383929</v>
      </c>
    </row>
    <row r="1019" spans="2:3">
      <c r="B1019">
        <v>729</v>
      </c>
      <c r="C1019">
        <v>171.2887417216217</v>
      </c>
    </row>
    <row r="1020" spans="2:3">
      <c r="B1020">
        <v>730</v>
      </c>
      <c r="C1020">
        <v>160.41583288481269</v>
      </c>
    </row>
    <row r="1021" spans="2:3">
      <c r="B1021">
        <v>731</v>
      </c>
      <c r="C1021">
        <v>165.59899171998455</v>
      </c>
    </row>
    <row r="1022" spans="2:3">
      <c r="B1022">
        <v>732</v>
      </c>
      <c r="C1022">
        <v>193.42062558433105</v>
      </c>
    </row>
    <row r="1023" spans="2:3">
      <c r="B1023">
        <v>733</v>
      </c>
      <c r="C1023">
        <v>196.00759418169355</v>
      </c>
    </row>
    <row r="1024" spans="2:3">
      <c r="B1024">
        <v>734</v>
      </c>
      <c r="C1024">
        <v>148.30724926039235</v>
      </c>
    </row>
    <row r="1025" spans="2:3">
      <c r="B1025">
        <v>735</v>
      </c>
      <c r="C1025">
        <v>171.91137076032942</v>
      </c>
    </row>
    <row r="1026" spans="2:3">
      <c r="B1026">
        <v>736</v>
      </c>
      <c r="C1026">
        <v>148.84116551110287</v>
      </c>
    </row>
    <row r="1027" spans="2:3">
      <c r="B1027">
        <v>737</v>
      </c>
      <c r="C1027">
        <v>139.17395625582839</v>
      </c>
    </row>
    <row r="1028" spans="2:3">
      <c r="B1028">
        <v>738</v>
      </c>
      <c r="C1028">
        <v>166.20500565948305</v>
      </c>
    </row>
    <row r="1029" spans="2:3">
      <c r="B1029">
        <v>739</v>
      </c>
      <c r="C1029">
        <v>135.85140867200889</v>
      </c>
    </row>
    <row r="1030" spans="2:3">
      <c r="B1030">
        <v>740</v>
      </c>
      <c r="C1030">
        <v>151.17288229618791</v>
      </c>
    </row>
    <row r="1031" spans="2:3">
      <c r="B1031">
        <v>741</v>
      </c>
      <c r="C1031">
        <v>218.42308919073994</v>
      </c>
    </row>
    <row r="1032" spans="2:3">
      <c r="B1032">
        <v>742</v>
      </c>
      <c r="C1032">
        <v>146.95873635088071</v>
      </c>
    </row>
    <row r="1033" spans="2:3">
      <c r="B1033">
        <v>743</v>
      </c>
      <c r="C1033">
        <v>168.32940568129555</v>
      </c>
    </row>
    <row r="1034" spans="2:3">
      <c r="B1034">
        <v>744</v>
      </c>
      <c r="C1034">
        <v>136.60830486977795</v>
      </c>
    </row>
    <row r="1035" spans="2:3">
      <c r="B1035">
        <v>745</v>
      </c>
      <c r="C1035">
        <v>190.46227065182956</v>
      </c>
    </row>
    <row r="1036" spans="2:3">
      <c r="B1036">
        <v>746</v>
      </c>
      <c r="C1036">
        <v>145.34153449963736</v>
      </c>
    </row>
    <row r="1037" spans="2:3">
      <c r="B1037">
        <v>747</v>
      </c>
      <c r="C1037">
        <v>135.40867646449379</v>
      </c>
    </row>
    <row r="1038" spans="2:3">
      <c r="B1038">
        <v>748</v>
      </c>
      <c r="C1038">
        <v>154.62515951038304</v>
      </c>
    </row>
    <row r="1039" spans="2:3">
      <c r="B1039">
        <v>749</v>
      </c>
      <c r="C1039">
        <v>160.96243194727597</v>
      </c>
    </row>
    <row r="1040" spans="2:3">
      <c r="B1040">
        <v>750</v>
      </c>
      <c r="C1040">
        <v>184.95888225848597</v>
      </c>
    </row>
    <row r="1041" spans="2:3">
      <c r="B1041">
        <v>751</v>
      </c>
      <c r="C1041">
        <v>153.41082764339706</v>
      </c>
    </row>
    <row r="1042" spans="2:3">
      <c r="B1042">
        <v>752</v>
      </c>
      <c r="C1042">
        <v>160.72924443864531</v>
      </c>
    </row>
    <row r="1043" spans="2:3">
      <c r="B1043">
        <v>753</v>
      </c>
      <c r="C1043">
        <v>133.54160118783392</v>
      </c>
    </row>
    <row r="1044" spans="2:3">
      <c r="B1044">
        <v>754</v>
      </c>
      <c r="C1044">
        <v>143.14553487832802</v>
      </c>
    </row>
    <row r="1045" spans="2:3">
      <c r="B1045">
        <v>755</v>
      </c>
      <c r="C1045">
        <v>132.62206625440254</v>
      </c>
    </row>
    <row r="1046" spans="2:3">
      <c r="B1046">
        <v>756</v>
      </c>
      <c r="C1046">
        <v>153.20729693504822</v>
      </c>
    </row>
    <row r="1047" spans="2:3">
      <c r="B1047">
        <v>757</v>
      </c>
      <c r="C1047">
        <v>163.17358536738698</v>
      </c>
    </row>
    <row r="1048" spans="2:3">
      <c r="B1048">
        <v>758</v>
      </c>
      <c r="C1048">
        <v>165.61369115168813</v>
      </c>
    </row>
    <row r="1049" spans="2:3">
      <c r="B1049">
        <v>759</v>
      </c>
      <c r="C1049">
        <v>184.97073273760205</v>
      </c>
    </row>
    <row r="1050" spans="2:3">
      <c r="B1050">
        <v>760</v>
      </c>
      <c r="C1050">
        <v>165.3140792990701</v>
      </c>
    </row>
    <row r="1051" spans="2:3">
      <c r="B1051">
        <v>761</v>
      </c>
      <c r="C1051">
        <v>192.45085388367747</v>
      </c>
    </row>
    <row r="1052" spans="2:3">
      <c r="B1052">
        <v>762</v>
      </c>
      <c r="C1052">
        <v>154.64062278771596</v>
      </c>
    </row>
    <row r="1053" spans="2:3">
      <c r="B1053">
        <v>763</v>
      </c>
      <c r="C1053">
        <v>172.13190749670554</v>
      </c>
    </row>
    <row r="1054" spans="2:3">
      <c r="B1054">
        <v>764</v>
      </c>
      <c r="C1054">
        <v>142.72091827895557</v>
      </c>
    </row>
    <row r="1055" spans="2:3">
      <c r="B1055">
        <v>765</v>
      </c>
      <c r="C1055">
        <v>184.4293313398739</v>
      </c>
    </row>
    <row r="1056" spans="2:3">
      <c r="B1056">
        <v>766</v>
      </c>
      <c r="C1056">
        <v>155.24108355875853</v>
      </c>
    </row>
    <row r="1057" spans="2:3">
      <c r="B1057">
        <v>767</v>
      </c>
      <c r="C1057">
        <v>167.83868409837939</v>
      </c>
    </row>
    <row r="1058" spans="2:3">
      <c r="B1058">
        <v>768</v>
      </c>
      <c r="C1058">
        <v>194.44695026499386</v>
      </c>
    </row>
    <row r="1059" spans="2:3">
      <c r="B1059">
        <v>769</v>
      </c>
      <c r="C1059">
        <v>157.14956089980532</v>
      </c>
    </row>
    <row r="1060" spans="2:3">
      <c r="B1060">
        <v>770</v>
      </c>
      <c r="C1060">
        <v>153.03540751352938</v>
      </c>
    </row>
    <row r="1061" spans="2:3">
      <c r="B1061">
        <v>771</v>
      </c>
      <c r="C1061">
        <v>153.34977302415891</v>
      </c>
    </row>
    <row r="1062" spans="2:3">
      <c r="B1062">
        <v>772</v>
      </c>
      <c r="C1062">
        <v>144.4819424740524</v>
      </c>
    </row>
    <row r="1063" spans="2:3">
      <c r="B1063">
        <v>773</v>
      </c>
      <c r="C1063">
        <v>144.6220765368567</v>
      </c>
    </row>
    <row r="1064" spans="2:3">
      <c r="B1064">
        <v>774</v>
      </c>
      <c r="C1064">
        <v>135.2108431921942</v>
      </c>
    </row>
    <row r="1065" spans="2:3">
      <c r="B1065">
        <v>775</v>
      </c>
      <c r="C1065">
        <v>148.06238362633218</v>
      </c>
    </row>
    <row r="1066" spans="2:3">
      <c r="B1066">
        <v>776</v>
      </c>
      <c r="C1066">
        <v>171.35091325917182</v>
      </c>
    </row>
    <row r="1067" spans="2:3">
      <c r="B1067">
        <v>777</v>
      </c>
      <c r="C1067">
        <v>196.49310146140371</v>
      </c>
    </row>
    <row r="1068" spans="2:3">
      <c r="B1068">
        <v>778</v>
      </c>
      <c r="C1068">
        <v>142.65510403076814</v>
      </c>
    </row>
    <row r="1069" spans="2:3">
      <c r="B1069">
        <v>779</v>
      </c>
      <c r="C1069">
        <v>190.96603257016159</v>
      </c>
    </row>
    <row r="1070" spans="2:3">
      <c r="B1070">
        <v>780</v>
      </c>
      <c r="C1070">
        <v>144.02162463274681</v>
      </c>
    </row>
    <row r="1071" spans="2:3">
      <c r="B1071">
        <v>781</v>
      </c>
      <c r="C1071">
        <v>195.83592465641718</v>
      </c>
    </row>
    <row r="1072" spans="2:3">
      <c r="B1072">
        <v>782</v>
      </c>
      <c r="C1072">
        <v>191.97775830610689</v>
      </c>
    </row>
    <row r="1073" spans="2:3">
      <c r="B1073">
        <v>783</v>
      </c>
      <c r="C1073">
        <v>166.53215435807422</v>
      </c>
    </row>
    <row r="1074" spans="2:3">
      <c r="B1074">
        <v>784</v>
      </c>
      <c r="C1074">
        <v>161.64716179938904</v>
      </c>
    </row>
    <row r="1075" spans="2:3">
      <c r="B1075">
        <v>785</v>
      </c>
      <c r="C1075">
        <v>131.06222300778381</v>
      </c>
    </row>
    <row r="1076" spans="2:3">
      <c r="B1076">
        <v>786</v>
      </c>
      <c r="C1076">
        <v>161.06345545433928</v>
      </c>
    </row>
    <row r="1077" spans="2:3">
      <c r="B1077">
        <v>787</v>
      </c>
      <c r="C1077">
        <v>158.94467041574433</v>
      </c>
    </row>
    <row r="1078" spans="2:3">
      <c r="B1078">
        <v>788</v>
      </c>
      <c r="C1078">
        <v>155.72360074393362</v>
      </c>
    </row>
    <row r="1079" spans="2:3">
      <c r="B1079">
        <v>789</v>
      </c>
      <c r="C1079">
        <v>134.74563977025414</v>
      </c>
    </row>
    <row r="1080" spans="2:3">
      <c r="B1080">
        <v>790</v>
      </c>
      <c r="C1080">
        <v>150.15934995108239</v>
      </c>
    </row>
    <row r="1081" spans="2:3">
      <c r="B1081">
        <v>791</v>
      </c>
      <c r="C1081">
        <v>144.05754441239009</v>
      </c>
    </row>
    <row r="1082" spans="2:3">
      <c r="B1082">
        <v>792</v>
      </c>
      <c r="C1082">
        <v>136.0299628440938</v>
      </c>
    </row>
    <row r="1083" spans="2:3">
      <c r="B1083">
        <v>793</v>
      </c>
      <c r="C1083">
        <v>122.24095474252205</v>
      </c>
    </row>
    <row r="1084" spans="2:3">
      <c r="B1084">
        <v>794</v>
      </c>
      <c r="C1084">
        <v>135.3355203143478</v>
      </c>
    </row>
    <row r="1085" spans="2:3">
      <c r="B1085">
        <v>795</v>
      </c>
      <c r="C1085">
        <v>164.79748758469594</v>
      </c>
    </row>
    <row r="1086" spans="2:3">
      <c r="B1086">
        <v>796</v>
      </c>
      <c r="C1086">
        <v>184.01541333493492</v>
      </c>
    </row>
    <row r="1087" spans="2:3">
      <c r="B1087">
        <v>797</v>
      </c>
      <c r="C1087">
        <v>137.21255962714696</v>
      </c>
    </row>
    <row r="1088" spans="2:3">
      <c r="B1088">
        <v>798</v>
      </c>
      <c r="C1088">
        <v>127.30634459677866</v>
      </c>
    </row>
    <row r="1089" spans="2:3">
      <c r="B1089">
        <v>799</v>
      </c>
      <c r="C1089">
        <v>165.36636818313329</v>
      </c>
    </row>
    <row r="1090" spans="2:3">
      <c r="B1090">
        <v>800</v>
      </c>
      <c r="C1090">
        <v>176.22305720554274</v>
      </c>
    </row>
    <row r="1091" spans="2:3">
      <c r="B1091">
        <v>801</v>
      </c>
      <c r="C1091">
        <v>125.51693284907583</v>
      </c>
    </row>
    <row r="1092" spans="2:3">
      <c r="B1092">
        <v>802</v>
      </c>
      <c r="C1092">
        <v>154.06429394335709</v>
      </c>
    </row>
    <row r="1093" spans="2:3">
      <c r="B1093">
        <v>803</v>
      </c>
      <c r="C1093">
        <v>153.84558220383929</v>
      </c>
    </row>
    <row r="1094" spans="2:3">
      <c r="B1094">
        <v>804</v>
      </c>
      <c r="C1094">
        <v>123.3948913548479</v>
      </c>
    </row>
    <row r="1095" spans="2:3">
      <c r="B1095">
        <v>805</v>
      </c>
      <c r="C1095">
        <v>159.44973908927773</v>
      </c>
    </row>
    <row r="1096" spans="2:3">
      <c r="B1096">
        <v>806</v>
      </c>
      <c r="C1096">
        <v>164.94602126678339</v>
      </c>
    </row>
    <row r="1097" spans="2:3">
      <c r="B1097">
        <v>807</v>
      </c>
      <c r="C1097">
        <v>148.98576626799505</v>
      </c>
    </row>
    <row r="1098" spans="2:3">
      <c r="B1098">
        <v>808</v>
      </c>
      <c r="C1098">
        <v>143.18387934184392</v>
      </c>
    </row>
    <row r="1099" spans="2:3">
      <c r="B1099">
        <v>809</v>
      </c>
      <c r="C1099">
        <v>153.15434301419376</v>
      </c>
    </row>
    <row r="1100" spans="2:3">
      <c r="B1100">
        <v>810</v>
      </c>
      <c r="C1100">
        <v>153.0861296985596</v>
      </c>
    </row>
    <row r="1101" spans="2:3">
      <c r="B1101">
        <v>811</v>
      </c>
      <c r="C1101">
        <v>132.86419102814219</v>
      </c>
    </row>
    <row r="1102" spans="2:3">
      <c r="B1102">
        <v>812</v>
      </c>
      <c r="C1102">
        <v>128.61447476558655</v>
      </c>
    </row>
    <row r="1103" spans="2:3">
      <c r="B1103">
        <v>813</v>
      </c>
      <c r="C1103">
        <v>136.31280515952653</v>
      </c>
    </row>
    <row r="1104" spans="2:3">
      <c r="B1104">
        <v>814</v>
      </c>
      <c r="C1104">
        <v>188.68604640072033</v>
      </c>
    </row>
    <row r="1105" spans="2:3">
      <c r="B1105">
        <v>815</v>
      </c>
      <c r="C1105">
        <v>141.32322644829432</v>
      </c>
    </row>
    <row r="1106" spans="2:3">
      <c r="B1106">
        <v>816</v>
      </c>
      <c r="C1106">
        <v>168.0914084551363</v>
      </c>
    </row>
    <row r="1107" spans="2:3">
      <c r="B1107">
        <v>817</v>
      </c>
      <c r="C1107">
        <v>150.02276827706382</v>
      </c>
    </row>
    <row r="1108" spans="2:3">
      <c r="B1108">
        <v>818</v>
      </c>
      <c r="C1108">
        <v>127.62747544506428</v>
      </c>
    </row>
    <row r="1109" spans="2:3">
      <c r="B1109">
        <v>819</v>
      </c>
      <c r="C1109">
        <v>145.80546660496384</v>
      </c>
    </row>
    <row r="1110" spans="2:3">
      <c r="B1110">
        <v>820</v>
      </c>
      <c r="C1110">
        <v>132.8519160055495</v>
      </c>
    </row>
    <row r="1111" spans="2:3">
      <c r="B1111">
        <v>821</v>
      </c>
      <c r="C1111">
        <v>117.51562770695747</v>
      </c>
    </row>
    <row r="1112" spans="2:3">
      <c r="B1112">
        <v>822</v>
      </c>
      <c r="C1112">
        <v>168.47150085138756</v>
      </c>
    </row>
    <row r="1113" spans="2:3">
      <c r="B1113">
        <v>823</v>
      </c>
      <c r="C1113">
        <v>120.50515210007617</v>
      </c>
    </row>
    <row r="1114" spans="2:3">
      <c r="B1114">
        <v>824</v>
      </c>
      <c r="C1114">
        <v>148.59157027430476</v>
      </c>
    </row>
    <row r="1115" spans="2:3">
      <c r="B1115">
        <v>825</v>
      </c>
      <c r="C1115">
        <v>152.33944734197681</v>
      </c>
    </row>
    <row r="1116" spans="2:3">
      <c r="B1116">
        <v>826</v>
      </c>
      <c r="C1116">
        <v>145.26737487599027</v>
      </c>
    </row>
    <row r="1117" spans="2:3">
      <c r="B1117">
        <v>827</v>
      </c>
      <c r="C1117">
        <v>153.58334678189613</v>
      </c>
    </row>
    <row r="1118" spans="2:3">
      <c r="B1118">
        <v>828</v>
      </c>
      <c r="C1118">
        <v>127.64867060533086</v>
      </c>
    </row>
    <row r="1119" spans="2:3">
      <c r="B1119">
        <v>829</v>
      </c>
      <c r="C1119">
        <v>217.34944667936799</v>
      </c>
    </row>
    <row r="1120" spans="2:3">
      <c r="B1120">
        <v>830</v>
      </c>
      <c r="C1120">
        <v>149.81379237355904</v>
      </c>
    </row>
    <row r="1121" spans="2:3">
      <c r="B1121">
        <v>831</v>
      </c>
      <c r="C1121">
        <v>162.55833455206283</v>
      </c>
    </row>
    <row r="1122" spans="2:3">
      <c r="B1122">
        <v>832</v>
      </c>
      <c r="C1122">
        <v>182.79583681610313</v>
      </c>
    </row>
    <row r="1123" spans="2:3">
      <c r="B1123">
        <v>833</v>
      </c>
      <c r="C1123">
        <v>149.85996369416159</v>
      </c>
    </row>
    <row r="1124" spans="2:3">
      <c r="B1124">
        <v>834</v>
      </c>
      <c r="C1124">
        <v>131.7160485668833</v>
      </c>
    </row>
    <row r="1125" spans="2:3">
      <c r="B1125">
        <v>835</v>
      </c>
      <c r="C1125">
        <v>152.84818907703945</v>
      </c>
    </row>
    <row r="1126" spans="2:3">
      <c r="B1126">
        <v>836</v>
      </c>
      <c r="C1126">
        <v>161.25865926542517</v>
      </c>
    </row>
    <row r="1127" spans="2:3">
      <c r="B1127">
        <v>837</v>
      </c>
      <c r="C1127">
        <v>133.454139360293</v>
      </c>
    </row>
    <row r="1128" spans="2:3">
      <c r="B1128">
        <v>838</v>
      </c>
      <c r="C1128">
        <v>81.475939971005474</v>
      </c>
    </row>
    <row r="1129" spans="2:3">
      <c r="B1129">
        <v>839</v>
      </c>
      <c r="C1129">
        <v>161.523645484056</v>
      </c>
    </row>
    <row r="1130" spans="2:3">
      <c r="B1130">
        <v>840</v>
      </c>
      <c r="C1130">
        <v>123.18712765133718</v>
      </c>
    </row>
    <row r="1131" spans="2:3">
      <c r="B1131">
        <v>841</v>
      </c>
      <c r="C1131">
        <v>129.34400553618752</v>
      </c>
    </row>
    <row r="1132" spans="2:3">
      <c r="B1132">
        <v>842</v>
      </c>
      <c r="C1132">
        <v>155.42875704542385</v>
      </c>
    </row>
    <row r="1133" spans="2:3">
      <c r="B1133">
        <v>843</v>
      </c>
      <c r="C1133">
        <v>177.37986964800442</v>
      </c>
    </row>
    <row r="1134" spans="2:3">
      <c r="B1134">
        <v>844</v>
      </c>
      <c r="C1134">
        <v>158.15481915302959</v>
      </c>
    </row>
    <row r="1135" spans="2:3">
      <c r="B1135">
        <v>845</v>
      </c>
      <c r="C1135">
        <v>176.98837279342669</v>
      </c>
    </row>
    <row r="1136" spans="2:3">
      <c r="B1136">
        <v>846</v>
      </c>
      <c r="C1136">
        <v>137.30847878768904</v>
      </c>
    </row>
    <row r="1137" spans="2:3">
      <c r="B1137">
        <v>847</v>
      </c>
      <c r="C1137">
        <v>178.76902225239436</v>
      </c>
    </row>
    <row r="1138" spans="2:3">
      <c r="B1138">
        <v>848</v>
      </c>
      <c r="C1138">
        <v>124.41100883526258</v>
      </c>
    </row>
    <row r="1139" spans="2:3">
      <c r="B1139">
        <v>849</v>
      </c>
      <c r="C1139">
        <v>166.47368394107193</v>
      </c>
    </row>
    <row r="1140" spans="2:3">
      <c r="B1140">
        <v>850</v>
      </c>
      <c r="C1140">
        <v>176.17747556251115</v>
      </c>
    </row>
    <row r="1141" spans="2:3">
      <c r="B1141">
        <v>851</v>
      </c>
      <c r="C1141">
        <v>127.11235879142119</v>
      </c>
    </row>
    <row r="1142" spans="2:3">
      <c r="B1142">
        <v>852</v>
      </c>
      <c r="C1142">
        <v>157.19839344186735</v>
      </c>
    </row>
    <row r="1143" spans="2:3">
      <c r="B1143">
        <v>853</v>
      </c>
      <c r="C1143">
        <v>169.54825925675723</v>
      </c>
    </row>
    <row r="1144" spans="2:3">
      <c r="B1144">
        <v>854</v>
      </c>
      <c r="C1144">
        <v>143.39260885747021</v>
      </c>
    </row>
    <row r="1145" spans="2:3">
      <c r="B1145">
        <v>855</v>
      </c>
      <c r="C1145">
        <v>169.6163904732081</v>
      </c>
    </row>
    <row r="1146" spans="2:3">
      <c r="B1146">
        <v>856</v>
      </c>
      <c r="C1146">
        <v>126.00776746115949</v>
      </c>
    </row>
    <row r="1147" spans="2:3">
      <c r="B1147">
        <v>857</v>
      </c>
      <c r="C1147">
        <v>177.43786799567658</v>
      </c>
    </row>
    <row r="1148" spans="2:3">
      <c r="B1148">
        <v>858</v>
      </c>
      <c r="C1148">
        <v>138.44648060494899</v>
      </c>
    </row>
    <row r="1149" spans="2:3">
      <c r="B1149">
        <v>859</v>
      </c>
      <c r="C1149">
        <v>144.37135245638009</v>
      </c>
    </row>
    <row r="1150" spans="2:3">
      <c r="B1150">
        <v>860</v>
      </c>
      <c r="C1150">
        <v>176.46618095265066</v>
      </c>
    </row>
    <row r="1151" spans="2:3">
      <c r="B1151">
        <v>861</v>
      </c>
      <c r="C1151">
        <v>144.89277872813781</v>
      </c>
    </row>
    <row r="1152" spans="2:3">
      <c r="B1152">
        <v>862</v>
      </c>
      <c r="C1152">
        <v>144.67889906203987</v>
      </c>
    </row>
    <row r="1153" spans="2:3">
      <c r="B1153">
        <v>863</v>
      </c>
      <c r="C1153">
        <v>158.92156651296233</v>
      </c>
    </row>
    <row r="1154" spans="2:3">
      <c r="B1154">
        <v>864</v>
      </c>
      <c r="C1154">
        <v>177.1932322907422</v>
      </c>
    </row>
    <row r="1155" spans="2:3">
      <c r="B1155">
        <v>865</v>
      </c>
      <c r="C1155">
        <v>136.13702445270621</v>
      </c>
    </row>
    <row r="1156" spans="2:3">
      <c r="B1156">
        <v>866</v>
      </c>
      <c r="C1156">
        <v>124.19478021280452</v>
      </c>
    </row>
    <row r="1157" spans="2:3">
      <c r="B1157">
        <v>867</v>
      </c>
      <c r="C1157">
        <v>152.31659667789441</v>
      </c>
    </row>
    <row r="1158" spans="2:3">
      <c r="B1158">
        <v>868</v>
      </c>
      <c r="C1158">
        <v>133.00747265297645</v>
      </c>
    </row>
    <row r="1159" spans="2:3">
      <c r="B1159">
        <v>869</v>
      </c>
      <c r="C1159">
        <v>168.55134129767407</v>
      </c>
    </row>
    <row r="1160" spans="2:3">
      <c r="B1160">
        <v>870</v>
      </c>
      <c r="C1160">
        <v>193.47340618906037</v>
      </c>
    </row>
    <row r="1161" spans="2:3">
      <c r="B1161">
        <v>871</v>
      </c>
      <c r="C1161">
        <v>118.64411416496073</v>
      </c>
    </row>
    <row r="1162" spans="2:3">
      <c r="B1162">
        <v>872</v>
      </c>
      <c r="C1162">
        <v>182.74325726925022</v>
      </c>
    </row>
    <row r="1163" spans="2:3">
      <c r="B1163">
        <v>873</v>
      </c>
      <c r="C1163">
        <v>182.57478615050442</v>
      </c>
    </row>
    <row r="1164" spans="2:3">
      <c r="B1164">
        <v>874</v>
      </c>
      <c r="C1164">
        <v>146.3180621547919</v>
      </c>
    </row>
    <row r="1165" spans="2:3">
      <c r="B1165">
        <v>875</v>
      </c>
      <c r="C1165">
        <v>131.12155185788811</v>
      </c>
    </row>
    <row r="1166" spans="2:3">
      <c r="B1166">
        <v>876</v>
      </c>
      <c r="C1166">
        <v>160.20774446604457</v>
      </c>
    </row>
    <row r="1167" spans="2:3">
      <c r="B1167">
        <v>877</v>
      </c>
      <c r="C1167">
        <v>151.0220539294657</v>
      </c>
    </row>
    <row r="1168" spans="2:3">
      <c r="B1168">
        <v>878</v>
      </c>
      <c r="C1168">
        <v>168.88893567878588</v>
      </c>
    </row>
    <row r="1169" spans="2:3">
      <c r="B1169">
        <v>879</v>
      </c>
      <c r="C1169">
        <v>151.08446556219735</v>
      </c>
    </row>
    <row r="1170" spans="2:3">
      <c r="B1170">
        <v>880</v>
      </c>
      <c r="C1170">
        <v>186.56004195026398</v>
      </c>
    </row>
    <row r="1171" spans="2:3">
      <c r="B1171">
        <v>881</v>
      </c>
      <c r="C1171">
        <v>134.10537847886729</v>
      </c>
    </row>
    <row r="1172" spans="2:3">
      <c r="B1172">
        <v>882</v>
      </c>
      <c r="C1172">
        <v>177.54885129405159</v>
      </c>
    </row>
    <row r="1173" spans="2:3">
      <c r="B1173">
        <v>883</v>
      </c>
      <c r="C1173">
        <v>171.04716531162862</v>
      </c>
    </row>
    <row r="1174" spans="2:3">
      <c r="B1174">
        <v>884</v>
      </c>
      <c r="C1174">
        <v>172.38778170009186</v>
      </c>
    </row>
    <row r="1175" spans="2:3">
      <c r="B1175">
        <v>885</v>
      </c>
      <c r="C1175">
        <v>159.07692904350856</v>
      </c>
    </row>
    <row r="1176" spans="2:3">
      <c r="B1176">
        <v>886</v>
      </c>
      <c r="C1176">
        <v>159.58530115834202</v>
      </c>
    </row>
    <row r="1177" spans="2:3">
      <c r="B1177">
        <v>887</v>
      </c>
      <c r="C1177">
        <v>134.2401447964921</v>
      </c>
    </row>
    <row r="1178" spans="2:3">
      <c r="B1178">
        <v>888</v>
      </c>
      <c r="C1178">
        <v>149.93952212919552</v>
      </c>
    </row>
    <row r="1179" spans="2:3">
      <c r="B1179">
        <v>889</v>
      </c>
      <c r="C1179">
        <v>157.21904886372494</v>
      </c>
    </row>
    <row r="1180" spans="2:3">
      <c r="B1180">
        <v>890</v>
      </c>
      <c r="C1180">
        <v>165.67908086411242</v>
      </c>
    </row>
    <row r="1181" spans="2:3">
      <c r="B1181">
        <v>891</v>
      </c>
      <c r="C1181">
        <v>173.45269826366066</v>
      </c>
    </row>
    <row r="1182" spans="2:3">
      <c r="B1182">
        <v>892</v>
      </c>
      <c r="C1182">
        <v>163.14094585141135</v>
      </c>
    </row>
    <row r="1183" spans="2:3">
      <c r="B1183">
        <v>893</v>
      </c>
      <c r="C1183">
        <v>155.06666187964086</v>
      </c>
    </row>
    <row r="1184" spans="2:3">
      <c r="B1184">
        <v>894</v>
      </c>
      <c r="C1184">
        <v>171.02043877446448</v>
      </c>
    </row>
    <row r="1185" spans="2:3">
      <c r="B1185">
        <v>895</v>
      </c>
      <c r="C1185">
        <v>163.70312787708261</v>
      </c>
    </row>
    <row r="1186" spans="2:3">
      <c r="B1186">
        <v>896</v>
      </c>
      <c r="C1186">
        <v>131.41441290443731</v>
      </c>
    </row>
    <row r="1187" spans="2:3">
      <c r="B1187">
        <v>897</v>
      </c>
      <c r="C1187">
        <v>176.14854741957797</v>
      </c>
    </row>
    <row r="1188" spans="2:3">
      <c r="B1188">
        <v>898</v>
      </c>
      <c r="C1188">
        <v>164.86636043417531</v>
      </c>
    </row>
    <row r="1189" spans="2:3">
      <c r="B1189">
        <v>899</v>
      </c>
      <c r="C1189">
        <v>189.90901179919933</v>
      </c>
    </row>
    <row r="1190" spans="2:3">
      <c r="B1190">
        <v>900</v>
      </c>
      <c r="C1190">
        <v>166.1708544099474</v>
      </c>
    </row>
    <row r="1191" spans="2:3">
      <c r="B1191">
        <v>901</v>
      </c>
      <c r="C1191">
        <v>142.38560893434536</v>
      </c>
    </row>
    <row r="1192" spans="2:3">
      <c r="B1192">
        <v>902</v>
      </c>
      <c r="C1192">
        <v>160.73093353921246</v>
      </c>
    </row>
    <row r="1193" spans="2:3">
      <c r="B1193">
        <v>903</v>
      </c>
      <c r="C1193">
        <v>188.44173328516763</v>
      </c>
    </row>
    <row r="1194" spans="2:3">
      <c r="B1194">
        <v>904</v>
      </c>
      <c r="C1194">
        <v>102.25560527463169</v>
      </c>
    </row>
    <row r="1195" spans="2:3">
      <c r="B1195">
        <v>905</v>
      </c>
      <c r="C1195">
        <v>157.70655866893318</v>
      </c>
    </row>
    <row r="1196" spans="2:3">
      <c r="B1196">
        <v>906</v>
      </c>
      <c r="C1196">
        <v>172.90844177949549</v>
      </c>
    </row>
    <row r="1197" spans="2:3">
      <c r="B1197">
        <v>907</v>
      </c>
      <c r="C1197">
        <v>131.29501451532249</v>
      </c>
    </row>
    <row r="1198" spans="2:3">
      <c r="B1198">
        <v>908</v>
      </c>
      <c r="C1198">
        <v>150.84723378004202</v>
      </c>
    </row>
    <row r="1199" spans="2:3">
      <c r="B1199">
        <v>909</v>
      </c>
      <c r="C1199">
        <v>131.13101082606747</v>
      </c>
    </row>
    <row r="1200" spans="2:3">
      <c r="B1200">
        <v>910</v>
      </c>
      <c r="C1200">
        <v>173.2462741716252</v>
      </c>
    </row>
    <row r="1201" spans="2:3">
      <c r="B1201">
        <v>911</v>
      </c>
      <c r="C1201">
        <v>132.32514298702804</v>
      </c>
    </row>
    <row r="1202" spans="2:3">
      <c r="B1202">
        <v>912</v>
      </c>
      <c r="C1202">
        <v>169.9057956347871</v>
      </c>
    </row>
    <row r="1203" spans="2:3">
      <c r="B1203">
        <v>913</v>
      </c>
      <c r="C1203">
        <v>170.80213643051124</v>
      </c>
    </row>
    <row r="1204" spans="2:3">
      <c r="B1204">
        <v>914</v>
      </c>
      <c r="C1204">
        <v>142.73677543614323</v>
      </c>
    </row>
    <row r="1205" spans="2:3">
      <c r="B1205">
        <v>915</v>
      </c>
      <c r="C1205">
        <v>171.82513601560007</v>
      </c>
    </row>
    <row r="1206" spans="2:3">
      <c r="B1206">
        <v>916</v>
      </c>
      <c r="C1206">
        <v>101.49713815565123</v>
      </c>
    </row>
    <row r="1207" spans="2:3">
      <c r="B1207">
        <v>917</v>
      </c>
      <c r="C1207">
        <v>200.40736328072617</v>
      </c>
    </row>
    <row r="1208" spans="2:3">
      <c r="B1208">
        <v>918</v>
      </c>
      <c r="C1208">
        <v>166.0415217273852</v>
      </c>
    </row>
    <row r="1209" spans="2:3">
      <c r="B1209">
        <v>919</v>
      </c>
      <c r="C1209">
        <v>176.52466317503024</v>
      </c>
    </row>
    <row r="1210" spans="2:3">
      <c r="B1210">
        <v>920</v>
      </c>
      <c r="C1210">
        <v>196.99859620813365</v>
      </c>
    </row>
    <row r="1211" spans="2:3">
      <c r="B1211">
        <v>921</v>
      </c>
      <c r="C1211">
        <v>153.10849804195843</v>
      </c>
    </row>
    <row r="1212" spans="2:3">
      <c r="B1212">
        <v>922</v>
      </c>
      <c r="C1212">
        <v>173.44468218616623</v>
      </c>
    </row>
    <row r="1213" spans="2:3">
      <c r="B1213">
        <v>923</v>
      </c>
      <c r="C1213">
        <v>168.43794575896169</v>
      </c>
    </row>
    <row r="1214" spans="2:3">
      <c r="B1214">
        <v>924</v>
      </c>
      <c r="C1214">
        <v>152.75042061189242</v>
      </c>
    </row>
    <row r="1215" spans="2:3">
      <c r="B1215">
        <v>925</v>
      </c>
      <c r="C1215">
        <v>154.29876794224998</v>
      </c>
    </row>
    <row r="1216" spans="2:3">
      <c r="B1216">
        <v>926</v>
      </c>
      <c r="C1216">
        <v>170.1008988437593</v>
      </c>
    </row>
    <row r="1217" spans="2:3">
      <c r="B1217">
        <v>927</v>
      </c>
      <c r="C1217">
        <v>146.85107177714497</v>
      </c>
    </row>
    <row r="1218" spans="2:3">
      <c r="B1218">
        <v>928</v>
      </c>
      <c r="C1218">
        <v>128.50198056953781</v>
      </c>
    </row>
    <row r="1219" spans="2:3">
      <c r="B1219">
        <v>929</v>
      </c>
      <c r="C1219">
        <v>142.4873940953521</v>
      </c>
    </row>
    <row r="1220" spans="2:3">
      <c r="B1220">
        <v>930</v>
      </c>
      <c r="C1220">
        <v>174.56157831984601</v>
      </c>
    </row>
    <row r="1221" spans="2:3">
      <c r="B1221">
        <v>931</v>
      </c>
      <c r="C1221">
        <v>164.89233920215267</v>
      </c>
    </row>
    <row r="1222" spans="2:3">
      <c r="B1222">
        <v>932</v>
      </c>
      <c r="C1222">
        <v>133.69543787458051</v>
      </c>
    </row>
    <row r="1223" spans="2:3">
      <c r="B1223">
        <v>933</v>
      </c>
      <c r="C1223">
        <v>162.02007238214475</v>
      </c>
    </row>
    <row r="1224" spans="2:3">
      <c r="B1224">
        <v>934</v>
      </c>
      <c r="C1224">
        <v>158.33165378558837</v>
      </c>
    </row>
    <row r="1225" spans="2:3">
      <c r="B1225">
        <v>935</v>
      </c>
      <c r="C1225">
        <v>175.93423853974267</v>
      </c>
    </row>
    <row r="1226" spans="2:3">
      <c r="B1226">
        <v>936</v>
      </c>
      <c r="C1226">
        <v>146.87943305394958</v>
      </c>
    </row>
    <row r="1227" spans="2:3">
      <c r="B1227">
        <v>937</v>
      </c>
      <c r="C1227">
        <v>172.6696129321127</v>
      </c>
    </row>
    <row r="1228" spans="2:3">
      <c r="B1228">
        <v>938</v>
      </c>
      <c r="C1228">
        <v>164.75836424667887</v>
      </c>
    </row>
    <row r="1229" spans="2:3">
      <c r="B1229">
        <v>939</v>
      </c>
      <c r="C1229">
        <v>135.92789272753967</v>
      </c>
    </row>
    <row r="1230" spans="2:3">
      <c r="B1230">
        <v>940</v>
      </c>
      <c r="C1230">
        <v>138.39312005438686</v>
      </c>
    </row>
    <row r="1231" spans="2:3">
      <c r="B1231">
        <v>941</v>
      </c>
      <c r="C1231">
        <v>211.87544852295545</v>
      </c>
    </row>
    <row r="1232" spans="2:3">
      <c r="B1232">
        <v>942</v>
      </c>
      <c r="C1232">
        <v>157.58000529816553</v>
      </c>
    </row>
    <row r="1233" spans="2:3">
      <c r="B1233">
        <v>943</v>
      </c>
      <c r="C1233">
        <v>156.04374902310528</v>
      </c>
    </row>
    <row r="1234" spans="2:3">
      <c r="B1234">
        <v>944</v>
      </c>
      <c r="C1234">
        <v>166.62654630869574</v>
      </c>
    </row>
    <row r="1235" spans="2:3">
      <c r="B1235">
        <v>945</v>
      </c>
      <c r="C1235">
        <v>143.25164246631098</v>
      </c>
    </row>
    <row r="1236" spans="2:3">
      <c r="B1236">
        <v>946</v>
      </c>
      <c r="C1236">
        <v>152.33763920236413</v>
      </c>
    </row>
    <row r="1237" spans="2:3">
      <c r="B1237">
        <v>947</v>
      </c>
      <c r="C1237">
        <v>148.00584984442986</v>
      </c>
    </row>
    <row r="1238" spans="2:3">
      <c r="B1238">
        <v>948</v>
      </c>
      <c r="C1238">
        <v>160.23563512220582</v>
      </c>
    </row>
    <row r="1239" spans="2:3">
      <c r="B1239">
        <v>949</v>
      </c>
      <c r="C1239">
        <v>144.54711600672996</v>
      </c>
    </row>
    <row r="1240" spans="2:3">
      <c r="B1240">
        <v>950</v>
      </c>
      <c r="C1240">
        <v>160.49668158683068</v>
      </c>
    </row>
    <row r="1241" spans="2:3">
      <c r="B1241">
        <v>951</v>
      </c>
      <c r="C1241">
        <v>186.9910615735632</v>
      </c>
    </row>
    <row r="1242" spans="2:3">
      <c r="B1242">
        <v>952</v>
      </c>
      <c r="C1242">
        <v>164.83232793815776</v>
      </c>
    </row>
    <row r="1243" spans="2:3">
      <c r="B1243">
        <v>953</v>
      </c>
      <c r="C1243">
        <v>155.60679291409062</v>
      </c>
    </row>
    <row r="1244" spans="2:3">
      <c r="B1244">
        <v>954</v>
      </c>
      <c r="C1244">
        <v>149.46750927107229</v>
      </c>
    </row>
    <row r="1245" spans="2:3">
      <c r="B1245">
        <v>955</v>
      </c>
      <c r="C1245">
        <v>142.63932314145976</v>
      </c>
    </row>
    <row r="1246" spans="2:3">
      <c r="B1246">
        <v>956</v>
      </c>
      <c r="C1246">
        <v>145.22144128023274</v>
      </c>
    </row>
    <row r="1247" spans="2:3">
      <c r="B1247">
        <v>957</v>
      </c>
      <c r="C1247">
        <v>141.69672785004499</v>
      </c>
    </row>
    <row r="1248" spans="2:3">
      <c r="B1248">
        <v>958</v>
      </c>
      <c r="C1248">
        <v>139.80750848484814</v>
      </c>
    </row>
    <row r="1249" spans="2:3">
      <c r="B1249">
        <v>959</v>
      </c>
      <c r="C1249">
        <v>197.78986985353862</v>
      </c>
    </row>
    <row r="1250" spans="2:3">
      <c r="B1250">
        <v>960</v>
      </c>
      <c r="C1250">
        <v>160.89452174884477</v>
      </c>
    </row>
    <row r="1251" spans="2:3">
      <c r="B1251">
        <v>961</v>
      </c>
      <c r="C1251">
        <v>178.36835423068948</v>
      </c>
    </row>
    <row r="1252" spans="2:3">
      <c r="B1252">
        <v>962</v>
      </c>
      <c r="C1252">
        <v>182.71717164570612</v>
      </c>
    </row>
    <row r="1253" spans="2:3">
      <c r="B1253">
        <v>963</v>
      </c>
      <c r="C1253">
        <v>168.90699141194335</v>
      </c>
    </row>
    <row r="1254" spans="2:3">
      <c r="B1254">
        <v>964</v>
      </c>
      <c r="C1254">
        <v>156.61683229123838</v>
      </c>
    </row>
    <row r="1255" spans="2:3">
      <c r="B1255">
        <v>965</v>
      </c>
      <c r="C1255">
        <v>166.40680789245872</v>
      </c>
    </row>
    <row r="1256" spans="2:3">
      <c r="B1256">
        <v>966</v>
      </c>
      <c r="C1256">
        <v>160.3236336053601</v>
      </c>
    </row>
    <row r="1257" spans="2:3">
      <c r="B1257">
        <v>967</v>
      </c>
      <c r="C1257">
        <v>161.61889115100357</v>
      </c>
    </row>
    <row r="1258" spans="2:3">
      <c r="B1258">
        <v>968</v>
      </c>
      <c r="C1258">
        <v>149.74699874137752</v>
      </c>
    </row>
    <row r="1259" spans="2:3">
      <c r="B1259">
        <v>969</v>
      </c>
      <c r="C1259">
        <v>177.28299427132691</v>
      </c>
    </row>
    <row r="1260" spans="2:3">
      <c r="B1260">
        <v>970</v>
      </c>
      <c r="C1260">
        <v>128.79168025078641</v>
      </c>
    </row>
    <row r="1261" spans="2:3">
      <c r="B1261">
        <v>971</v>
      </c>
      <c r="C1261">
        <v>149.18408231534286</v>
      </c>
    </row>
    <row r="1262" spans="2:3">
      <c r="B1262">
        <v>972</v>
      </c>
      <c r="C1262">
        <v>207.53592374767575</v>
      </c>
    </row>
    <row r="1263" spans="2:3">
      <c r="B1263">
        <v>973</v>
      </c>
      <c r="C1263">
        <v>144.18230662295096</v>
      </c>
    </row>
    <row r="1264" spans="2:3">
      <c r="B1264">
        <v>974</v>
      </c>
      <c r="C1264">
        <v>162.20671578929867</v>
      </c>
    </row>
    <row r="1265" spans="2:3">
      <c r="B1265">
        <v>975</v>
      </c>
      <c r="C1265">
        <v>139.1673333227059</v>
      </c>
    </row>
    <row r="1266" spans="2:3">
      <c r="B1266">
        <v>976</v>
      </c>
      <c r="C1266">
        <v>134.09054391308848</v>
      </c>
    </row>
    <row r="1267" spans="2:3">
      <c r="B1267">
        <v>977</v>
      </c>
      <c r="C1267">
        <v>163.49082872901394</v>
      </c>
    </row>
    <row r="1268" spans="2:3">
      <c r="B1268">
        <v>978</v>
      </c>
      <c r="C1268">
        <v>154.80930143274401</v>
      </c>
    </row>
    <row r="1269" spans="2:3">
      <c r="B1269">
        <v>979</v>
      </c>
      <c r="C1269">
        <v>205.71307929584796</v>
      </c>
    </row>
    <row r="1270" spans="2:3">
      <c r="B1270">
        <v>980</v>
      </c>
      <c r="C1270">
        <v>131.17001887293438</v>
      </c>
    </row>
    <row r="1271" spans="2:3">
      <c r="B1271">
        <v>981</v>
      </c>
      <c r="C1271">
        <v>141.97639696943313</v>
      </c>
    </row>
    <row r="1272" spans="2:3">
      <c r="B1272">
        <v>982</v>
      </c>
      <c r="C1272">
        <v>146.53277785137311</v>
      </c>
    </row>
    <row r="1273" spans="2:3">
      <c r="B1273">
        <v>983</v>
      </c>
      <c r="C1273">
        <v>132.13547670447565</v>
      </c>
    </row>
    <row r="1274" spans="2:3">
      <c r="B1274">
        <v>984</v>
      </c>
      <c r="C1274">
        <v>148.71014978994947</v>
      </c>
    </row>
    <row r="1275" spans="2:3">
      <c r="B1275">
        <v>985</v>
      </c>
      <c r="C1275">
        <v>160.34356431984182</v>
      </c>
    </row>
    <row r="1276" spans="2:3">
      <c r="B1276">
        <v>986</v>
      </c>
      <c r="C1276">
        <v>214.83667678580136</v>
      </c>
    </row>
    <row r="1277" spans="2:3">
      <c r="B1277">
        <v>987</v>
      </c>
      <c r="C1277">
        <v>166.6679824580296</v>
      </c>
    </row>
    <row r="1278" spans="2:3">
      <c r="B1278">
        <v>988</v>
      </c>
      <c r="C1278">
        <v>136.36890815782255</v>
      </c>
    </row>
    <row r="1279" spans="2:3">
      <c r="B1279">
        <v>989</v>
      </c>
      <c r="C1279">
        <v>172.32968619911048</v>
      </c>
    </row>
    <row r="1280" spans="2:3">
      <c r="B1280">
        <v>990</v>
      </c>
      <c r="C1280">
        <v>144.06306099931362</v>
      </c>
    </row>
    <row r="1281" spans="2:3">
      <c r="B1281">
        <v>991</v>
      </c>
      <c r="C1281">
        <v>185.60443975195648</v>
      </c>
    </row>
    <row r="1282" spans="2:3">
      <c r="B1282">
        <v>992</v>
      </c>
      <c r="C1282">
        <v>125.00393214893603</v>
      </c>
    </row>
    <row r="1283" spans="2:3">
      <c r="B1283">
        <v>993</v>
      </c>
      <c r="C1283">
        <v>166.18651401522484</v>
      </c>
    </row>
    <row r="1284" spans="2:3">
      <c r="B1284">
        <v>994</v>
      </c>
      <c r="C1284">
        <v>136.58374205313578</v>
      </c>
    </row>
    <row r="1285" spans="2:3">
      <c r="B1285">
        <v>995</v>
      </c>
      <c r="C1285">
        <v>179.86593853038468</v>
      </c>
    </row>
    <row r="1286" spans="2:3">
      <c r="B1286">
        <v>996</v>
      </c>
      <c r="C1286">
        <v>161.05983674077547</v>
      </c>
    </row>
    <row r="1287" spans="2:3">
      <c r="B1287">
        <v>997</v>
      </c>
      <c r="C1287">
        <v>123.20269029144994</v>
      </c>
    </row>
    <row r="1288" spans="2:3">
      <c r="B1288">
        <v>998</v>
      </c>
      <c r="C1288">
        <v>141.07556713949518</v>
      </c>
    </row>
    <row r="1289" spans="2:3">
      <c r="B1289">
        <v>999</v>
      </c>
      <c r="C1289">
        <v>153.33716886519008</v>
      </c>
    </row>
    <row r="1290" spans="2:3">
      <c r="B1290">
        <v>1000</v>
      </c>
      <c r="C1290">
        <v>127.48814945120317</v>
      </c>
    </row>
  </sheetData>
  <mergeCells count="4">
    <mergeCell ref="I290:J290"/>
    <mergeCell ref="L290:M290"/>
    <mergeCell ref="I300:J300"/>
    <mergeCell ref="F271:M285"/>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4F487-A48A-4714-96EE-6EC2CBA06EB4}">
  <dimension ref="A1:O97"/>
  <sheetViews>
    <sheetView tabSelected="1" zoomScale="83" workbookViewId="0">
      <selection activeCell="F25" sqref="F25"/>
    </sheetView>
  </sheetViews>
  <sheetFormatPr defaultColWidth="11" defaultRowHeight="15.75"/>
  <cols>
    <col min="13" max="13" width="11.75" bestFit="1" customWidth="1"/>
    <col min="14" max="14" width="28" bestFit="1" customWidth="1"/>
  </cols>
  <sheetData>
    <row r="1" spans="1:15" ht="21">
      <c r="A1" s="13" t="s">
        <v>2</v>
      </c>
      <c r="I1" s="39" t="s">
        <v>63</v>
      </c>
      <c r="J1" s="39"/>
      <c r="K1" s="39"/>
      <c r="L1" s="39"/>
      <c r="M1" s="39"/>
    </row>
    <row r="2" spans="1:15" ht="47.25">
      <c r="A2" s="9" t="s">
        <v>6</v>
      </c>
      <c r="B2" s="9" t="s">
        <v>5</v>
      </c>
      <c r="C2" s="9" t="s">
        <v>4</v>
      </c>
      <c r="D2" s="9" t="s">
        <v>3</v>
      </c>
      <c r="E2" s="9" t="s">
        <v>46</v>
      </c>
      <c r="F2" s="9" t="s">
        <v>47</v>
      </c>
      <c r="G2" s="9" t="s">
        <v>48</v>
      </c>
      <c r="H2" s="9" t="s">
        <v>49</v>
      </c>
      <c r="I2" s="9" t="s">
        <v>55</v>
      </c>
      <c r="J2" s="9" t="s">
        <v>64</v>
      </c>
      <c r="K2" s="27" t="s">
        <v>56</v>
      </c>
      <c r="L2" s="26" t="s">
        <v>61</v>
      </c>
      <c r="M2" s="26" t="s">
        <v>62</v>
      </c>
    </row>
    <row r="3" spans="1:15">
      <c r="A3">
        <v>1</v>
      </c>
      <c r="B3">
        <v>2015</v>
      </c>
      <c r="C3">
        <v>1</v>
      </c>
      <c r="D3">
        <v>16198</v>
      </c>
      <c r="G3">
        <f t="shared" ref="G3:G25" si="0">D3/$E$26</f>
        <v>0.90998295912061578</v>
      </c>
      <c r="N3" t="s">
        <v>50</v>
      </c>
      <c r="O3">
        <f>AVERAGE(D3:D26)</f>
        <v>17800.333333333332</v>
      </c>
    </row>
    <row r="4" spans="1:15">
      <c r="A4">
        <v>2</v>
      </c>
      <c r="B4">
        <v>2015</v>
      </c>
      <c r="C4">
        <v>2</v>
      </c>
      <c r="D4">
        <v>15060</v>
      </c>
      <c r="G4">
        <f t="shared" si="0"/>
        <v>0.84605157206793891</v>
      </c>
      <c r="N4" t="s">
        <v>51</v>
      </c>
      <c r="O4">
        <v>0.20212786158626259</v>
      </c>
    </row>
    <row r="5" spans="1:15">
      <c r="A5">
        <v>3</v>
      </c>
      <c r="B5">
        <v>2015</v>
      </c>
      <c r="C5">
        <v>3</v>
      </c>
      <c r="D5">
        <v>16168</v>
      </c>
      <c r="G5">
        <f t="shared" si="0"/>
        <v>0.90829759742326932</v>
      </c>
      <c r="N5" t="s">
        <v>52</v>
      </c>
      <c r="O5">
        <v>2.9755476804993134E-2</v>
      </c>
    </row>
    <row r="6" spans="1:15">
      <c r="A6">
        <v>4</v>
      </c>
      <c r="B6">
        <v>2015</v>
      </c>
      <c r="C6">
        <v>4</v>
      </c>
      <c r="D6">
        <v>16376</v>
      </c>
      <c r="G6">
        <f t="shared" si="0"/>
        <v>0.91998277185820498</v>
      </c>
      <c r="L6" s="25"/>
      <c r="M6" s="28"/>
      <c r="N6" t="s">
        <v>53</v>
      </c>
      <c r="O6">
        <v>0.8683149608762275</v>
      </c>
    </row>
    <row r="7" spans="1:15">
      <c r="A7">
        <v>5</v>
      </c>
      <c r="B7">
        <v>2015</v>
      </c>
      <c r="C7">
        <v>5</v>
      </c>
      <c r="D7">
        <v>18403</v>
      </c>
      <c r="G7">
        <f t="shared" si="0"/>
        <v>1.033857043875583</v>
      </c>
      <c r="L7" s="25"/>
      <c r="M7" s="28"/>
    </row>
    <row r="8" spans="1:15">
      <c r="A8">
        <v>6</v>
      </c>
      <c r="B8">
        <v>2015</v>
      </c>
      <c r="C8">
        <v>6</v>
      </c>
      <c r="D8">
        <v>19113</v>
      </c>
      <c r="G8">
        <f t="shared" si="0"/>
        <v>1.07374393737945</v>
      </c>
      <c r="L8" s="25"/>
      <c r="M8" s="28"/>
      <c r="N8" t="s">
        <v>57</v>
      </c>
      <c r="O8">
        <f>AVERAGE(I27:I74)</f>
        <v>190.85273742581305</v>
      </c>
    </row>
    <row r="9" spans="1:15">
      <c r="A9">
        <v>7</v>
      </c>
      <c r="B9">
        <v>2015</v>
      </c>
      <c r="C9">
        <v>7</v>
      </c>
      <c r="D9">
        <v>19303</v>
      </c>
      <c r="G9">
        <f t="shared" si="0"/>
        <v>1.0844178947959777</v>
      </c>
      <c r="L9" s="25"/>
      <c r="M9" s="28"/>
      <c r="N9" t="s">
        <v>58</v>
      </c>
      <c r="O9">
        <f>AVERAGE(J27:J74)</f>
        <v>905.18652645516966</v>
      </c>
    </row>
    <row r="10" spans="1:15">
      <c r="A10">
        <v>8</v>
      </c>
      <c r="B10">
        <v>2015</v>
      </c>
      <c r="C10">
        <v>8</v>
      </c>
      <c r="D10">
        <v>20560</v>
      </c>
      <c r="G10">
        <f t="shared" si="0"/>
        <v>1.1550345499147956</v>
      </c>
      <c r="L10" s="25"/>
      <c r="M10" s="28"/>
      <c r="N10" t="s">
        <v>60</v>
      </c>
      <c r="O10" s="25">
        <f>AVERAGE(L27:L74)</f>
        <v>4.5878628601031215</v>
      </c>
    </row>
    <row r="11" spans="1:15">
      <c r="A11">
        <v>9</v>
      </c>
      <c r="B11">
        <v>2015</v>
      </c>
      <c r="C11">
        <v>9</v>
      </c>
      <c r="D11">
        <v>16621</v>
      </c>
      <c r="G11">
        <f t="shared" si="0"/>
        <v>0.93374655905320136</v>
      </c>
      <c r="L11" s="25"/>
      <c r="M11" s="28"/>
      <c r="N11" t="s">
        <v>59</v>
      </c>
      <c r="O11">
        <f>AVERAGE(K27:K74)</f>
        <v>1213261.8604049911</v>
      </c>
    </row>
    <row r="12" spans="1:15">
      <c r="A12">
        <v>10</v>
      </c>
      <c r="B12">
        <v>2015</v>
      </c>
      <c r="C12">
        <v>10</v>
      </c>
      <c r="D12">
        <v>18788</v>
      </c>
      <c r="G12">
        <f t="shared" si="0"/>
        <v>1.0554858523248629</v>
      </c>
      <c r="L12" s="25"/>
      <c r="M12" s="28"/>
      <c r="N12" t="s">
        <v>54</v>
      </c>
      <c r="O12">
        <f>SQRT(SUM(K27:K74)/SUM(M27:M74))</f>
        <v>0.34099321911693908</v>
      </c>
    </row>
    <row r="13" spans="1:15">
      <c r="A13">
        <v>11</v>
      </c>
      <c r="B13">
        <v>2015</v>
      </c>
      <c r="C13">
        <v>11</v>
      </c>
      <c r="D13">
        <v>17970</v>
      </c>
      <c r="G13">
        <f t="shared" si="0"/>
        <v>1.0095316567105486</v>
      </c>
      <c r="L13" s="25"/>
      <c r="M13" s="28"/>
    </row>
    <row r="14" spans="1:15">
      <c r="A14">
        <v>12</v>
      </c>
      <c r="B14">
        <v>2015</v>
      </c>
      <c r="C14">
        <v>12</v>
      </c>
      <c r="D14">
        <v>22464</v>
      </c>
      <c r="G14">
        <f t="shared" si="0"/>
        <v>1.261998838973053</v>
      </c>
      <c r="I14" s="41" t="s">
        <v>65</v>
      </c>
      <c r="J14" s="41"/>
      <c r="L14" s="25"/>
      <c r="M14" s="28"/>
    </row>
    <row r="15" spans="1:15">
      <c r="A15">
        <v>13</v>
      </c>
      <c r="B15">
        <v>2016</v>
      </c>
      <c r="C15">
        <v>1</v>
      </c>
      <c r="D15">
        <v>16658</v>
      </c>
      <c r="G15">
        <f t="shared" si="0"/>
        <v>0.93582517181326197</v>
      </c>
      <c r="I15" s="41"/>
      <c r="J15" s="41"/>
      <c r="L15" s="25"/>
      <c r="M15" s="28"/>
    </row>
    <row r="16" spans="1:15">
      <c r="A16">
        <v>14</v>
      </c>
      <c r="B16">
        <v>2016</v>
      </c>
      <c r="C16">
        <v>2</v>
      </c>
      <c r="D16">
        <v>16214</v>
      </c>
      <c r="G16">
        <f t="shared" si="0"/>
        <v>0.91088181869253393</v>
      </c>
      <c r="I16" s="41"/>
      <c r="J16" s="41"/>
      <c r="L16" s="25"/>
      <c r="M16" s="28"/>
    </row>
    <row r="17" spans="1:13">
      <c r="A17">
        <v>15</v>
      </c>
      <c r="B17">
        <v>2016</v>
      </c>
      <c r="C17">
        <v>3</v>
      </c>
      <c r="D17">
        <v>16043</v>
      </c>
      <c r="G17">
        <f t="shared" si="0"/>
        <v>0.90127525701765887</v>
      </c>
      <c r="I17" s="41"/>
      <c r="J17" s="41"/>
      <c r="L17" s="25"/>
      <c r="M17" s="28"/>
    </row>
    <row r="18" spans="1:13">
      <c r="A18">
        <v>16</v>
      </c>
      <c r="B18">
        <v>2016</v>
      </c>
      <c r="C18">
        <v>4</v>
      </c>
      <c r="D18">
        <v>16418</v>
      </c>
      <c r="G18">
        <f t="shared" si="0"/>
        <v>0.92234227823449</v>
      </c>
      <c r="I18" s="41"/>
      <c r="J18" s="41"/>
      <c r="L18" s="25"/>
      <c r="M18" s="28"/>
    </row>
    <row r="19" spans="1:13">
      <c r="A19">
        <v>17</v>
      </c>
      <c r="B19">
        <v>2016</v>
      </c>
      <c r="C19">
        <v>5</v>
      </c>
      <c r="D19">
        <v>17644</v>
      </c>
      <c r="G19">
        <f t="shared" si="0"/>
        <v>0.99121739293271671</v>
      </c>
      <c r="I19" s="41"/>
      <c r="J19" s="41"/>
      <c r="L19" s="25"/>
      <c r="M19" s="28"/>
    </row>
    <row r="20" spans="1:13">
      <c r="A20">
        <v>18</v>
      </c>
      <c r="B20">
        <v>2016</v>
      </c>
      <c r="C20">
        <v>6</v>
      </c>
      <c r="D20">
        <v>17705</v>
      </c>
      <c r="G20">
        <f t="shared" si="0"/>
        <v>0.99464429505065455</v>
      </c>
      <c r="L20" s="25"/>
      <c r="M20" s="28"/>
    </row>
    <row r="21" spans="1:13">
      <c r="A21">
        <v>19</v>
      </c>
      <c r="B21">
        <v>2016</v>
      </c>
      <c r="C21">
        <v>7</v>
      </c>
      <c r="D21">
        <v>18107</v>
      </c>
      <c r="G21">
        <f t="shared" si="0"/>
        <v>1.0172281417950975</v>
      </c>
      <c r="L21" s="25"/>
      <c r="M21" s="28"/>
    </row>
    <row r="22" spans="1:13">
      <c r="A22">
        <v>20</v>
      </c>
      <c r="B22">
        <v>2016</v>
      </c>
      <c r="C22">
        <v>8</v>
      </c>
      <c r="D22">
        <v>17975</v>
      </c>
      <c r="G22">
        <f t="shared" si="0"/>
        <v>1.009812550326773</v>
      </c>
      <c r="L22" s="25"/>
      <c r="M22" s="28"/>
    </row>
    <row r="23" spans="1:13">
      <c r="A23">
        <v>21</v>
      </c>
      <c r="B23">
        <v>2016</v>
      </c>
      <c r="C23">
        <v>9</v>
      </c>
      <c r="D23">
        <v>17598</v>
      </c>
      <c r="G23">
        <f t="shared" si="0"/>
        <v>0.9886331716634521</v>
      </c>
      <c r="L23" s="25"/>
      <c r="M23" s="28"/>
    </row>
    <row r="24" spans="1:13">
      <c r="A24">
        <v>22</v>
      </c>
      <c r="B24">
        <v>2016</v>
      </c>
      <c r="C24">
        <v>10</v>
      </c>
      <c r="D24">
        <v>17658</v>
      </c>
      <c r="G24">
        <f t="shared" si="0"/>
        <v>0.99200389505814501</v>
      </c>
      <c r="L24" s="25"/>
      <c r="M24" s="28"/>
    </row>
    <row r="25" spans="1:13">
      <c r="A25">
        <v>23</v>
      </c>
      <c r="B25">
        <v>2016</v>
      </c>
      <c r="C25">
        <v>11</v>
      </c>
      <c r="D25">
        <v>15750</v>
      </c>
      <c r="G25">
        <f t="shared" si="0"/>
        <v>0.88481489110690814</v>
      </c>
      <c r="L25" s="25"/>
      <c r="M25" s="28"/>
    </row>
    <row r="26" spans="1:13">
      <c r="A26">
        <v>24</v>
      </c>
      <c r="B26">
        <v>2016</v>
      </c>
      <c r="C26">
        <v>12</v>
      </c>
      <c r="D26">
        <v>22414</v>
      </c>
      <c r="E26">
        <f>O3</f>
        <v>17800.333333333332</v>
      </c>
      <c r="F26">
        <v>2</v>
      </c>
      <c r="G26">
        <f>D26/$E$26</f>
        <v>1.2591899028108089</v>
      </c>
      <c r="L26" s="25"/>
      <c r="M26" s="28"/>
    </row>
    <row r="27" spans="1:13">
      <c r="A27">
        <v>25</v>
      </c>
      <c r="B27">
        <v>2017</v>
      </c>
      <c r="C27">
        <v>1</v>
      </c>
      <c r="D27">
        <v>16065</v>
      </c>
      <c r="E27">
        <f>$O$4*(D27/G15)+(1-$O$4)*(E26+F26)</f>
        <v>17673.847652221259</v>
      </c>
      <c r="F27">
        <f>$O$5*(E27-E26)+(1-$O$5)*F26</f>
        <v>-1.8231527041040476</v>
      </c>
      <c r="G27">
        <f>$O$6*(D27/E27)+(1-$O$6)*G15</f>
        <v>0.91250655698013028</v>
      </c>
      <c r="H27">
        <f>(E26+1*F26)*G15</f>
        <v>16659.871650343626</v>
      </c>
      <c r="I27">
        <f t="shared" ref="I27:I70" si="1">D27-H27</f>
        <v>-594.87165034362624</v>
      </c>
      <c r="J27">
        <f t="shared" ref="J27:J70" si="2">ABS(I27)</f>
        <v>594.87165034362624</v>
      </c>
      <c r="K27">
        <f t="shared" ref="K27:K70" si="3">I27^2</f>
        <v>353872.28038254951</v>
      </c>
      <c r="L27" s="25">
        <f t="shared" ref="L27:L70" si="4">ABS(D27-H27)/D27*100</f>
        <v>3.7029047640437365</v>
      </c>
      <c r="M27" s="28">
        <f t="shared" ref="M27:M70" si="5">(D27-D26)^2</f>
        <v>40309801</v>
      </c>
    </row>
    <row r="28" spans="1:13">
      <c r="A28">
        <v>26</v>
      </c>
      <c r="B28">
        <v>2017</v>
      </c>
      <c r="C28">
        <v>2</v>
      </c>
      <c r="D28">
        <v>15467</v>
      </c>
      <c r="E28">
        <f>$O$4*(D28/G16)+(1-$O$4)*(E27+F27)</f>
        <v>17532.197376914963</v>
      </c>
      <c r="F28">
        <f t="shared" ref="F28:F73" si="6">$O$5*(E28-E27)+(1-$O$5)*F27</f>
        <v>-5.9837754074025007</v>
      </c>
      <c r="G28">
        <f t="shared" ref="G28:G86" si="7">$O$6*(D28/E28)+(1-$O$6)*G16</f>
        <v>0.88598169494984191</v>
      </c>
      <c r="H28">
        <f t="shared" ref="H28:H73" si="8">(E27+1*F27)*G16</f>
        <v>16097.125816099204</v>
      </c>
      <c r="I28">
        <f t="shared" si="1"/>
        <v>-630.1258160992038</v>
      </c>
      <c r="J28">
        <f t="shared" si="2"/>
        <v>630.1258160992038</v>
      </c>
      <c r="K28">
        <f t="shared" si="3"/>
        <v>397058.5441146876</v>
      </c>
      <c r="L28" s="25">
        <f t="shared" si="4"/>
        <v>4.0740015264705747</v>
      </c>
      <c r="M28" s="28">
        <f t="shared" si="5"/>
        <v>357604</v>
      </c>
    </row>
    <row r="29" spans="1:13">
      <c r="A29">
        <v>27</v>
      </c>
      <c r="B29">
        <v>2017</v>
      </c>
      <c r="C29">
        <v>3</v>
      </c>
      <c r="D29">
        <v>16297</v>
      </c>
      <c r="E29">
        <f>$O$4*(D29/G17)+(1-$O$4)*(E28+F28)</f>
        <v>17638.585095356022</v>
      </c>
      <c r="F29">
        <f t="shared" si="6"/>
        <v>-2.6401080286521639</v>
      </c>
      <c r="G29">
        <f t="shared" si="7"/>
        <v>0.92095567239398501</v>
      </c>
      <c r="H29">
        <f t="shared" si="8"/>
        <v>15795.942668245114</v>
      </c>
      <c r="I29">
        <f t="shared" si="1"/>
        <v>501.05733175488604</v>
      </c>
      <c r="J29">
        <f t="shared" si="2"/>
        <v>501.05733175488604</v>
      </c>
      <c r="K29">
        <f t="shared" si="3"/>
        <v>251058.44970532594</v>
      </c>
      <c r="L29" s="25">
        <f t="shared" si="4"/>
        <v>3.0745372262065782</v>
      </c>
      <c r="M29" s="28">
        <f t="shared" si="5"/>
        <v>688900</v>
      </c>
    </row>
    <row r="30" spans="1:13">
      <c r="A30">
        <v>28</v>
      </c>
      <c r="B30">
        <v>2017</v>
      </c>
      <c r="C30">
        <v>4</v>
      </c>
      <c r="D30">
        <v>16530</v>
      </c>
      <c r="E30">
        <f t="shared" ref="E30:E73" si="9">$O$4*(D30/G18)+(1-$O$4)*(E29+F29)</f>
        <v>17693.716833401057</v>
      </c>
      <c r="F30">
        <f t="shared" si="6"/>
        <v>-0.92107920282494438</v>
      </c>
      <c r="G30">
        <f t="shared" si="7"/>
        <v>0.9326645120275312</v>
      </c>
      <c r="H30">
        <f t="shared" si="8"/>
        <v>16266.377678429661</v>
      </c>
      <c r="I30">
        <f t="shared" si="1"/>
        <v>263.62232157033941</v>
      </c>
      <c r="J30">
        <f t="shared" si="2"/>
        <v>263.62232157033941</v>
      </c>
      <c r="K30">
        <f t="shared" si="3"/>
        <v>69496.728430135438</v>
      </c>
      <c r="L30" s="25">
        <f t="shared" si="4"/>
        <v>1.594811382760674</v>
      </c>
      <c r="M30" s="28">
        <f t="shared" si="5"/>
        <v>54289</v>
      </c>
    </row>
    <row r="31" spans="1:13">
      <c r="A31">
        <v>29</v>
      </c>
      <c r="B31">
        <v>2017</v>
      </c>
      <c r="C31">
        <v>5</v>
      </c>
      <c r="D31">
        <v>18410</v>
      </c>
      <c r="E31">
        <f t="shared" si="9"/>
        <v>17870.733896125581</v>
      </c>
      <c r="F31">
        <f t="shared" si="6"/>
        <v>4.3735550520178723</v>
      </c>
      <c r="G31">
        <f t="shared" si="7"/>
        <v>1.0250456778356114</v>
      </c>
      <c r="H31">
        <f t="shared" si="8"/>
        <v>17537.406881167411</v>
      </c>
      <c r="I31">
        <f t="shared" si="1"/>
        <v>872.59311883258852</v>
      </c>
      <c r="J31">
        <f t="shared" si="2"/>
        <v>872.59311883258852</v>
      </c>
      <c r="K31">
        <f t="shared" si="3"/>
        <v>761418.75103398389</v>
      </c>
      <c r="L31" s="25">
        <f t="shared" si="4"/>
        <v>4.7397779404268796</v>
      </c>
      <c r="M31" s="28">
        <f t="shared" si="5"/>
        <v>3534400</v>
      </c>
    </row>
    <row r="32" spans="1:13">
      <c r="A32">
        <v>30</v>
      </c>
      <c r="B32">
        <v>2017</v>
      </c>
      <c r="C32">
        <v>6</v>
      </c>
      <c r="D32">
        <v>20274</v>
      </c>
      <c r="E32">
        <f t="shared" si="9"/>
        <v>18382.056007707433</v>
      </c>
      <c r="F32">
        <f t="shared" si="6"/>
        <v>19.458051067166114</v>
      </c>
      <c r="G32">
        <f t="shared" si="7"/>
        <v>1.0886646754794547</v>
      </c>
      <c r="H32">
        <f t="shared" si="8"/>
        <v>17779.373649731246</v>
      </c>
      <c r="I32">
        <f t="shared" si="1"/>
        <v>2494.6263502687543</v>
      </c>
      <c r="J32">
        <f t="shared" si="2"/>
        <v>2494.6263502687543</v>
      </c>
      <c r="K32">
        <f t="shared" si="3"/>
        <v>6223160.6274552057</v>
      </c>
      <c r="L32" s="25">
        <f t="shared" si="4"/>
        <v>12.304559289083331</v>
      </c>
      <c r="M32" s="28">
        <f t="shared" si="5"/>
        <v>3474496</v>
      </c>
    </row>
    <row r="33" spans="1:13">
      <c r="A33">
        <v>31</v>
      </c>
      <c r="B33">
        <v>2017</v>
      </c>
      <c r="C33">
        <v>7</v>
      </c>
      <c r="D33">
        <v>21311</v>
      </c>
      <c r="E33">
        <f t="shared" si="9"/>
        <v>18916.648066998026</v>
      </c>
      <c r="F33">
        <f t="shared" si="6"/>
        <v>34.78610910032144</v>
      </c>
      <c r="G33">
        <f t="shared" si="7"/>
        <v>1.112174608310047</v>
      </c>
      <c r="H33">
        <f t="shared" si="8"/>
        <v>18718.537952223647</v>
      </c>
      <c r="I33">
        <f t="shared" si="1"/>
        <v>2592.4620477763528</v>
      </c>
      <c r="J33">
        <f t="shared" si="2"/>
        <v>2592.4620477763528</v>
      </c>
      <c r="K33">
        <f t="shared" si="3"/>
        <v>6720859.4691607608</v>
      </c>
      <c r="L33" s="25">
        <f t="shared" si="4"/>
        <v>12.16490097966474</v>
      </c>
      <c r="M33" s="28">
        <f t="shared" si="5"/>
        <v>1075369</v>
      </c>
    </row>
    <row r="34" spans="1:13">
      <c r="A34">
        <v>32</v>
      </c>
      <c r="B34">
        <v>2017</v>
      </c>
      <c r="C34">
        <v>8</v>
      </c>
      <c r="D34">
        <v>20991</v>
      </c>
      <c r="E34">
        <f t="shared" si="9"/>
        <v>19322.458478497803</v>
      </c>
      <c r="F34">
        <f t="shared" si="6"/>
        <v>45.826114124457192</v>
      </c>
      <c r="G34">
        <f t="shared" si="7"/>
        <v>1.0762732854574217</v>
      </c>
      <c r="H34">
        <f t="shared" si="8"/>
        <v>19137.396077715839</v>
      </c>
      <c r="I34">
        <f t="shared" si="1"/>
        <v>1853.6039222841609</v>
      </c>
      <c r="J34">
        <f t="shared" si="2"/>
        <v>1853.6039222841609</v>
      </c>
      <c r="K34">
        <f t="shared" si="3"/>
        <v>3435847.5007072259</v>
      </c>
      <c r="L34" s="25">
        <f t="shared" si="4"/>
        <v>8.8304698312808387</v>
      </c>
      <c r="M34" s="28">
        <f t="shared" si="5"/>
        <v>102400</v>
      </c>
    </row>
    <row r="35" spans="1:13">
      <c r="A35">
        <v>33</v>
      </c>
      <c r="B35">
        <v>2017</v>
      </c>
      <c r="C35">
        <v>9</v>
      </c>
      <c r="D35">
        <v>18305</v>
      </c>
      <c r="E35">
        <f t="shared" si="9"/>
        <v>19195.90540163605</v>
      </c>
      <c r="F35">
        <f t="shared" si="6"/>
        <v>40.696889105403514</v>
      </c>
      <c r="G35">
        <f t="shared" si="7"/>
        <v>0.95820360150186845</v>
      </c>
      <c r="H35">
        <f t="shared" si="8"/>
        <v>19148.128626484518</v>
      </c>
      <c r="I35">
        <f t="shared" si="1"/>
        <v>-843.12862648451846</v>
      </c>
      <c r="J35">
        <f t="shared" si="2"/>
        <v>843.12862648451846</v>
      </c>
      <c r="K35">
        <f t="shared" si="3"/>
        <v>710865.88079767069</v>
      </c>
      <c r="L35" s="25">
        <f t="shared" si="4"/>
        <v>4.6060017835810898</v>
      </c>
      <c r="M35" s="28">
        <f t="shared" si="5"/>
        <v>7214596</v>
      </c>
    </row>
    <row r="36" spans="1:13">
      <c r="A36">
        <v>34</v>
      </c>
      <c r="B36">
        <v>2017</v>
      </c>
      <c r="C36">
        <v>10</v>
      </c>
      <c r="D36">
        <v>17832</v>
      </c>
      <c r="E36">
        <f t="shared" si="9"/>
        <v>18981.746057457367</v>
      </c>
      <c r="F36">
        <f t="shared" si="6"/>
        <v>33.113520367310969</v>
      </c>
      <c r="G36">
        <f t="shared" si="7"/>
        <v>0.94635220282370391</v>
      </c>
      <c r="H36">
        <f t="shared" si="8"/>
        <v>19082.784400099954</v>
      </c>
      <c r="I36">
        <f t="shared" si="1"/>
        <v>-1250.7844000999539</v>
      </c>
      <c r="J36">
        <f t="shared" si="2"/>
        <v>1250.7844000999539</v>
      </c>
      <c r="K36">
        <f t="shared" si="3"/>
        <v>1564461.6155334017</v>
      </c>
      <c r="L36" s="25">
        <f t="shared" si="4"/>
        <v>7.0142687309328959</v>
      </c>
      <c r="M36" s="28">
        <f t="shared" si="5"/>
        <v>223729</v>
      </c>
    </row>
    <row r="37" spans="1:13">
      <c r="A37">
        <v>35</v>
      </c>
      <c r="B37">
        <v>2017</v>
      </c>
      <c r="C37">
        <v>11</v>
      </c>
      <c r="D37">
        <v>18223</v>
      </c>
      <c r="E37">
        <f t="shared" si="9"/>
        <v>19334.304195410277</v>
      </c>
      <c r="F37">
        <f t="shared" si="6"/>
        <v>42.618747276359173</v>
      </c>
      <c r="G37">
        <f t="shared" si="7"/>
        <v>0.93492252008985233</v>
      </c>
      <c r="H37">
        <f t="shared" si="8"/>
        <v>16824.630906766091</v>
      </c>
      <c r="I37">
        <f t="shared" si="1"/>
        <v>1398.3690932339086</v>
      </c>
      <c r="J37">
        <f t="shared" si="2"/>
        <v>1398.3690932339086</v>
      </c>
      <c r="K37">
        <f t="shared" si="3"/>
        <v>1955436.1209118238</v>
      </c>
      <c r="L37" s="25">
        <f t="shared" si="4"/>
        <v>7.6736491973544902</v>
      </c>
      <c r="M37" s="28">
        <f t="shared" si="5"/>
        <v>152881</v>
      </c>
    </row>
    <row r="38" spans="1:13">
      <c r="A38">
        <v>36</v>
      </c>
      <c r="B38">
        <v>2017</v>
      </c>
      <c r="C38">
        <v>12</v>
      </c>
      <c r="D38">
        <v>23987</v>
      </c>
      <c r="E38">
        <f t="shared" si="9"/>
        <v>19310.751587216866</v>
      </c>
      <c r="F38">
        <f t="shared" si="6"/>
        <v>40.649787043523467</v>
      </c>
      <c r="G38">
        <f t="shared" si="7"/>
        <v>1.2444006412929502</v>
      </c>
      <c r="H38">
        <f t="shared" si="8"/>
        <v>24399.225716974121</v>
      </c>
      <c r="I38">
        <f t="shared" si="1"/>
        <v>-412.22571697412059</v>
      </c>
      <c r="J38">
        <f t="shared" si="2"/>
        <v>412.22571697412059</v>
      </c>
      <c r="K38">
        <f t="shared" si="3"/>
        <v>169930.04173482777</v>
      </c>
      <c r="L38" s="25">
        <f t="shared" si="4"/>
        <v>1.7185380288244492</v>
      </c>
      <c r="M38" s="28">
        <f t="shared" si="5"/>
        <v>33223696</v>
      </c>
    </row>
    <row r="39" spans="1:13">
      <c r="A39">
        <v>37</v>
      </c>
      <c r="B39">
        <v>2018</v>
      </c>
      <c r="C39">
        <v>1</v>
      </c>
      <c r="D39">
        <v>15964</v>
      </c>
      <c r="E39">
        <f t="shared" si="9"/>
        <v>18976.103991216296</v>
      </c>
      <c r="F39">
        <f t="shared" si="6"/>
        <v>29.482634467380322</v>
      </c>
      <c r="G39">
        <f t="shared" si="7"/>
        <v>0.85064955310324208</v>
      </c>
      <c r="H39">
        <f t="shared" si="8"/>
        <v>17658.280640766909</v>
      </c>
      <c r="I39">
        <f t="shared" si="1"/>
        <v>-1694.2806407669086</v>
      </c>
      <c r="J39">
        <f t="shared" si="2"/>
        <v>1694.2806407669086</v>
      </c>
      <c r="K39">
        <f t="shared" si="3"/>
        <v>2870586.8896775264</v>
      </c>
      <c r="L39" s="25">
        <f t="shared" si="4"/>
        <v>10.613133555292587</v>
      </c>
      <c r="M39" s="28">
        <f t="shared" si="5"/>
        <v>64368529</v>
      </c>
    </row>
    <row r="40" spans="1:13">
      <c r="A40">
        <v>38</v>
      </c>
      <c r="B40">
        <v>2018</v>
      </c>
      <c r="C40">
        <v>2</v>
      </c>
      <c r="D40">
        <v>16606</v>
      </c>
      <c r="E40">
        <f t="shared" si="9"/>
        <v>18952.520839740348</v>
      </c>
      <c r="F40">
        <f t="shared" si="6"/>
        <v>27.903636704604875</v>
      </c>
      <c r="G40">
        <f t="shared" si="7"/>
        <v>0.8774789966480947</v>
      </c>
      <c r="H40">
        <f t="shared" si="8"/>
        <v>16838.601852139273</v>
      </c>
      <c r="I40">
        <f t="shared" si="1"/>
        <v>-232.60185213927252</v>
      </c>
      <c r="J40">
        <f t="shared" si="2"/>
        <v>232.60185213927252</v>
      </c>
      <c r="K40">
        <f t="shared" si="3"/>
        <v>54103.621618619996</v>
      </c>
      <c r="L40" s="25">
        <f t="shared" si="4"/>
        <v>1.4007096961295467</v>
      </c>
      <c r="M40" s="28">
        <f t="shared" si="5"/>
        <v>412164</v>
      </c>
    </row>
    <row r="41" spans="1:13">
      <c r="A41">
        <v>39</v>
      </c>
      <c r="B41">
        <v>2018</v>
      </c>
      <c r="C41">
        <v>3</v>
      </c>
      <c r="D41">
        <v>19216</v>
      </c>
      <c r="E41">
        <f t="shared" si="9"/>
        <v>19361.406737898466</v>
      </c>
      <c r="F41">
        <f t="shared" si="6"/>
        <v>39.239945548398715</v>
      </c>
      <c r="G41">
        <f t="shared" si="7"/>
        <v>0.98306988386401106</v>
      </c>
      <c r="H41">
        <f t="shared" si="8"/>
        <v>17480.129586027615</v>
      </c>
      <c r="I41">
        <f t="shared" si="1"/>
        <v>1735.870413972385</v>
      </c>
      <c r="J41">
        <f t="shared" si="2"/>
        <v>1735.870413972385</v>
      </c>
      <c r="K41">
        <f t="shared" si="3"/>
        <v>3013246.0941046593</v>
      </c>
      <c r="L41" s="25">
        <f t="shared" si="4"/>
        <v>9.0334638528954248</v>
      </c>
      <c r="M41" s="28">
        <f t="shared" si="5"/>
        <v>6812100</v>
      </c>
    </row>
    <row r="42" spans="1:13">
      <c r="A42">
        <v>40</v>
      </c>
      <c r="B42">
        <v>2018</v>
      </c>
      <c r="C42">
        <v>4</v>
      </c>
      <c r="D42">
        <v>16419</v>
      </c>
      <c r="E42">
        <f t="shared" si="9"/>
        <v>19037.575369787399</v>
      </c>
      <c r="F42">
        <f t="shared" si="6"/>
        <v>28.436585496246103</v>
      </c>
      <c r="G42">
        <f t="shared" si="7"/>
        <v>0.87169816759798224</v>
      </c>
      <c r="H42">
        <f t="shared" si="8"/>
        <v>18094.29467203551</v>
      </c>
      <c r="I42">
        <f t="shared" si="1"/>
        <v>-1675.2946720355103</v>
      </c>
      <c r="J42">
        <f t="shared" si="2"/>
        <v>1675.2946720355103</v>
      </c>
      <c r="K42">
        <f t="shared" si="3"/>
        <v>2806612.2381505682</v>
      </c>
      <c r="L42" s="25">
        <f t="shared" si="4"/>
        <v>10.203390413761557</v>
      </c>
      <c r="M42" s="28">
        <f t="shared" si="5"/>
        <v>7823209</v>
      </c>
    </row>
    <row r="43" spans="1:13">
      <c r="A43">
        <v>41</v>
      </c>
      <c r="B43">
        <v>2018</v>
      </c>
      <c r="C43">
        <v>5</v>
      </c>
      <c r="D43">
        <v>19638</v>
      </c>
      <c r="E43">
        <f t="shared" si="9"/>
        <v>19084.6397912256</v>
      </c>
      <c r="F43">
        <f t="shared" si="6"/>
        <v>28.990865636544161</v>
      </c>
      <c r="G43">
        <f t="shared" si="7"/>
        <v>1.0284749824044936</v>
      </c>
      <c r="H43">
        <f t="shared" si="8"/>
        <v>19543.533148325594</v>
      </c>
      <c r="I43">
        <f t="shared" si="1"/>
        <v>94.466851674405916</v>
      </c>
      <c r="J43">
        <f t="shared" si="2"/>
        <v>94.466851674405916</v>
      </c>
      <c r="K43">
        <f t="shared" si="3"/>
        <v>8923.9860652742082</v>
      </c>
      <c r="L43" s="25">
        <f t="shared" si="4"/>
        <v>0.48104110232409575</v>
      </c>
      <c r="M43" s="28">
        <f t="shared" si="5"/>
        <v>10361961</v>
      </c>
    </row>
    <row r="44" spans="1:13">
      <c r="A44">
        <v>42</v>
      </c>
      <c r="B44">
        <v>2018</v>
      </c>
      <c r="C44">
        <v>6</v>
      </c>
      <c r="D44">
        <v>19773</v>
      </c>
      <c r="E44">
        <f t="shared" si="9"/>
        <v>18921.404385066038</v>
      </c>
      <c r="F44">
        <f t="shared" si="6"/>
        <v>23.271081264804831</v>
      </c>
      <c r="G44">
        <f t="shared" si="7"/>
        <v>1.0507560612247533</v>
      </c>
      <c r="H44">
        <f t="shared" si="8"/>
        <v>20808.334516286981</v>
      </c>
      <c r="I44">
        <f t="shared" si="1"/>
        <v>-1035.3345162869809</v>
      </c>
      <c r="J44">
        <f t="shared" si="2"/>
        <v>1035.3345162869809</v>
      </c>
      <c r="K44">
        <f t="shared" si="3"/>
        <v>1071917.5606151968</v>
      </c>
      <c r="L44" s="25">
        <f t="shared" si="4"/>
        <v>5.2361023430282749</v>
      </c>
      <c r="M44" s="28">
        <f t="shared" si="5"/>
        <v>18225</v>
      </c>
    </row>
    <row r="45" spans="1:13">
      <c r="A45">
        <v>43</v>
      </c>
      <c r="B45">
        <v>2018</v>
      </c>
      <c r="C45">
        <v>7</v>
      </c>
      <c r="D45">
        <v>21052</v>
      </c>
      <c r="E45">
        <f t="shared" si="9"/>
        <v>18941.442834019865</v>
      </c>
      <c r="F45">
        <f t="shared" si="6"/>
        <v>23.174892749056443</v>
      </c>
      <c r="G45">
        <f t="shared" si="7"/>
        <v>1.1115240284273835</v>
      </c>
      <c r="H45">
        <f t="shared" si="8"/>
        <v>21069.78701632746</v>
      </c>
      <c r="I45">
        <f t="shared" si="1"/>
        <v>-17.787016327460151</v>
      </c>
      <c r="J45">
        <f t="shared" si="2"/>
        <v>17.787016327460151</v>
      </c>
      <c r="K45">
        <f t="shared" si="3"/>
        <v>316.37794983333401</v>
      </c>
      <c r="L45" s="25">
        <f t="shared" si="4"/>
        <v>8.449086228130416E-2</v>
      </c>
      <c r="M45" s="28">
        <f t="shared" si="5"/>
        <v>1635841</v>
      </c>
    </row>
    <row r="46" spans="1:13">
      <c r="A46">
        <v>44</v>
      </c>
      <c r="B46">
        <v>2018</v>
      </c>
      <c r="C46">
        <v>8</v>
      </c>
      <c r="D46">
        <v>22011</v>
      </c>
      <c r="E46">
        <f t="shared" si="9"/>
        <v>19265.08235797083</v>
      </c>
      <c r="F46">
        <f t="shared" si="6"/>
        <v>32.115361113505671</v>
      </c>
      <c r="G46">
        <f t="shared" si="7"/>
        <v>1.1338079320727208</v>
      </c>
      <c r="H46">
        <f t="shared" si="8"/>
        <v>20411.111428233646</v>
      </c>
      <c r="I46">
        <f t="shared" si="1"/>
        <v>1599.8885717663543</v>
      </c>
      <c r="J46">
        <f t="shared" si="2"/>
        <v>1599.8885717663543</v>
      </c>
      <c r="K46">
        <f t="shared" si="3"/>
        <v>2559643.4420685852</v>
      </c>
      <c r="L46" s="25">
        <f t="shared" si="4"/>
        <v>7.2685864875123993</v>
      </c>
      <c r="M46" s="28">
        <f t="shared" si="5"/>
        <v>919681</v>
      </c>
    </row>
    <row r="47" spans="1:13">
      <c r="A47">
        <v>45</v>
      </c>
      <c r="B47">
        <v>2018</v>
      </c>
      <c r="C47">
        <v>9</v>
      </c>
      <c r="D47">
        <v>19039</v>
      </c>
      <c r="E47">
        <f t="shared" si="9"/>
        <v>19412.870373704296</v>
      </c>
      <c r="F47">
        <f t="shared" si="6"/>
        <v>35.557256105021878</v>
      </c>
      <c r="G47">
        <f t="shared" si="7"/>
        <v>0.97777325558545747</v>
      </c>
      <c r="H47">
        <f t="shared" si="8"/>
        <v>18490.644353320251</v>
      </c>
      <c r="I47">
        <f t="shared" si="1"/>
        <v>548.35564667974904</v>
      </c>
      <c r="J47">
        <f t="shared" si="2"/>
        <v>548.35564667974904</v>
      </c>
      <c r="K47">
        <f t="shared" si="3"/>
        <v>300693.91524556576</v>
      </c>
      <c r="L47" s="25">
        <f t="shared" si="4"/>
        <v>2.8801704221847211</v>
      </c>
      <c r="M47" s="28">
        <f t="shared" si="5"/>
        <v>8832784</v>
      </c>
    </row>
    <row r="48" spans="1:13">
      <c r="A48">
        <v>46</v>
      </c>
      <c r="B48">
        <v>2018</v>
      </c>
      <c r="C48">
        <v>10</v>
      </c>
      <c r="D48">
        <v>17893</v>
      </c>
      <c r="E48">
        <f t="shared" si="9"/>
        <v>19339.058133720908</v>
      </c>
      <c r="F48">
        <f t="shared" si="6"/>
        <v>32.302914600989396</v>
      </c>
      <c r="G48">
        <f t="shared" si="7"/>
        <v>0.92800803174783553</v>
      </c>
      <c r="H48">
        <f t="shared" si="8"/>
        <v>18405.062328927434</v>
      </c>
      <c r="I48">
        <f t="shared" si="1"/>
        <v>-512.06232892743355</v>
      </c>
      <c r="J48">
        <f t="shared" si="2"/>
        <v>512.06232892743355</v>
      </c>
      <c r="K48">
        <f t="shared" si="3"/>
        <v>262207.82870658714</v>
      </c>
      <c r="L48" s="25">
        <f t="shared" si="4"/>
        <v>2.8618025424883111</v>
      </c>
      <c r="M48" s="28">
        <f t="shared" si="5"/>
        <v>1313316</v>
      </c>
    </row>
    <row r="49" spans="1:13">
      <c r="A49">
        <v>47</v>
      </c>
      <c r="B49">
        <v>2018</v>
      </c>
      <c r="C49">
        <v>11</v>
      </c>
      <c r="D49">
        <v>19276</v>
      </c>
      <c r="E49">
        <f t="shared" si="9"/>
        <v>19623.291243734697</v>
      </c>
      <c r="F49">
        <f t="shared" si="6"/>
        <v>39.799217687072343</v>
      </c>
      <c r="G49">
        <f t="shared" si="7"/>
        <v>0.9760629094207971</v>
      </c>
      <c r="H49">
        <f t="shared" si="8"/>
        <v>18110.721688867514</v>
      </c>
      <c r="I49">
        <f t="shared" si="1"/>
        <v>1165.2783111324861</v>
      </c>
      <c r="J49">
        <f t="shared" si="2"/>
        <v>1165.2783111324861</v>
      </c>
      <c r="K49">
        <f t="shared" si="3"/>
        <v>1357873.5423957792</v>
      </c>
      <c r="L49" s="25">
        <f t="shared" si="4"/>
        <v>6.0452288396580522</v>
      </c>
      <c r="M49" s="28">
        <f t="shared" si="5"/>
        <v>1912689</v>
      </c>
    </row>
    <row r="50" spans="1:13">
      <c r="A50">
        <v>48</v>
      </c>
      <c r="B50">
        <v>2018</v>
      </c>
      <c r="C50">
        <v>12</v>
      </c>
      <c r="D50">
        <v>25167</v>
      </c>
      <c r="E50">
        <f t="shared" si="9"/>
        <v>19776.505122526527</v>
      </c>
      <c r="F50">
        <f t="shared" si="6"/>
        <v>43.173925004921117</v>
      </c>
      <c r="G50">
        <f t="shared" si="7"/>
        <v>1.2688610822451987</v>
      </c>
      <c r="H50">
        <f t="shared" si="8"/>
        <v>24468.762379994543</v>
      </c>
      <c r="I50">
        <f t="shared" si="1"/>
        <v>698.23762000545685</v>
      </c>
      <c r="J50">
        <f t="shared" si="2"/>
        <v>698.23762000545685</v>
      </c>
      <c r="K50">
        <f t="shared" si="3"/>
        <v>487535.77399088477</v>
      </c>
      <c r="L50" s="25">
        <f t="shared" si="4"/>
        <v>2.7744173719770209</v>
      </c>
      <c r="M50" s="28">
        <f t="shared" si="5"/>
        <v>34703881</v>
      </c>
    </row>
    <row r="51" spans="1:13">
      <c r="A51">
        <v>49</v>
      </c>
      <c r="B51">
        <v>2019</v>
      </c>
      <c r="C51">
        <v>1</v>
      </c>
      <c r="D51">
        <v>16699</v>
      </c>
      <c r="E51">
        <f t="shared" si="9"/>
        <v>19781.517666347587</v>
      </c>
      <c r="F51">
        <f t="shared" si="6"/>
        <v>42.038414912258226</v>
      </c>
      <c r="G51">
        <f t="shared" si="7"/>
        <v>0.84502485059956167</v>
      </c>
      <c r="H51">
        <f t="shared" si="8"/>
        <v>16859.601124432316</v>
      </c>
      <c r="I51">
        <f t="shared" si="1"/>
        <v>-160.60112443231628</v>
      </c>
      <c r="J51">
        <f t="shared" si="2"/>
        <v>160.60112443231628</v>
      </c>
      <c r="K51">
        <f t="shared" si="3"/>
        <v>25792.721168924338</v>
      </c>
      <c r="L51" s="25">
        <f t="shared" si="4"/>
        <v>0.96174096911381701</v>
      </c>
      <c r="M51" s="28">
        <f t="shared" si="5"/>
        <v>71707024</v>
      </c>
    </row>
    <row r="52" spans="1:13">
      <c r="A52">
        <v>50</v>
      </c>
      <c r="B52">
        <v>2019</v>
      </c>
      <c r="C52">
        <v>2</v>
      </c>
      <c r="D52">
        <v>16619</v>
      </c>
      <c r="E52">
        <f t="shared" si="9"/>
        <v>19644.860616199876</v>
      </c>
      <c r="F52">
        <f t="shared" si="6"/>
        <v>36.721246146508861</v>
      </c>
      <c r="G52">
        <f t="shared" si="7"/>
        <v>0.85012091057084072</v>
      </c>
      <c r="H52">
        <f t="shared" si="8"/>
        <v>17394.754100181126</v>
      </c>
      <c r="I52">
        <f t="shared" si="1"/>
        <v>-775.75410018112598</v>
      </c>
      <c r="J52">
        <f t="shared" si="2"/>
        <v>775.75410018112598</v>
      </c>
      <c r="K52">
        <f t="shared" si="3"/>
        <v>601794.42394782847</v>
      </c>
      <c r="L52" s="25">
        <f t="shared" si="4"/>
        <v>4.6678747227939468</v>
      </c>
      <c r="M52" s="28">
        <f t="shared" si="5"/>
        <v>6400</v>
      </c>
    </row>
    <row r="53" spans="1:13">
      <c r="A53">
        <v>51</v>
      </c>
      <c r="B53">
        <v>2019</v>
      </c>
      <c r="C53">
        <v>3</v>
      </c>
      <c r="D53">
        <v>17851</v>
      </c>
      <c r="E53">
        <f t="shared" si="9"/>
        <v>19373.709267479455</v>
      </c>
      <c r="F53">
        <f t="shared" si="6"/>
        <v>27.560350291052877</v>
      </c>
      <c r="G53">
        <f t="shared" si="7"/>
        <v>0.92952388209258452</v>
      </c>
      <c r="H53">
        <f t="shared" si="8"/>
        <v>19348.370395676888</v>
      </c>
      <c r="I53">
        <f t="shared" si="1"/>
        <v>-1497.3703956768877</v>
      </c>
      <c r="J53">
        <f t="shared" si="2"/>
        <v>1497.3703956768877</v>
      </c>
      <c r="K53">
        <f t="shared" si="3"/>
        <v>2242118.1018495592</v>
      </c>
      <c r="L53" s="25">
        <f t="shared" si="4"/>
        <v>8.388159742742074</v>
      </c>
      <c r="M53" s="28">
        <f t="shared" si="5"/>
        <v>1517824</v>
      </c>
    </row>
    <row r="54" spans="1:13">
      <c r="A54">
        <v>52</v>
      </c>
      <c r="B54">
        <v>2019</v>
      </c>
      <c r="C54">
        <v>4</v>
      </c>
      <c r="D54">
        <v>18160</v>
      </c>
      <c r="E54">
        <f t="shared" si="9"/>
        <v>19690.641830270011</v>
      </c>
      <c r="F54">
        <f t="shared" si="6"/>
        <v>36.170758448091398</v>
      </c>
      <c r="G54">
        <f t="shared" si="7"/>
        <v>0.91560655504191957</v>
      </c>
      <c r="H54">
        <f t="shared" si="8"/>
        <v>16912.051174884957</v>
      </c>
      <c r="I54">
        <f t="shared" si="1"/>
        <v>1247.9488251150433</v>
      </c>
      <c r="J54">
        <f t="shared" si="2"/>
        <v>1247.9488251150433</v>
      </c>
      <c r="K54">
        <f t="shared" si="3"/>
        <v>1557376.2701060169</v>
      </c>
      <c r="L54" s="25">
        <f t="shared" si="4"/>
        <v>6.871964896007948</v>
      </c>
      <c r="M54" s="28">
        <f t="shared" si="5"/>
        <v>95481</v>
      </c>
    </row>
    <row r="55" spans="1:13">
      <c r="A55">
        <v>53</v>
      </c>
      <c r="B55">
        <v>2019</v>
      </c>
      <c r="C55">
        <v>5</v>
      </c>
      <c r="D55">
        <v>22032</v>
      </c>
      <c r="E55">
        <f t="shared" si="9"/>
        <v>20069.458949572723</v>
      </c>
      <c r="F55">
        <f t="shared" si="6"/>
        <v>46.366364290816371</v>
      </c>
      <c r="G55">
        <f t="shared" si="7"/>
        <v>1.088660027934973</v>
      </c>
      <c r="H55">
        <f t="shared" si="8"/>
        <v>20288.533230078592</v>
      </c>
      <c r="I55">
        <f t="shared" si="1"/>
        <v>1743.4667699214078</v>
      </c>
      <c r="J55">
        <f t="shared" si="2"/>
        <v>1743.4667699214078</v>
      </c>
      <c r="K55">
        <f t="shared" si="3"/>
        <v>3039676.3778201872</v>
      </c>
      <c r="L55" s="25">
        <f t="shared" si="4"/>
        <v>7.9133386434341313</v>
      </c>
      <c r="M55" s="28">
        <f t="shared" si="5"/>
        <v>14992384</v>
      </c>
    </row>
    <row r="56" spans="1:13">
      <c r="A56">
        <v>54</v>
      </c>
      <c r="B56">
        <v>2019</v>
      </c>
      <c r="C56">
        <v>6</v>
      </c>
      <c r="D56">
        <v>21395</v>
      </c>
      <c r="E56">
        <f t="shared" si="9"/>
        <v>20165.488872111302</v>
      </c>
      <c r="F56">
        <f t="shared" si="6"/>
        <v>47.844127146311095</v>
      </c>
      <c r="G56">
        <f t="shared" si="7"/>
        <v>1.0596258930057738</v>
      </c>
      <c r="H56">
        <f t="shared" si="8"/>
        <v>21136.82537508044</v>
      </c>
      <c r="I56">
        <f t="shared" si="1"/>
        <v>258.1746249195603</v>
      </c>
      <c r="J56">
        <f t="shared" si="2"/>
        <v>258.1746249195603</v>
      </c>
      <c r="K56">
        <f t="shared" si="3"/>
        <v>66654.13695235565</v>
      </c>
      <c r="L56" s="25">
        <f t="shared" si="4"/>
        <v>1.2067054214515556</v>
      </c>
      <c r="M56" s="28">
        <f t="shared" si="5"/>
        <v>405769</v>
      </c>
    </row>
    <row r="57" spans="1:13">
      <c r="A57">
        <v>55</v>
      </c>
      <c r="B57">
        <v>2019</v>
      </c>
      <c r="C57">
        <v>7</v>
      </c>
      <c r="D57">
        <v>22217</v>
      </c>
      <c r="E57">
        <f t="shared" si="9"/>
        <v>20167.761048673528</v>
      </c>
      <c r="F57">
        <f t="shared" si="6"/>
        <v>46.488112027748066</v>
      </c>
      <c r="G57">
        <f t="shared" si="7"/>
        <v>1.1029152171258632</v>
      </c>
      <c r="H57">
        <f t="shared" si="8"/>
        <v>22467.605323278989</v>
      </c>
      <c r="I57">
        <f t="shared" si="1"/>
        <v>-250.60532327898909</v>
      </c>
      <c r="J57">
        <f t="shared" si="2"/>
        <v>250.60532327898909</v>
      </c>
      <c r="K57">
        <f t="shared" si="3"/>
        <v>62803.028055766634</v>
      </c>
      <c r="L57" s="25">
        <f t="shared" si="4"/>
        <v>1.1279890321780128</v>
      </c>
      <c r="M57" s="28">
        <f t="shared" si="5"/>
        <v>675684</v>
      </c>
    </row>
    <row r="58" spans="1:13">
      <c r="A58">
        <v>56</v>
      </c>
      <c r="B58">
        <v>2019</v>
      </c>
      <c r="C58">
        <v>8</v>
      </c>
      <c r="D58">
        <v>24565</v>
      </c>
      <c r="E58">
        <f t="shared" si="9"/>
        <v>20507.673717982521</v>
      </c>
      <c r="F58">
        <f t="shared" si="6"/>
        <v>55.219099635945526</v>
      </c>
      <c r="G58">
        <f t="shared" si="7"/>
        <v>1.1894116654480096</v>
      </c>
      <c r="H58">
        <f t="shared" si="8"/>
        <v>22919.076039297448</v>
      </c>
      <c r="I58">
        <f t="shared" si="1"/>
        <v>1645.923960702552</v>
      </c>
      <c r="J58">
        <f t="shared" si="2"/>
        <v>1645.923960702552</v>
      </c>
      <c r="K58">
        <f t="shared" si="3"/>
        <v>2709065.684414776</v>
      </c>
      <c r="L58" s="25">
        <f t="shared" si="4"/>
        <v>6.7002807274681535</v>
      </c>
      <c r="M58" s="28">
        <f t="shared" si="5"/>
        <v>5513104</v>
      </c>
    </row>
    <row r="59" spans="1:13">
      <c r="A59">
        <v>57</v>
      </c>
      <c r="B59">
        <v>2019</v>
      </c>
      <c r="C59">
        <v>9</v>
      </c>
      <c r="D59">
        <v>21095</v>
      </c>
      <c r="E59">
        <f t="shared" si="9"/>
        <v>20767.373201344541</v>
      </c>
      <c r="F59">
        <f t="shared" si="6"/>
        <v>61.303510950982812</v>
      </c>
      <c r="G59">
        <f t="shared" si="7"/>
        <v>1.0107716371787245</v>
      </c>
      <c r="H59">
        <f t="shared" si="8"/>
        <v>20105.846654537629</v>
      </c>
      <c r="I59">
        <f t="shared" si="1"/>
        <v>989.15334546237136</v>
      </c>
      <c r="J59">
        <f t="shared" si="2"/>
        <v>989.15334546237136</v>
      </c>
      <c r="K59">
        <f t="shared" si="3"/>
        <v>978424.34083940135</v>
      </c>
      <c r="L59" s="25">
        <f t="shared" si="4"/>
        <v>4.6890416945360096</v>
      </c>
      <c r="M59" s="28">
        <f t="shared" si="5"/>
        <v>12040900</v>
      </c>
    </row>
    <row r="60" spans="1:13">
      <c r="A60">
        <v>58</v>
      </c>
      <c r="B60">
        <v>2019</v>
      </c>
      <c r="C60">
        <v>10</v>
      </c>
      <c r="D60">
        <v>20114</v>
      </c>
      <c r="E60">
        <f t="shared" si="9"/>
        <v>20999.617187483229</v>
      </c>
      <c r="F60">
        <f t="shared" si="6"/>
        <v>66.389926295465088</v>
      </c>
      <c r="G60">
        <f t="shared" si="7"/>
        <v>0.95390027427798885</v>
      </c>
      <c r="H60">
        <f t="shared" si="8"/>
        <v>19329.179279689346</v>
      </c>
      <c r="I60">
        <f t="shared" si="1"/>
        <v>784.820720310654</v>
      </c>
      <c r="J60">
        <f t="shared" si="2"/>
        <v>784.820720310654</v>
      </c>
      <c r="K60">
        <f t="shared" si="3"/>
        <v>615943.56302893383</v>
      </c>
      <c r="L60" s="25">
        <f t="shared" si="4"/>
        <v>3.9018629825527196</v>
      </c>
      <c r="M60" s="28">
        <f t="shared" si="5"/>
        <v>962361</v>
      </c>
    </row>
    <row r="61" spans="1:13">
      <c r="A61">
        <v>59</v>
      </c>
      <c r="B61">
        <v>2019</v>
      </c>
      <c r="C61">
        <v>11</v>
      </c>
      <c r="D61">
        <v>19931</v>
      </c>
      <c r="E61">
        <f t="shared" si="9"/>
        <v>20935.388705588484</v>
      </c>
      <c r="F61">
        <f t="shared" si="6"/>
        <v>62.503313280256179</v>
      </c>
      <c r="G61">
        <f t="shared" si="7"/>
        <v>0.95518987591952154</v>
      </c>
      <c r="H61">
        <f t="shared" si="8"/>
        <v>20561.74819335404</v>
      </c>
      <c r="I61">
        <f t="shared" si="1"/>
        <v>-630.74819335404027</v>
      </c>
      <c r="J61">
        <f t="shared" si="2"/>
        <v>630.74819335404027</v>
      </c>
      <c r="K61">
        <f t="shared" si="3"/>
        <v>397843.28341938579</v>
      </c>
      <c r="L61" s="25">
        <f t="shared" si="4"/>
        <v>3.1646590404597879</v>
      </c>
      <c r="M61" s="28">
        <f t="shared" si="5"/>
        <v>33489</v>
      </c>
    </row>
    <row r="62" spans="1:13">
      <c r="A62">
        <v>60</v>
      </c>
      <c r="B62">
        <v>2019</v>
      </c>
      <c r="C62">
        <v>12</v>
      </c>
      <c r="D62">
        <v>26120</v>
      </c>
      <c r="E62">
        <f t="shared" si="9"/>
        <v>20914.513830644471</v>
      </c>
      <c r="F62">
        <f t="shared" si="6"/>
        <v>60.022355534506595</v>
      </c>
      <c r="G62">
        <f t="shared" si="7"/>
        <v>1.2515229161243917</v>
      </c>
      <c r="H62">
        <f t="shared" si="8"/>
        <v>26643.407991929609</v>
      </c>
      <c r="I62">
        <f t="shared" si="1"/>
        <v>-523.40799192960912</v>
      </c>
      <c r="J62">
        <f t="shared" si="2"/>
        <v>523.40799192960912</v>
      </c>
      <c r="K62">
        <f t="shared" si="3"/>
        <v>273955.92601578578</v>
      </c>
      <c r="L62" s="25">
        <f t="shared" si="4"/>
        <v>2.0038590808943688</v>
      </c>
      <c r="M62" s="28">
        <f t="shared" si="5"/>
        <v>38303721</v>
      </c>
    </row>
    <row r="63" spans="1:13">
      <c r="A63">
        <v>61</v>
      </c>
      <c r="B63">
        <v>2020</v>
      </c>
      <c r="C63">
        <v>1</v>
      </c>
      <c r="D63">
        <v>18580</v>
      </c>
      <c r="E63">
        <f t="shared" si="9"/>
        <v>21179.288246199372</v>
      </c>
      <c r="F63">
        <f t="shared" si="6"/>
        <v>66.114850707217997</v>
      </c>
      <c r="G63">
        <f t="shared" si="7"/>
        <v>0.87302567397263375</v>
      </c>
      <c r="H63">
        <f t="shared" si="8"/>
        <v>17724.004307120991</v>
      </c>
      <c r="I63">
        <f t="shared" si="1"/>
        <v>855.99569287900886</v>
      </c>
      <c r="J63">
        <f t="shared" si="2"/>
        <v>855.99569287900886</v>
      </c>
      <c r="K63">
        <f t="shared" si="3"/>
        <v>732728.62622741447</v>
      </c>
      <c r="L63" s="25">
        <f t="shared" si="4"/>
        <v>4.607081231856883</v>
      </c>
      <c r="M63" s="28">
        <f t="shared" si="5"/>
        <v>56851600</v>
      </c>
    </row>
    <row r="64" spans="1:13">
      <c r="A64">
        <v>62</v>
      </c>
      <c r="B64">
        <v>2020</v>
      </c>
      <c r="C64">
        <v>2</v>
      </c>
      <c r="D64">
        <v>18492</v>
      </c>
      <c r="E64">
        <f t="shared" si="9"/>
        <v>21347.84085432543</v>
      </c>
      <c r="F64">
        <f t="shared" si="6"/>
        <v>69.162935022049794</v>
      </c>
      <c r="G64">
        <f t="shared" si="7"/>
        <v>0.86410297203048381</v>
      </c>
      <c r="H64">
        <f t="shared" si="8"/>
        <v>18061.161426186791</v>
      </c>
      <c r="I64">
        <f t="shared" si="1"/>
        <v>430.83857381320922</v>
      </c>
      <c r="J64">
        <f t="shared" si="2"/>
        <v>430.83857381320922</v>
      </c>
      <c r="K64">
        <f t="shared" si="3"/>
        <v>185621.87668540014</v>
      </c>
      <c r="L64" s="25">
        <f t="shared" si="4"/>
        <v>2.329864664791311</v>
      </c>
      <c r="M64" s="28">
        <f t="shared" si="5"/>
        <v>7744</v>
      </c>
    </row>
    <row r="65" spans="1:13">
      <c r="A65">
        <v>63</v>
      </c>
      <c r="B65">
        <v>2020</v>
      </c>
      <c r="C65">
        <v>3</v>
      </c>
      <c r="D65">
        <v>19724</v>
      </c>
      <c r="E65">
        <f t="shared" si="9"/>
        <v>21377.075808758804</v>
      </c>
      <c r="F65">
        <f t="shared" si="6"/>
        <v>67.974858921773233</v>
      </c>
      <c r="G65">
        <f t="shared" si="7"/>
        <v>0.92357310060643583</v>
      </c>
      <c r="H65">
        <f t="shared" si="8"/>
        <v>19907.616505065864</v>
      </c>
      <c r="I65">
        <f t="shared" si="1"/>
        <v>-183.61650506586375</v>
      </c>
      <c r="J65">
        <f t="shared" si="2"/>
        <v>183.61650506586375</v>
      </c>
      <c r="K65">
        <f t="shared" si="3"/>
        <v>33715.020932602369</v>
      </c>
      <c r="L65" s="25">
        <f t="shared" si="4"/>
        <v>0.93092935036434665</v>
      </c>
      <c r="M65" s="28">
        <f t="shared" si="5"/>
        <v>1517824</v>
      </c>
    </row>
    <row r="66" spans="1:13">
      <c r="A66">
        <v>64</v>
      </c>
      <c r="B66">
        <v>2020</v>
      </c>
      <c r="C66">
        <v>4</v>
      </c>
      <c r="D66">
        <v>20123</v>
      </c>
      <c r="E66">
        <f t="shared" si="9"/>
        <v>21552.730233537179</v>
      </c>
      <c r="F66">
        <f t="shared" si="6"/>
        <v>71.178915745991077</v>
      </c>
      <c r="G66">
        <f t="shared" si="7"/>
        <v>0.93128576942778296</v>
      </c>
      <c r="H66">
        <f t="shared" si="8"/>
        <v>19635.228964534432</v>
      </c>
      <c r="I66">
        <f t="shared" si="1"/>
        <v>487.77103546556827</v>
      </c>
      <c r="J66">
        <f t="shared" si="2"/>
        <v>487.77103546556827</v>
      </c>
      <c r="K66">
        <f t="shared" si="3"/>
        <v>237920.58303915267</v>
      </c>
      <c r="L66" s="25">
        <f t="shared" si="4"/>
        <v>2.423947897756638</v>
      </c>
      <c r="M66" s="28">
        <f t="shared" si="5"/>
        <v>159201</v>
      </c>
    </row>
    <row r="67" spans="1:13">
      <c r="A67">
        <v>65</v>
      </c>
      <c r="B67">
        <v>2020</v>
      </c>
      <c r="C67">
        <v>5</v>
      </c>
      <c r="D67">
        <v>22582</v>
      </c>
      <c r="E67">
        <f t="shared" si="9"/>
        <v>21445.83894921578</v>
      </c>
      <c r="F67">
        <f t="shared" si="6"/>
        <v>65.880352038225382</v>
      </c>
      <c r="G67">
        <f t="shared" si="7"/>
        <v>1.0576769267011727</v>
      </c>
      <c r="H67">
        <f t="shared" si="8"/>
        <v>23541.085538521933</v>
      </c>
      <c r="I67">
        <f t="shared" si="1"/>
        <v>-959.0855385219329</v>
      </c>
      <c r="J67">
        <f t="shared" si="2"/>
        <v>959.0855385219329</v>
      </c>
      <c r="K67">
        <f t="shared" si="3"/>
        <v>919845.07020190603</v>
      </c>
      <c r="L67" s="25">
        <f t="shared" si="4"/>
        <v>4.2471239860151133</v>
      </c>
      <c r="M67" s="28">
        <f t="shared" si="5"/>
        <v>6046681</v>
      </c>
    </row>
    <row r="68" spans="1:13">
      <c r="A68">
        <v>66</v>
      </c>
      <c r="B68">
        <v>2020</v>
      </c>
      <c r="C68">
        <v>6</v>
      </c>
      <c r="D68">
        <v>22595</v>
      </c>
      <c r="E68">
        <f t="shared" si="9"/>
        <v>21473.687768496569</v>
      </c>
      <c r="F68">
        <f t="shared" si="6"/>
        <v>64.748705647403142</v>
      </c>
      <c r="G68">
        <f t="shared" si="7"/>
        <v>1.0531934764772037</v>
      </c>
      <c r="H68">
        <f t="shared" si="8"/>
        <v>22794.374774680815</v>
      </c>
      <c r="I68">
        <f t="shared" si="1"/>
        <v>-199.37477468081488</v>
      </c>
      <c r="J68">
        <f t="shared" si="2"/>
        <v>199.37477468081488</v>
      </c>
      <c r="K68">
        <f t="shared" si="3"/>
        <v>39750.300779025703</v>
      </c>
      <c r="L68" s="25">
        <f t="shared" si="4"/>
        <v>0.88238448630588584</v>
      </c>
      <c r="M68" s="28">
        <f t="shared" si="5"/>
        <v>169</v>
      </c>
    </row>
    <row r="69" spans="1:13">
      <c r="A69">
        <v>67</v>
      </c>
      <c r="B69">
        <v>2020</v>
      </c>
      <c r="C69">
        <v>7</v>
      </c>
      <c r="D69">
        <v>23379</v>
      </c>
      <c r="E69">
        <f t="shared" si="9"/>
        <v>21469.515408943887</v>
      </c>
      <c r="F69">
        <f t="shared" si="6"/>
        <v>62.697926490466592</v>
      </c>
      <c r="G69">
        <f t="shared" si="7"/>
        <v>1.0907797563715524</v>
      </c>
      <c r="H69">
        <f t="shared" si="8"/>
        <v>23755.06934043211</v>
      </c>
      <c r="I69">
        <f t="shared" si="1"/>
        <v>-376.06934043211004</v>
      </c>
      <c r="J69">
        <f t="shared" si="2"/>
        <v>376.06934043211004</v>
      </c>
      <c r="K69">
        <f t="shared" si="3"/>
        <v>141428.14881304227</v>
      </c>
      <c r="L69" s="25">
        <f t="shared" si="4"/>
        <v>1.6085775286886095</v>
      </c>
      <c r="M69" s="28">
        <f t="shared" si="5"/>
        <v>614656</v>
      </c>
    </row>
    <row r="70" spans="1:13">
      <c r="A70">
        <v>68</v>
      </c>
      <c r="B70">
        <v>2020</v>
      </c>
      <c r="C70">
        <v>8</v>
      </c>
      <c r="D70">
        <v>24920</v>
      </c>
      <c r="E70">
        <f t="shared" si="9"/>
        <v>21414.842041764721</v>
      </c>
      <c r="F70">
        <f t="shared" si="6"/>
        <v>59.205487684107794</v>
      </c>
      <c r="G70">
        <f t="shared" si="7"/>
        <v>1.1670675270839947</v>
      </c>
      <c r="H70">
        <f t="shared" si="8"/>
        <v>25610.665724080816</v>
      </c>
      <c r="I70">
        <f t="shared" si="1"/>
        <v>-690.66572408081629</v>
      </c>
      <c r="J70">
        <f t="shared" si="2"/>
        <v>690.66572408081629</v>
      </c>
      <c r="K70">
        <f t="shared" si="3"/>
        <v>477019.14242007828</v>
      </c>
      <c r="L70" s="25">
        <f t="shared" si="4"/>
        <v>2.7715317980771119</v>
      </c>
      <c r="M70" s="28">
        <f t="shared" si="5"/>
        <v>2374681</v>
      </c>
    </row>
    <row r="71" spans="1:13">
      <c r="A71">
        <v>69</v>
      </c>
      <c r="B71">
        <v>2020</v>
      </c>
      <c r="C71">
        <v>9</v>
      </c>
      <c r="D71">
        <v>20325</v>
      </c>
      <c r="E71">
        <f t="shared" si="9"/>
        <v>21198.012036842028</v>
      </c>
      <c r="F71">
        <f t="shared" si="6"/>
        <v>50.99191998649129</v>
      </c>
      <c r="G71">
        <f t="shared" si="7"/>
        <v>0.96565806237958896</v>
      </c>
      <c r="H71">
        <f t="shared" si="8"/>
        <v>21705.358178194736</v>
      </c>
      <c r="I71">
        <f t="shared" ref="I71:I74" si="10">D71-H71</f>
        <v>-1380.358178194736</v>
      </c>
      <c r="J71">
        <f t="shared" ref="J71:J74" si="11">ABS(I71)</f>
        <v>1380.358178194736</v>
      </c>
      <c r="K71">
        <f t="shared" ref="K71:K74" si="12">I71^2</f>
        <v>1905388.7001090904</v>
      </c>
      <c r="L71" s="25">
        <f t="shared" ref="L71:L74" si="13">ABS(D71-H71)/D71*100</f>
        <v>6.791430151019612</v>
      </c>
      <c r="M71" s="28">
        <f t="shared" ref="M71:M74" si="14">(D71-D70)^2</f>
        <v>21114025</v>
      </c>
    </row>
    <row r="72" spans="1:13">
      <c r="A72">
        <v>70</v>
      </c>
      <c r="B72">
        <v>2020</v>
      </c>
      <c r="C72">
        <v>10</v>
      </c>
      <c r="D72">
        <v>22038</v>
      </c>
      <c r="E72">
        <f t="shared" si="9"/>
        <v>21623.757104300566</v>
      </c>
      <c r="F72">
        <f t="shared" si="6"/>
        <v>62.142878573693942</v>
      </c>
      <c r="G72">
        <f t="shared" si="7"/>
        <v>1.0105635282222789</v>
      </c>
      <c r="H72">
        <f t="shared" si="8"/>
        <v>20269.430702552796</v>
      </c>
      <c r="I72">
        <f t="shared" si="10"/>
        <v>1768.569297447204</v>
      </c>
      <c r="J72">
        <f t="shared" si="11"/>
        <v>1768.569297447204</v>
      </c>
      <c r="K72">
        <f t="shared" si="12"/>
        <v>3127837.3598728967</v>
      </c>
      <c r="L72" s="25">
        <f t="shared" si="13"/>
        <v>8.0250898332298934</v>
      </c>
      <c r="M72" s="28">
        <f t="shared" si="14"/>
        <v>2934369</v>
      </c>
    </row>
    <row r="73" spans="1:13">
      <c r="A73">
        <v>71</v>
      </c>
      <c r="B73">
        <v>2020</v>
      </c>
      <c r="C73">
        <v>11</v>
      </c>
      <c r="D73">
        <v>20988</v>
      </c>
      <c r="E73">
        <f t="shared" si="9"/>
        <v>21743.848971890897</v>
      </c>
      <c r="F73">
        <f t="shared" si="6"/>
        <v>63.867178372251267</v>
      </c>
      <c r="G73">
        <f t="shared" si="7"/>
        <v>0.96391523992161776</v>
      </c>
      <c r="H73">
        <f t="shared" si="8"/>
        <v>20714.152113844819</v>
      </c>
      <c r="I73">
        <f t="shared" si="10"/>
        <v>273.84788615518119</v>
      </c>
      <c r="J73">
        <f t="shared" si="11"/>
        <v>273.84788615518119</v>
      </c>
      <c r="K73">
        <f t="shared" si="12"/>
        <v>74992.664751661068</v>
      </c>
      <c r="L73" s="25">
        <f t="shared" si="13"/>
        <v>1.3047831434876176</v>
      </c>
      <c r="M73" s="28">
        <f t="shared" si="14"/>
        <v>1102500</v>
      </c>
    </row>
    <row r="74" spans="1:13" ht="16.5" thickBot="1">
      <c r="A74">
        <v>72</v>
      </c>
      <c r="B74">
        <v>2020</v>
      </c>
      <c r="C74">
        <v>12</v>
      </c>
      <c r="D74">
        <v>26675</v>
      </c>
      <c r="E74">
        <f>$O$4*(D74/G62)+(1-$O$4)*(E73+F73)</f>
        <v>21707.928912168391</v>
      </c>
      <c r="F74">
        <f>$O$5*(E74-E73)+(1-$O$5)*F73</f>
        <v>60.89796152368838</v>
      </c>
      <c r="G74">
        <f t="shared" si="7"/>
        <v>1.2318041461779112</v>
      </c>
      <c r="H74">
        <f>(E73+1*F73)*G62</f>
        <v>27292.856510390331</v>
      </c>
      <c r="I74">
        <f t="shared" si="10"/>
        <v>-617.8565103903311</v>
      </c>
      <c r="J74">
        <f t="shared" si="11"/>
        <v>617.8565103903311</v>
      </c>
      <c r="K74">
        <f t="shared" si="12"/>
        <v>381746.66743171733</v>
      </c>
      <c r="L74" s="25">
        <f t="shared" si="13"/>
        <v>2.3162380895607537</v>
      </c>
      <c r="M74" s="28">
        <f t="shared" si="14"/>
        <v>32341969</v>
      </c>
    </row>
    <row r="75" spans="1:13">
      <c r="A75" s="30">
        <v>73</v>
      </c>
      <c r="B75" s="31">
        <v>2021</v>
      </c>
      <c r="C75" s="31">
        <v>1</v>
      </c>
      <c r="D75" s="31">
        <f>H74</f>
        <v>27292.856510390331</v>
      </c>
      <c r="E75" s="31">
        <f t="shared" ref="E75:E86" si="15">$O$4*(D75/G63)+(1-$O$4)*(E74+F74)</f>
        <v>23687.737572487935</v>
      </c>
      <c r="F75" s="31">
        <f t="shared" ref="F75:F86" si="16">$O$5*(E75-E74)+(1-$O$5)*F74</f>
        <v>117.99606431256164</v>
      </c>
      <c r="G75" s="31">
        <f t="shared" si="7"/>
        <v>1.1154312464026233</v>
      </c>
      <c r="H75" s="32">
        <f t="shared" ref="H75:H86" si="17">(E74+1*F74)*G63</f>
        <v>19004.744752998609</v>
      </c>
      <c r="I75" s="42" t="s">
        <v>67</v>
      </c>
      <c r="J75" s="29"/>
      <c r="K75" s="29"/>
      <c r="L75" s="29"/>
      <c r="M75" s="29"/>
    </row>
    <row r="76" spans="1:13">
      <c r="A76" s="33">
        <v>74</v>
      </c>
      <c r="B76" s="34">
        <v>2021</v>
      </c>
      <c r="C76" s="34">
        <v>2</v>
      </c>
      <c r="D76" s="34">
        <f t="shared" ref="D76:D86" si="18">H75</f>
        <v>19004.744752998609</v>
      </c>
      <c r="E76" s="34">
        <f t="shared" si="15"/>
        <v>23439.453191880344</v>
      </c>
      <c r="F76" s="34">
        <f t="shared" si="16"/>
        <v>107.09721502961747</v>
      </c>
      <c r="G76" s="34">
        <f t="shared" si="7"/>
        <v>0.81782054146843153</v>
      </c>
      <c r="H76" s="35">
        <f t="shared" si="17"/>
        <v>20570.605186925368</v>
      </c>
      <c r="I76" s="42"/>
      <c r="J76" s="41" t="s">
        <v>66</v>
      </c>
      <c r="K76" s="41"/>
      <c r="L76" s="41"/>
      <c r="M76" s="41"/>
    </row>
    <row r="77" spans="1:13">
      <c r="A77" s="33">
        <v>75</v>
      </c>
      <c r="B77" s="34">
        <v>2021</v>
      </c>
      <c r="C77" s="34">
        <v>3</v>
      </c>
      <c r="D77" s="34">
        <f t="shared" si="18"/>
        <v>20570.605186925368</v>
      </c>
      <c r="E77" s="34">
        <f t="shared" si="15"/>
        <v>23289.100078977204</v>
      </c>
      <c r="F77" s="34">
        <f t="shared" si="16"/>
        <v>99.436657768376435</v>
      </c>
      <c r="G77" s="34">
        <f t="shared" si="7"/>
        <v>0.88857887237368849</v>
      </c>
      <c r="H77" s="35">
        <f t="shared" si="17"/>
        <v>21746.960567895567</v>
      </c>
      <c r="I77" s="42"/>
      <c r="J77" s="41"/>
      <c r="K77" s="41"/>
      <c r="L77" s="41"/>
      <c r="M77" s="41"/>
    </row>
    <row r="78" spans="1:13">
      <c r="A78" s="33">
        <v>76</v>
      </c>
      <c r="B78" s="34">
        <v>2021</v>
      </c>
      <c r="C78" s="34">
        <v>4</v>
      </c>
      <c r="D78" s="34">
        <f t="shared" si="18"/>
        <v>21746.960567895567</v>
      </c>
      <c r="E78" s="34">
        <f t="shared" si="15"/>
        <v>23381.059462367499</v>
      </c>
      <c r="F78" s="34">
        <f t="shared" si="16"/>
        <v>99.214167904054847</v>
      </c>
      <c r="G78" s="34">
        <f t="shared" si="7"/>
        <v>0.93026495570409173</v>
      </c>
      <c r="H78" s="35">
        <f t="shared" si="17"/>
        <v>21781.411430670076</v>
      </c>
      <c r="I78" s="42"/>
      <c r="J78" s="41"/>
      <c r="K78" s="41"/>
      <c r="L78" s="41"/>
      <c r="M78" s="41"/>
    </row>
    <row r="79" spans="1:13">
      <c r="A79" s="33">
        <v>77</v>
      </c>
      <c r="B79" s="34">
        <v>2021</v>
      </c>
      <c r="C79" s="34">
        <v>5</v>
      </c>
      <c r="D79" s="34">
        <f t="shared" si="18"/>
        <v>21781.411430670076</v>
      </c>
      <c r="E79" s="34">
        <f t="shared" si="15"/>
        <v>22896.803317806101</v>
      </c>
      <c r="F79" s="34">
        <f t="shared" si="16"/>
        <v>81.852730555086978</v>
      </c>
      <c r="G79" s="34">
        <f t="shared" si="7"/>
        <v>0.96529620672291383</v>
      </c>
      <c r="H79" s="35">
        <f t="shared" si="17"/>
        <v>24834.543651368203</v>
      </c>
      <c r="I79" s="42"/>
      <c r="J79" s="41"/>
      <c r="K79" s="41"/>
      <c r="L79" s="41"/>
      <c r="M79" s="41"/>
    </row>
    <row r="80" spans="1:13">
      <c r="A80" s="33">
        <v>78</v>
      </c>
      <c r="B80" s="34">
        <v>2021</v>
      </c>
      <c r="C80" s="34">
        <v>6</v>
      </c>
      <c r="D80" s="34">
        <f t="shared" si="18"/>
        <v>24834.543651368203</v>
      </c>
      <c r="E80" s="34">
        <f t="shared" si="15"/>
        <v>23100.2507592283</v>
      </c>
      <c r="F80" s="34">
        <f t="shared" si="16"/>
        <v>85.470839153903157</v>
      </c>
      <c r="G80" s="34">
        <f t="shared" si="7"/>
        <v>1.0721950931572215</v>
      </c>
      <c r="H80" s="35">
        <f t="shared" si="17"/>
        <v>24200.970648347447</v>
      </c>
      <c r="I80" s="42"/>
      <c r="J80" s="41"/>
      <c r="K80" s="41"/>
      <c r="L80" s="41"/>
      <c r="M80" s="41"/>
    </row>
    <row r="81" spans="1:13">
      <c r="A81" s="33">
        <v>79</v>
      </c>
      <c r="B81" s="34">
        <v>2021</v>
      </c>
      <c r="C81" s="34">
        <v>7</v>
      </c>
      <c r="D81" s="34">
        <f t="shared" si="18"/>
        <v>24200.970648347447</v>
      </c>
      <c r="E81" s="34">
        <f t="shared" si="15"/>
        <v>22983.822524346051</v>
      </c>
      <c r="F81" s="34">
        <f t="shared" si="16"/>
        <v>79.463235939470849</v>
      </c>
      <c r="G81" s="34">
        <f t="shared" si="7"/>
        <v>1.0579374582266907</v>
      </c>
      <c r="H81" s="35">
        <f t="shared" si="17"/>
        <v>25290.515756381981</v>
      </c>
      <c r="I81" s="42"/>
      <c r="J81" s="41"/>
      <c r="K81" s="41"/>
      <c r="L81" s="41"/>
      <c r="M81" s="41"/>
    </row>
    <row r="82" spans="1:13">
      <c r="A82" s="33">
        <v>80</v>
      </c>
      <c r="B82" s="34">
        <v>2021</v>
      </c>
      <c r="C82" s="34">
        <v>8</v>
      </c>
      <c r="D82" s="34">
        <f t="shared" si="18"/>
        <v>25290.515756381981</v>
      </c>
      <c r="E82" s="34">
        <f t="shared" si="15"/>
        <v>22781.692023216827</v>
      </c>
      <c r="F82" s="34">
        <f t="shared" si="16"/>
        <v>71.08428002769196</v>
      </c>
      <c r="G82" s="34">
        <f t="shared" si="7"/>
        <v>1.1176230939154717</v>
      </c>
      <c r="H82" s="35">
        <f t="shared" si="17"/>
        <v>26916.411878687933</v>
      </c>
      <c r="I82" s="42"/>
      <c r="J82" s="41"/>
      <c r="K82" s="41"/>
      <c r="L82" s="41"/>
      <c r="M82" s="41"/>
    </row>
    <row r="83" spans="1:13">
      <c r="A83" s="33">
        <v>81</v>
      </c>
      <c r="B83" s="34">
        <v>2021</v>
      </c>
      <c r="C83" s="34">
        <v>9</v>
      </c>
      <c r="D83" s="34">
        <f t="shared" si="18"/>
        <v>26916.411878687933</v>
      </c>
      <c r="E83" s="34">
        <f t="shared" si="15"/>
        <v>23867.634144827181</v>
      </c>
      <c r="F83" s="34">
        <f t="shared" si="16"/>
        <v>101.28185899327028</v>
      </c>
      <c r="G83" s="34">
        <f t="shared" si="7"/>
        <v>1.1063935469424597</v>
      </c>
      <c r="H83" s="35">
        <f t="shared" si="17"/>
        <v>22067.967684985288</v>
      </c>
      <c r="I83" s="42"/>
      <c r="J83" s="41"/>
      <c r="K83" s="41"/>
      <c r="L83" s="41"/>
      <c r="M83" s="41"/>
    </row>
    <row r="84" spans="1:13">
      <c r="A84" s="33">
        <v>82</v>
      </c>
      <c r="B84" s="34">
        <v>2021</v>
      </c>
      <c r="C84" s="34">
        <v>10</v>
      </c>
      <c r="D84" s="34">
        <f t="shared" si="18"/>
        <v>22067.967684985288</v>
      </c>
      <c r="E84" s="34">
        <f t="shared" si="15"/>
        <v>23538.05476910383</v>
      </c>
      <c r="F84" s="34">
        <f t="shared" si="16"/>
        <v>88.46137751748914</v>
      </c>
      <c r="G84" s="34">
        <f t="shared" si="7"/>
        <v>0.94715978839471948</v>
      </c>
      <c r="H84" s="35">
        <f t="shared" si="17"/>
        <v>24222.112324484238</v>
      </c>
      <c r="I84" s="42"/>
      <c r="J84" s="41"/>
      <c r="K84" s="41"/>
      <c r="L84" s="41"/>
      <c r="M84" s="41"/>
    </row>
    <row r="85" spans="1:13">
      <c r="A85" s="33">
        <v>83</v>
      </c>
      <c r="B85" s="34">
        <v>2021</v>
      </c>
      <c r="C85" s="34">
        <v>11</v>
      </c>
      <c r="D85" s="34">
        <f t="shared" si="18"/>
        <v>24222.112324484238</v>
      </c>
      <c r="E85" s="34">
        <f t="shared" si="15"/>
        <v>23930.186144407577</v>
      </c>
      <c r="F85" s="34">
        <f t="shared" si="16"/>
        <v>97.497223092990438</v>
      </c>
      <c r="G85" s="34">
        <f t="shared" si="7"/>
        <v>1.0058408179047005</v>
      </c>
      <c r="H85" s="35">
        <f t="shared" si="17"/>
        <v>22773.958979982464</v>
      </c>
      <c r="I85" s="42"/>
      <c r="J85" s="41"/>
      <c r="K85" s="41"/>
      <c r="L85" s="41"/>
      <c r="M85" s="41"/>
    </row>
    <row r="86" spans="1:13" ht="16.5" thickBot="1">
      <c r="A86" s="36">
        <v>84</v>
      </c>
      <c r="B86" s="37">
        <v>2021</v>
      </c>
      <c r="C86" s="37">
        <v>12</v>
      </c>
      <c r="D86" s="37">
        <f t="shared" si="18"/>
        <v>22773.958979982464</v>
      </c>
      <c r="E86" s="37">
        <f t="shared" si="15"/>
        <v>22908.018731419666</v>
      </c>
      <c r="F86" s="37">
        <f t="shared" si="16"/>
        <v>64.181067984714119</v>
      </c>
      <c r="G86" s="37">
        <f t="shared" si="7"/>
        <v>1.0254436821198936</v>
      </c>
      <c r="H86" s="38">
        <f t="shared" si="17"/>
        <v>29597.399995137232</v>
      </c>
      <c r="I86" s="42"/>
      <c r="J86" s="41"/>
      <c r="K86" s="41"/>
      <c r="L86" s="41"/>
      <c r="M86" s="41"/>
    </row>
    <row r="89" spans="1:13">
      <c r="A89" s="41" t="s">
        <v>68</v>
      </c>
      <c r="B89" s="41"/>
      <c r="C89" s="41"/>
      <c r="D89" s="41"/>
      <c r="E89" s="41"/>
      <c r="F89" s="41"/>
      <c r="G89" s="41"/>
      <c r="H89" s="41"/>
      <c r="I89" s="41"/>
      <c r="J89" s="41"/>
      <c r="K89" s="41"/>
      <c r="L89" s="41"/>
      <c r="M89" s="41"/>
    </row>
    <row r="90" spans="1:13">
      <c r="A90" s="41"/>
      <c r="B90" s="41"/>
      <c r="C90" s="41"/>
      <c r="D90" s="41"/>
      <c r="E90" s="41"/>
      <c r="F90" s="41"/>
      <c r="G90" s="41"/>
      <c r="H90" s="41"/>
      <c r="I90" s="41"/>
      <c r="J90" s="41"/>
      <c r="K90" s="41"/>
      <c r="L90" s="41"/>
      <c r="M90" s="41"/>
    </row>
    <row r="91" spans="1:13">
      <c r="A91" s="41"/>
      <c r="B91" s="41"/>
      <c r="C91" s="41"/>
      <c r="D91" s="41"/>
      <c r="E91" s="41"/>
      <c r="F91" s="41"/>
      <c r="G91" s="41"/>
      <c r="H91" s="41"/>
      <c r="I91" s="41"/>
      <c r="J91" s="41"/>
      <c r="K91" s="41"/>
      <c r="L91" s="41"/>
      <c r="M91" s="41"/>
    </row>
    <row r="92" spans="1:13">
      <c r="A92" s="41"/>
      <c r="B92" s="41"/>
      <c r="C92" s="41"/>
      <c r="D92" s="41"/>
      <c r="E92" s="41"/>
      <c r="F92" s="41"/>
      <c r="G92" s="41"/>
      <c r="H92" s="41"/>
      <c r="I92" s="41"/>
      <c r="J92" s="41"/>
      <c r="K92" s="41"/>
      <c r="L92" s="41"/>
      <c r="M92" s="41"/>
    </row>
    <row r="93" spans="1:13">
      <c r="A93" s="41"/>
      <c r="B93" s="41"/>
      <c r="C93" s="41"/>
      <c r="D93" s="41"/>
      <c r="E93" s="41"/>
      <c r="F93" s="41"/>
      <c r="G93" s="41"/>
      <c r="H93" s="41"/>
      <c r="I93" s="41"/>
      <c r="J93" s="41"/>
      <c r="K93" s="41"/>
      <c r="L93" s="41"/>
      <c r="M93" s="41"/>
    </row>
    <row r="94" spans="1:13">
      <c r="A94" s="41"/>
      <c r="B94" s="41"/>
      <c r="C94" s="41"/>
      <c r="D94" s="41"/>
      <c r="E94" s="41"/>
      <c r="F94" s="41"/>
      <c r="G94" s="41"/>
      <c r="H94" s="41"/>
      <c r="I94" s="41"/>
      <c r="J94" s="41"/>
      <c r="K94" s="41"/>
      <c r="L94" s="41"/>
      <c r="M94" s="41"/>
    </row>
    <row r="95" spans="1:13">
      <c r="A95" s="41"/>
      <c r="B95" s="41"/>
      <c r="C95" s="41"/>
      <c r="D95" s="41"/>
      <c r="E95" s="41"/>
      <c r="F95" s="41"/>
      <c r="G95" s="41"/>
      <c r="H95" s="41"/>
      <c r="I95" s="41"/>
      <c r="J95" s="41"/>
      <c r="K95" s="41"/>
      <c r="L95" s="41"/>
      <c r="M95" s="41"/>
    </row>
    <row r="96" spans="1:13">
      <c r="A96" s="41"/>
      <c r="B96" s="41"/>
      <c r="C96" s="41"/>
      <c r="D96" s="41"/>
      <c r="E96" s="41"/>
      <c r="F96" s="41"/>
      <c r="G96" s="41"/>
      <c r="H96" s="41"/>
      <c r="I96" s="41"/>
      <c r="J96" s="41"/>
      <c r="K96" s="41"/>
      <c r="L96" s="41"/>
      <c r="M96" s="41"/>
    </row>
    <row r="97" spans="1:13">
      <c r="A97" s="41"/>
      <c r="B97" s="41"/>
      <c r="C97" s="41"/>
      <c r="D97" s="41"/>
      <c r="E97" s="41"/>
      <c r="F97" s="41"/>
      <c r="G97" s="41"/>
      <c r="H97" s="41"/>
      <c r="I97" s="41"/>
      <c r="J97" s="41"/>
      <c r="K97" s="41"/>
      <c r="L97" s="41"/>
      <c r="M97" s="41"/>
    </row>
  </sheetData>
  <mergeCells count="5">
    <mergeCell ref="I1:M1"/>
    <mergeCell ref="I14:J19"/>
    <mergeCell ref="J76:M86"/>
    <mergeCell ref="I75:I86"/>
    <mergeCell ref="A89:M9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Exam Instructions</vt:lpstr>
      <vt:lpstr>Qn3 PG</vt:lpstr>
      <vt:lpstr>Qn4 Debit Card Use (optional)</vt:lpstr>
      <vt:lpstr>'Exam Instructions'!Print_Area</vt:lpstr>
    </vt:vector>
  </TitlesOfParts>
  <Company>radix</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chun</dc:creator>
  <cp:lastModifiedBy>Morman (US), Brian J</cp:lastModifiedBy>
  <cp:lastPrinted>2015-07-10T20:05:52Z</cp:lastPrinted>
  <dcterms:created xsi:type="dcterms:W3CDTF">2013-07-20T01:42:43Z</dcterms:created>
  <dcterms:modified xsi:type="dcterms:W3CDTF">2024-12-12T15:57:36Z</dcterms:modified>
</cp:coreProperties>
</file>