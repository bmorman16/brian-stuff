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MidTermProj\"/>
    </mc:Choice>
  </mc:AlternateContent>
  <xr:revisionPtr revIDLastSave="0" documentId="13_ncr:1_{6F113A79-C28D-47DD-BDE3-F2ADEA31A175}" xr6:coauthVersionLast="47" xr6:coauthVersionMax="47" xr10:uidLastSave="{00000000-0000-0000-0000-000000000000}"/>
  <bookViews>
    <workbookView xWindow="28680" yWindow="-120" windowWidth="29040" windowHeight="15720" xr2:uid="{5A1C8E1D-89EC-45EF-BFBA-10A9FA64E669}"/>
  </bookViews>
  <sheets>
    <sheet name="Financial" sheetId="1" r:id="rId1"/>
    <sheet name="Clin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<sst xmlns="http://schemas.openxmlformats.org/spreadsheetml/2006/main" count="72" uniqueCount="52">
  <si>
    <t>Year</t>
  </si>
  <si>
    <t>Month</t>
  </si>
  <si>
    <t>Gross Margin</t>
  </si>
  <si>
    <t>Tissue Revenue</t>
  </si>
  <si>
    <t>Organ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</si>
  <si>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</si>
  <si>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</si>
  <si>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</si>
  <si>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</si>
  <si>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</si>
  <si>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</si>
  <si>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</si>
  <si>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</si>
  <si>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</si>
  <si>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</si>
  <si>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</si>
  <si>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</si>
  <si>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Surgeon Fees</t>
  </si>
  <si>
    <t>Preservation Supplies/Instruments</t>
  </si>
  <si>
    <t>Transportation</t>
  </si>
  <si>
    <t>Consults</t>
  </si>
  <si>
    <t>Other</t>
  </si>
  <si>
    <t>Hospital Costs</t>
  </si>
  <si>
    <t>Lab Fees</t>
  </si>
  <si>
    <t>Import Costs (Acquisition Charge)</t>
  </si>
  <si>
    <t>Biopsy</t>
  </si>
  <si>
    <t>Restoration/Embalming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</si>
  <si>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</si>
  <si>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</si>
  <si>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</si>
  <si>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</si>
  <si>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</si>
  <si>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</si>
  <si>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</si>
  <si>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</si>
  <si>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</si>
  <si>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</si>
  <si>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</si>
  <si>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</si>
  <si>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</si>
  <si>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</si>
  <si>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</si>
  <si>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</si>
  <si>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</si>
  <si>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</si>
  <si>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</si>
  <si>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</si>
  <si>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</si>
  <si>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</si>
  <si>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</si>
  <si>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</si>
  <si>
    <t>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</si>
</sst>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#,##0;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Calibri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7" fontId="0" fillId="0" borderId="0" xfId="0" applyNumberFormat="1"/>
    <xf numFmtId="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7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 Revenue Vs Tissue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Financial!$E$1</c:f>
              <c:strCache>
                <c:ptCount val="1"/>
                <c:pt idx="0">
                  <c:v>Tissue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Financial!$E$2:$E$16</c:f>
              <c:numCache>
                <c:formatCode>"$"#,##0.00_);\("$"#,##0.00\)</c:formatCode>
                <c:ptCount val="15"/>
                <c:pt idx="0">
                  <c:v>1502700.05</c:v>
                </c:pt>
                <c:pt idx="1">
                  <c:v>1501308.75</c:v>
                </c:pt>
                <c:pt idx="2">
                  <c:v>1713183.6</c:v>
                </c:pt>
                <c:pt idx="3">
                  <c:v>1710402.6</c:v>
                </c:pt>
                <c:pt idx="4">
                  <c:v>1430755.25</c:v>
                </c:pt>
                <c:pt idx="5">
                  <c:v>1495185.49</c:v>
                </c:pt>
                <c:pt idx="6">
                  <c:v>1563760</c:v>
                </c:pt>
                <c:pt idx="7">
                  <c:v>1357218.3</c:v>
                </c:pt>
                <c:pt idx="8">
                  <c:v>1225575.45</c:v>
                </c:pt>
                <c:pt idx="9">
                  <c:v>1583492.08</c:v>
                </c:pt>
                <c:pt idx="10">
                  <c:v>1399567.35</c:v>
                </c:pt>
                <c:pt idx="11">
                  <c:v>1627237.7</c:v>
                </c:pt>
                <c:pt idx="12">
                  <c:v>1759845.9</c:v>
                </c:pt>
                <c:pt idx="13">
                  <c:v>1302325.3500000001</c:v>
                </c:pt>
                <c:pt idx="14">
                  <c:v>1489754.7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E-4F99-9747-6BB0E0E890B8}"/>
            </c:ext>
          </c:extLst>
        </c:ser>
        <c:ser>
          <c:idx val="1"/>
          <c:order val="1"/>
          <c:tx>
            <c:strRef>
              <c:f>Financial!$F$1</c:f>
              <c:strCache>
                <c:ptCount val="1"/>
                <c:pt idx="0">
                  <c:v>Organ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Financial!$F$2:$F$16</c:f>
              <c:numCache>
                <c:formatCode>"$"#,##0.00_);\("$"#,##0.00\)</c:formatCode>
                <c:ptCount val="15"/>
                <c:pt idx="0">
                  <c:v>7308400</c:v>
                </c:pt>
                <c:pt idx="1">
                  <c:v>6227700</c:v>
                </c:pt>
                <c:pt idx="2">
                  <c:v>7375600</c:v>
                </c:pt>
                <c:pt idx="3">
                  <c:v>5796400</c:v>
                </c:pt>
                <c:pt idx="4">
                  <c:v>8029700</c:v>
                </c:pt>
                <c:pt idx="5">
                  <c:v>7767300</c:v>
                </c:pt>
                <c:pt idx="6">
                  <c:v>8890400</c:v>
                </c:pt>
                <c:pt idx="7">
                  <c:v>6459100</c:v>
                </c:pt>
                <c:pt idx="8">
                  <c:v>6052200</c:v>
                </c:pt>
                <c:pt idx="9">
                  <c:v>6188566.3700000001</c:v>
                </c:pt>
                <c:pt idx="10">
                  <c:v>5768764</c:v>
                </c:pt>
                <c:pt idx="11">
                  <c:v>5942600</c:v>
                </c:pt>
                <c:pt idx="12">
                  <c:v>7022390</c:v>
                </c:pt>
                <c:pt idx="13">
                  <c:v>7365730</c:v>
                </c:pt>
                <c:pt idx="14">
                  <c:v>8551740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E-4F99-9747-6BB0E0E8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640431"/>
        <c:axId val="1245645711"/>
      </c:barChart>
      <c:catAx>
        <c:axId val="124564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45711"/>
        <c:crosses val="autoZero"/>
        <c:auto val="1"/>
        <c:lblAlgn val="ctr"/>
        <c:lblOffset val="100"/>
        <c:noMultiLvlLbl val="0"/>
      </c:catAx>
      <c:valAx>
        <c:axId val="124564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4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Costs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Financial!$G$2:$G$16</c:f>
              <c:numCache>
                <c:formatCode>"$"#,##0.00_);\("$"#,##0.00\)</c:formatCode>
                <c:ptCount val="15"/>
                <c:pt idx="0">
                  <c:v>141075</c:v>
                </c:pt>
                <c:pt idx="1">
                  <c:v>202275</c:v>
                </c:pt>
                <c:pt idx="2">
                  <c:v>164750</c:v>
                </c:pt>
                <c:pt idx="3">
                  <c:v>229275</c:v>
                </c:pt>
                <c:pt idx="4">
                  <c:v>-6350</c:v>
                </c:pt>
                <c:pt idx="5">
                  <c:v>199125</c:v>
                </c:pt>
                <c:pt idx="6">
                  <c:v>268975</c:v>
                </c:pt>
                <c:pt idx="7">
                  <c:v>173517.45</c:v>
                </c:pt>
                <c:pt idx="8">
                  <c:v>189714.56</c:v>
                </c:pt>
                <c:pt idx="9">
                  <c:v>123800</c:v>
                </c:pt>
                <c:pt idx="10">
                  <c:v>119792.5</c:v>
                </c:pt>
                <c:pt idx="11">
                  <c:v>142588.33000000002</c:v>
                </c:pt>
                <c:pt idx="12">
                  <c:v>162885.64000000001</c:v>
                </c:pt>
                <c:pt idx="13">
                  <c:v>113950</c:v>
                </c:pt>
                <c:pt idx="14">
                  <c:v>182287.5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F-42BE-82D1-2D8D7D9BFB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Financial!$H$2:$H$16</c:f>
              <c:numCache>
                <c:formatCode>"$"#,##0.00_);\("$"#,##0.00\)</c:formatCode>
                <c:ptCount val="15"/>
                <c:pt idx="0">
                  <c:v>313289.57999999996</c:v>
                </c:pt>
                <c:pt idx="1">
                  <c:v>170968.01</c:v>
                </c:pt>
                <c:pt idx="2">
                  <c:v>405376.31000000006</c:v>
                </c:pt>
                <c:pt idx="3">
                  <c:v>379121.05000000005</c:v>
                </c:pt>
                <c:pt idx="4">
                  <c:v>336876.09</c:v>
                </c:pt>
                <c:pt idx="5">
                  <c:v>128882.98999999999</c:v>
                </c:pt>
                <c:pt idx="6">
                  <c:v>312466.21000000002</c:v>
                </c:pt>
                <c:pt idx="7">
                  <c:v>271462.75</c:v>
                </c:pt>
                <c:pt idx="8">
                  <c:v>220659.54000000004</c:v>
                </c:pt>
                <c:pt idx="9">
                  <c:v>317406.37</c:v>
                </c:pt>
                <c:pt idx="10">
                  <c:v>279611.46000000002</c:v>
                </c:pt>
                <c:pt idx="11">
                  <c:v>140654.54</c:v>
                </c:pt>
                <c:pt idx="12">
                  <c:v>190831.25000000003</c:v>
                </c:pt>
                <c:pt idx="13">
                  <c:v>366209.15000000008</c:v>
                </c:pt>
                <c:pt idx="14">
                  <c:v>421707.76000000007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F-42BE-82D1-2D8D7D9BFB3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Financial!$I$2:$I$16</c:f>
              <c:numCache>
                <c:formatCode>"$"#,##0.00_);\("$"#,##0.00\)</c:formatCode>
                <c:ptCount val="15"/>
                <c:pt idx="0">
                  <c:v>738258.47000000009</c:v>
                </c:pt>
                <c:pt idx="1">
                  <c:v>444778.15</c:v>
                </c:pt>
                <c:pt idx="2">
                  <c:v>479350.74</c:v>
                </c:pt>
                <c:pt idx="3">
                  <c:v>565625.53</c:v>
                </c:pt>
                <c:pt idx="4">
                  <c:v>640764.23</c:v>
                </c:pt>
                <c:pt idx="5">
                  <c:v>625652.42999999993</c:v>
                </c:pt>
                <c:pt idx="6">
                  <c:v>756367.34</c:v>
                </c:pt>
                <c:pt idx="7">
                  <c:v>581978.87999999989</c:v>
                </c:pt>
                <c:pt idx="8">
                  <c:v>773750.97</c:v>
                </c:pt>
                <c:pt idx="9">
                  <c:v>704623.92</c:v>
                </c:pt>
                <c:pt idx="10">
                  <c:v>660804.91</c:v>
                </c:pt>
                <c:pt idx="11">
                  <c:v>435351.4</c:v>
                </c:pt>
                <c:pt idx="12">
                  <c:v>663376.3899999999</c:v>
                </c:pt>
                <c:pt idx="13">
                  <c:v>682561.33</c:v>
                </c:pt>
                <c:pt idx="14">
                  <c:v>670490.00000000012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F-42BE-82D1-2D8D7D9BFB3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Financial!$J$2:$J$16</c:f>
              <c:numCache>
                <c:formatCode>"$"#,##0.00_);\("$"#,##0.00\)</c:formatCode>
                <c:ptCount val="15"/>
                <c:pt idx="0">
                  <c:v>442805.38</c:v>
                </c:pt>
                <c:pt idx="1">
                  <c:v>330559.98000000004</c:v>
                </c:pt>
                <c:pt idx="2">
                  <c:v>397739.85000000003</c:v>
                </c:pt>
                <c:pt idx="3">
                  <c:v>328276.96000000002</c:v>
                </c:pt>
                <c:pt idx="4">
                  <c:v>466291.76</c:v>
                </c:pt>
                <c:pt idx="5">
                  <c:v>456153.37999999995</c:v>
                </c:pt>
                <c:pt idx="6">
                  <c:v>473541.35</c:v>
                </c:pt>
                <c:pt idx="7">
                  <c:v>419979.57</c:v>
                </c:pt>
                <c:pt idx="8">
                  <c:v>389325.79000000004</c:v>
                </c:pt>
                <c:pt idx="9">
                  <c:v>460407.82999999996</c:v>
                </c:pt>
                <c:pt idx="10">
                  <c:v>419037.03</c:v>
                </c:pt>
                <c:pt idx="11">
                  <c:v>357619.18999999994</c:v>
                </c:pt>
                <c:pt idx="12">
                  <c:v>344137.94</c:v>
                </c:pt>
                <c:pt idx="13">
                  <c:v>471971.73</c:v>
                </c:pt>
                <c:pt idx="14">
                  <c:v>444615.78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F-42BE-82D1-2D8D7D9BFB3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Financial!$K$2:$K$16</c:f>
              <c:numCache>
                <c:formatCode>"$"#,##0.00_);\("$"#,##0.00\)</c:formatCode>
                <c:ptCount val="15"/>
                <c:pt idx="0">
                  <c:v>1507234</c:v>
                </c:pt>
                <c:pt idx="1">
                  <c:v>2293328</c:v>
                </c:pt>
                <c:pt idx="2">
                  <c:v>2400392</c:v>
                </c:pt>
                <c:pt idx="3">
                  <c:v>2082858</c:v>
                </c:pt>
                <c:pt idx="4">
                  <c:v>2123280</c:v>
                </c:pt>
                <c:pt idx="5">
                  <c:v>2283027.77</c:v>
                </c:pt>
                <c:pt idx="6">
                  <c:v>2064245</c:v>
                </c:pt>
                <c:pt idx="7">
                  <c:v>2182140</c:v>
                </c:pt>
                <c:pt idx="8">
                  <c:v>1661710</c:v>
                </c:pt>
                <c:pt idx="9">
                  <c:v>2310590</c:v>
                </c:pt>
                <c:pt idx="10">
                  <c:v>2494165</c:v>
                </c:pt>
                <c:pt idx="11">
                  <c:v>2120739</c:v>
                </c:pt>
                <c:pt idx="12">
                  <c:v>2193228</c:v>
                </c:pt>
                <c:pt idx="13">
                  <c:v>2973130.06</c:v>
                </c:pt>
                <c:pt idx="14">
                  <c:v>2912416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F-42BE-82D1-2D8D7D9BFB3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Financial!$L$2:$L$16</c:f>
              <c:numCache>
                <c:formatCode>"$"#,##0.00_);\("$"#,##0.00\)</c:formatCode>
                <c:ptCount val="15"/>
                <c:pt idx="0">
                  <c:v>1608447.29</c:v>
                </c:pt>
                <c:pt idx="1">
                  <c:v>1513458.79</c:v>
                </c:pt>
                <c:pt idx="2">
                  <c:v>543594.59</c:v>
                </c:pt>
                <c:pt idx="3">
                  <c:v>886790.57000000007</c:v>
                </c:pt>
                <c:pt idx="4">
                  <c:v>1453796.86</c:v>
                </c:pt>
                <c:pt idx="5">
                  <c:v>1215253.57</c:v>
                </c:pt>
                <c:pt idx="6">
                  <c:v>1386335.8199999998</c:v>
                </c:pt>
                <c:pt idx="7">
                  <c:v>1072002.9200000002</c:v>
                </c:pt>
                <c:pt idx="8">
                  <c:v>1340265.22</c:v>
                </c:pt>
                <c:pt idx="9">
                  <c:v>1223855.1499999999</c:v>
                </c:pt>
                <c:pt idx="10">
                  <c:v>1045332.21</c:v>
                </c:pt>
                <c:pt idx="11">
                  <c:v>1175785.27</c:v>
                </c:pt>
                <c:pt idx="12">
                  <c:v>1182861.7</c:v>
                </c:pt>
                <c:pt idx="13">
                  <c:v>1517286.99</c:v>
                </c:pt>
                <c:pt idx="14">
                  <c:v>1392580.0799999998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F-42BE-82D1-2D8D7D9BFB3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Financial!$M$2:$M$16</c:f>
              <c:numCache>
                <c:formatCode>"$"#,##0.00_);\("$"#,##0.00\)</c:formatCode>
                <c:ptCount val="15"/>
                <c:pt idx="0">
                  <c:v>112865</c:v>
                </c:pt>
                <c:pt idx="1">
                  <c:v>41475</c:v>
                </c:pt>
                <c:pt idx="2">
                  <c:v>67045</c:v>
                </c:pt>
                <c:pt idx="3">
                  <c:v>53002</c:v>
                </c:pt>
                <c:pt idx="4">
                  <c:v>93255</c:v>
                </c:pt>
                <c:pt idx="5">
                  <c:v>66720</c:v>
                </c:pt>
                <c:pt idx="6">
                  <c:v>100740</c:v>
                </c:pt>
                <c:pt idx="7">
                  <c:v>64340</c:v>
                </c:pt>
                <c:pt idx="8">
                  <c:v>64140</c:v>
                </c:pt>
                <c:pt idx="9">
                  <c:v>65094</c:v>
                </c:pt>
                <c:pt idx="10">
                  <c:v>59696</c:v>
                </c:pt>
                <c:pt idx="11">
                  <c:v>65057</c:v>
                </c:pt>
                <c:pt idx="12">
                  <c:v>56474</c:v>
                </c:pt>
                <c:pt idx="13">
                  <c:v>82564</c:v>
                </c:pt>
                <c:pt idx="14">
                  <c:v>77926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F-42BE-82D1-2D8D7D9BFB3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Financial!$N$2:$N$16</c:f>
              <c:numCache>
                <c:formatCode>"$"#,##0.00_);\("$"#,##0.00\)</c:formatCode>
                <c:ptCount val="15"/>
                <c:pt idx="0">
                  <c:v>42318.58</c:v>
                </c:pt>
                <c:pt idx="1">
                  <c:v>21318.92</c:v>
                </c:pt>
                <c:pt idx="2">
                  <c:v>32600</c:v>
                </c:pt>
                <c:pt idx="3">
                  <c:v>26619.16</c:v>
                </c:pt>
                <c:pt idx="4">
                  <c:v>22316.46</c:v>
                </c:pt>
                <c:pt idx="5">
                  <c:v>299569.96000000002</c:v>
                </c:pt>
                <c:pt idx="6">
                  <c:v>33981</c:v>
                </c:pt>
                <c:pt idx="7">
                  <c:v>48404.5</c:v>
                </c:pt>
                <c:pt idx="8">
                  <c:v>27895</c:v>
                </c:pt>
                <c:pt idx="9">
                  <c:v>35665.5</c:v>
                </c:pt>
                <c:pt idx="10">
                  <c:v>251155.5</c:v>
                </c:pt>
                <c:pt idx="11">
                  <c:v>82096</c:v>
                </c:pt>
                <c:pt idx="12">
                  <c:v>15563</c:v>
                </c:pt>
                <c:pt idx="13">
                  <c:v>321390</c:v>
                </c:pt>
                <c:pt idx="14">
                  <c:v>172375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9F-42BE-82D1-2D8D7D9BFB3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Financial!$O$2:$O$16</c:f>
              <c:numCache>
                <c:formatCode>"$"#,##0.00_);\("$"#,##0.00\)</c:formatCode>
                <c:ptCount val="15"/>
                <c:pt idx="0">
                  <c:v>7100</c:v>
                </c:pt>
                <c:pt idx="1">
                  <c:v>5480.66</c:v>
                </c:pt>
                <c:pt idx="2">
                  <c:v>2593.91</c:v>
                </c:pt>
                <c:pt idx="3">
                  <c:v>3560</c:v>
                </c:pt>
                <c:pt idx="4">
                  <c:v>3665</c:v>
                </c:pt>
                <c:pt idx="5">
                  <c:v>14460</c:v>
                </c:pt>
                <c:pt idx="6">
                  <c:v>20512.5</c:v>
                </c:pt>
                <c:pt idx="7">
                  <c:v>16528</c:v>
                </c:pt>
                <c:pt idx="8">
                  <c:v>11110</c:v>
                </c:pt>
                <c:pt idx="9">
                  <c:v>14829</c:v>
                </c:pt>
                <c:pt idx="10">
                  <c:v>17816.5</c:v>
                </c:pt>
                <c:pt idx="11">
                  <c:v>21428.5</c:v>
                </c:pt>
                <c:pt idx="12">
                  <c:v>16745</c:v>
                </c:pt>
                <c:pt idx="13">
                  <c:v>15307.5</c:v>
                </c:pt>
                <c:pt idx="14">
                  <c:v>14952.5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9F-42BE-82D1-2D8D7D9BFB3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Financial!$P$2:$P$16</c:f>
              <c:numCache>
                <c:formatCode>"$"#,##0.00_);\("$"#,##0.00\)</c:formatCode>
                <c:ptCount val="15"/>
                <c:pt idx="0">
                  <c:v>16302.65</c:v>
                </c:pt>
                <c:pt idx="1">
                  <c:v>40280</c:v>
                </c:pt>
                <c:pt idx="2">
                  <c:v>40780</c:v>
                </c:pt>
                <c:pt idx="3">
                  <c:v>42750</c:v>
                </c:pt>
                <c:pt idx="4">
                  <c:v>47220</c:v>
                </c:pt>
                <c:pt idx="5">
                  <c:v>39100</c:v>
                </c:pt>
                <c:pt idx="6">
                  <c:v>48617.75</c:v>
                </c:pt>
                <c:pt idx="7">
                  <c:v>51912.75</c:v>
                </c:pt>
                <c:pt idx="8">
                  <c:v>49734.86</c:v>
                </c:pt>
                <c:pt idx="9">
                  <c:v>50312.75</c:v>
                </c:pt>
                <c:pt idx="10">
                  <c:v>42797.4</c:v>
                </c:pt>
                <c:pt idx="11">
                  <c:v>79236.67</c:v>
                </c:pt>
                <c:pt idx="12">
                  <c:v>43840.25</c:v>
                </c:pt>
                <c:pt idx="13">
                  <c:v>43635</c:v>
                </c:pt>
                <c:pt idx="14">
                  <c:v>43445.25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9F-42BE-82D1-2D8D7D9B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619311"/>
        <c:axId val="1245656271"/>
      </c:barChart>
      <c:catAx>
        <c:axId val="124561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56271"/>
        <c:crosses val="autoZero"/>
        <c:auto val="1"/>
        <c:lblAlgn val="ctr"/>
        <c:lblOffset val="100"/>
        <c:noMultiLvlLbl val="0"/>
      </c:catAx>
      <c:valAx>
        <c:axId val="12456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1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Financial!$C$1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Financial!$A$2:$B$16</c:f>
              <c:multiLvlStrCache>
                <c:ptCount val="1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</c:lvl>
              </c:multiLvlStrCache>
            </c:multiLvlStrRef>
          </c:cat>
          <c:val>
            <c:numRef>
              <c:f>Financial!$C$2:$C$16</c:f>
              <c:numCache>
                <c:formatCode>0.00%</c:formatCode>
                <c:ptCount val="15"/>
                <c:pt idx="0">
                  <c:v>0.44051299814714956</c:v>
                </c:pt>
                <c:pt idx="1">
                  <c:v>0.3448160464302748</c:v>
                </c:pt>
                <c:pt idx="2">
                  <c:v>0.5011188956022673</c:v>
                </c:pt>
                <c:pt idx="3">
                  <c:v>0.38750510503633057</c:v>
                </c:pt>
                <c:pt idx="4">
                  <c:v>0.45233973809029959</c:v>
                </c:pt>
                <c:pt idx="5">
                  <c:v>0.4247823539640439</c:v>
                </c:pt>
                <c:pt idx="6">
                  <c:v>0.47716679580186261</c:v>
                </c:pt>
                <c:pt idx="7">
                  <c:v>0.37537512769918796</c:v>
                </c:pt>
                <c:pt idx="8">
                  <c:v>0.35030889967895334</c:v>
                </c:pt>
                <c:pt idx="9">
                  <c:v>0.31722277255905101</c:v>
                </c:pt>
                <c:pt idx="10">
                  <c:v>0.24805254572948821</c:v>
                </c:pt>
                <c:pt idx="11">
                  <c:v>0.38960964777355789</c:v>
                </c:pt>
                <c:pt idx="12">
                  <c:v>0.44547798243497427</c:v>
                </c:pt>
                <c:pt idx="13">
                  <c:v>0.23996727132112741</c:v>
                </c:pt>
                <c:pt idx="14">
                  <c:v>0.36933732883412262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2-4ACB-813A-B89C6A76F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084191"/>
        <c:axId val="1497063551"/>
      </c:barChart>
      <c:catAx>
        <c:axId val="14970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63551"/>
        <c:crosses val="autoZero"/>
        <c:auto val="1"/>
        <c:lblAlgn val="ctr"/>
        <c:lblOffset val="100"/>
        <c:noMultiLvlLbl val="0"/>
      </c:catAx>
      <c:valAx>
        <c:axId val="14970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8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18</xdr:row>
      <xdr:rowOff>61912</xdr:rowOff>
    </xdr:from>
    <xdr:to>
      <xdr:col>6</xdr:col>
      <xdr:colOff>1485900</xdr:colOff>
      <xdr:row>32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6EA05-EF47-CA40-F176-1A2913E4F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723900</xdr:colOff>
      <xdr:row>18</xdr:row>
      <xdr:rowOff>119062</xdr:rowOff>
    </xdr:from>
    <xdr:to>
      <xdr:col>10</xdr:col>
      <xdr:colOff>66675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9442F-F491-9FC0-768F-917C1A3C8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17</xdr:row>
      <xdr:rowOff>157162</xdr:rowOff>
    </xdr:from>
    <xdr:to>
      <xdr:col>12</xdr:col>
      <xdr:colOff>1666875</xdr:colOff>
      <xdr:row>31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21AFC8-FE31-FF33-D6C0-AF6CBC52E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B8C7-6F1B-46F7-8AA2-FB3DFFF6299D}">
  <dimension ref="A1:S31"/>
  <sheetViews>
    <sheetView tabSelected="1" workbookViewId="0">
      <selection sqref="A1:C1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10.28515625" customWidth="1"/>
    <col min="4" max="4" width="13.5703125" bestFit="1" customWidth="1"/>
    <col min="5" max="5" width="15.42578125" bestFit="1" customWidth="1"/>
    <col min="6" max="6" width="14.85546875" bestFit="1" customWidth="1"/>
    <col min="7" max="17" width="26.140625" bestFit="1" customWidth="1"/>
  </cols>
  <sheetData>
    <row r="1" spans="1:19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5" t="s">
        <v>17</v>
      </c>
      <c r="H1" s="5" t="s">
        <v>22</v>
      </c>
      <c r="I1" s="5" t="s">
        <v>18</v>
      </c>
      <c r="J1" s="5" t="s">
        <v>23</v>
      </c>
      <c r="K1" s="5" t="s">
        <v>24</v>
      </c>
      <c r="L1" s="5" t="s">
        <v>19</v>
      </c>
      <c r="M1" s="5" t="s">
        <v>25</v>
      </c>
      <c r="N1" s="5" t="s">
        <v>20</v>
      </c>
      <c r="O1" s="5" t="s">
        <v>21</v>
      </c>
      <c r="P1" s="5" t="s">
        <v>26</v>
      </c>
      <c r="Q1" s="1"/>
      <c r="R1" s="1"/>
      <c r="S1" s="1"/>
    </row>
    <row r="2" spans="1:19" x14ac:dyDescent="0.25">
      <c r="A2">
        <v>2024</v>
      </c>
      <c r="B2" t="s">
        <v>5</v>
      </c>
      <c r="C2" s="12">
        <f>D2/(E2+F2)</f>
        <v>0.44051299814714956</v>
      </c>
      <c r="D2" s="3">
        <f>(E2+F2)-SUM(G2:P2)</f>
        <v>3881404.0999999996</v>
      </c>
      <c r="E2" s="4">
        <v>1502700.05</v>
      </c>
      <c r="F2" s="4">
        <v>7308400</v>
      </c>
      <c r="G2" s="4">
        <v>141075</v>
      </c>
      <c r="H2" s="4">
        <v>313289.57999999996</v>
      </c>
      <c r="I2" s="4">
        <v>738258.47000000009</v>
      </c>
      <c r="J2" s="4">
        <v>442805.38</v>
      </c>
      <c r="K2" s="4">
        <v>1507234</v>
      </c>
      <c r="L2" s="4">
        <v>1608447.29</v>
      </c>
      <c r="M2" s="4">
        <v>112865</v>
      </c>
      <c r="N2" s="4">
        <v>42318.58</v>
      </c>
      <c r="O2" s="4">
        <v>7100</v>
      </c>
      <c r="P2" s="4">
        <v>16302.65</v>
      </c>
    </row>
    <row r="3" spans="1:19" x14ac:dyDescent="0.25">
      <c r="A3">
        <v>2024</v>
      </c>
      <c r="B3" t="s">
        <v>6</v>
      </c>
      <c r="C3" s="12">
        <f t="shared" ref="C3:C16" si="0">D3/(E3+F3)</f>
        <v>0.3448160464302748</v>
      </c>
      <c r="D3" s="3">
        <f t="shared" ref="D3:D16" si="1">(E3+F3)-SUM(G3:P3)</f>
        <v>2665086.2400000002</v>
      </c>
      <c r="E3" s="4">
        <v>1501308.75</v>
      </c>
      <c r="F3" s="4">
        <v>6227700</v>
      </c>
      <c r="G3" s="4">
        <v>202275</v>
      </c>
      <c r="H3" s="4">
        <v>170968.01</v>
      </c>
      <c r="I3" s="4">
        <v>444778.15</v>
      </c>
      <c r="J3" s="4">
        <v>330559.98000000004</v>
      </c>
      <c r="K3" s="4">
        <v>2293328</v>
      </c>
      <c r="L3" s="4">
        <v>1513458.79</v>
      </c>
      <c r="M3" s="4">
        <v>41475</v>
      </c>
      <c r="N3" s="4">
        <v>21318.92</v>
      </c>
      <c r="O3" s="4">
        <v>5480.66</v>
      </c>
      <c r="P3" s="4">
        <v>40280</v>
      </c>
    </row>
    <row r="4" spans="1:19" x14ac:dyDescent="0.25">
      <c r="A4">
        <v>2024</v>
      </c>
      <c r="B4" t="s">
        <v>7</v>
      </c>
      <c r="C4" s="12">
        <f t="shared" si="0"/>
        <v>0.5011188956022673</v>
      </c>
      <c r="D4" s="3">
        <f t="shared" si="1"/>
        <v>4554561.1999999993</v>
      </c>
      <c r="E4" s="4">
        <v>1713183.6</v>
      </c>
      <c r="F4" s="4">
        <v>7375600</v>
      </c>
      <c r="G4" s="4">
        <v>164750</v>
      </c>
      <c r="H4" s="4">
        <v>405376.31000000006</v>
      </c>
      <c r="I4" s="4">
        <v>479350.74</v>
      </c>
      <c r="J4" s="4">
        <v>397739.85000000003</v>
      </c>
      <c r="K4" s="4">
        <v>2400392</v>
      </c>
      <c r="L4" s="4">
        <v>543594.59</v>
      </c>
      <c r="M4" s="4">
        <v>67045</v>
      </c>
      <c r="N4" s="4">
        <v>32600</v>
      </c>
      <c r="O4" s="4">
        <v>2593.91</v>
      </c>
      <c r="P4" s="4">
        <v>40780</v>
      </c>
    </row>
    <row r="5" spans="1:19" x14ac:dyDescent="0.25">
      <c r="A5">
        <v>2024</v>
      </c>
      <c r="B5" t="s">
        <v>8</v>
      </c>
      <c r="C5" s="12">
        <f t="shared" si="0"/>
        <v>0.38750510503633057</v>
      </c>
      <c r="D5" s="3">
        <f t="shared" si="1"/>
        <v>2908924.3299999991</v>
      </c>
      <c r="E5" s="4">
        <v>1710402.6</v>
      </c>
      <c r="F5" s="4">
        <v>5796400</v>
      </c>
      <c r="G5" s="4">
        <v>229275</v>
      </c>
      <c r="H5" s="4">
        <v>379121.05000000005</v>
      </c>
      <c r="I5" s="4">
        <v>565625.53</v>
      </c>
      <c r="J5" s="4">
        <v>328276.96000000002</v>
      </c>
      <c r="K5" s="4">
        <v>2082858</v>
      </c>
      <c r="L5" s="4">
        <v>886790.57000000007</v>
      </c>
      <c r="M5" s="4">
        <v>53002</v>
      </c>
      <c r="N5" s="4">
        <v>26619.16</v>
      </c>
      <c r="O5" s="4">
        <v>3560</v>
      </c>
      <c r="P5" s="4">
        <v>42750</v>
      </c>
    </row>
    <row r="6" spans="1:19" x14ac:dyDescent="0.25">
      <c r="A6">
        <v>2024</v>
      </c>
      <c r="B6" t="s">
        <v>9</v>
      </c>
      <c r="C6" s="12">
        <f t="shared" si="0"/>
        <v>0.45233973809029959</v>
      </c>
      <c r="D6" s="3">
        <f t="shared" si="1"/>
        <v>4279339.8499999996</v>
      </c>
      <c r="E6" s="4">
        <v>1430755.25</v>
      </c>
      <c r="F6" s="4">
        <v>8029700</v>
      </c>
      <c r="G6" s="4">
        <v>-6350</v>
      </c>
      <c r="H6" s="4">
        <v>336876.09</v>
      </c>
      <c r="I6" s="4">
        <v>640764.23</v>
      </c>
      <c r="J6" s="4">
        <v>466291.76</v>
      </c>
      <c r="K6" s="4">
        <v>2123280</v>
      </c>
      <c r="L6" s="4">
        <v>1453796.86</v>
      </c>
      <c r="M6" s="4">
        <v>93255</v>
      </c>
      <c r="N6" s="4">
        <v>22316.46</v>
      </c>
      <c r="O6" s="4">
        <v>3665</v>
      </c>
      <c r="P6" s="4">
        <v>47220</v>
      </c>
    </row>
    <row r="7" spans="1:19" x14ac:dyDescent="0.25">
      <c r="A7">
        <v>2024</v>
      </c>
      <c r="B7" t="s">
        <v>10</v>
      </c>
      <c r="C7" s="12">
        <f t="shared" si="0"/>
        <v>0.4247823539640439</v>
      </c>
      <c r="D7" s="3">
        <f t="shared" si="1"/>
        <v>3934540.3900000006</v>
      </c>
      <c r="E7" s="4">
        <v>1495185.49</v>
      </c>
      <c r="F7" s="4">
        <v>7767300</v>
      </c>
      <c r="G7" s="4">
        <v>199125</v>
      </c>
      <c r="H7" s="4">
        <v>128882.98999999999</v>
      </c>
      <c r="I7" s="4">
        <v>625652.42999999993</v>
      </c>
      <c r="J7" s="4">
        <v>456153.37999999995</v>
      </c>
      <c r="K7" s="4">
        <v>2283027.77</v>
      </c>
      <c r="L7" s="4">
        <v>1215253.57</v>
      </c>
      <c r="M7" s="4">
        <v>66720</v>
      </c>
      <c r="N7" s="4">
        <v>299569.96000000002</v>
      </c>
      <c r="O7" s="4">
        <v>14460</v>
      </c>
      <c r="P7" s="4">
        <v>39100</v>
      </c>
    </row>
    <row r="8" spans="1:19" x14ac:dyDescent="0.25">
      <c r="A8">
        <v>2024</v>
      </c>
      <c r="B8" t="s">
        <v>11</v>
      </c>
      <c r="C8" s="12">
        <f t="shared" si="0"/>
        <v>0.47716679580186261</v>
      </c>
      <c r="D8" s="3">
        <f t="shared" si="1"/>
        <v>4988378.03</v>
      </c>
      <c r="E8" s="4">
        <v>1563760</v>
      </c>
      <c r="F8" s="4">
        <v>8890400</v>
      </c>
      <c r="G8" s="4">
        <v>268975</v>
      </c>
      <c r="H8" s="4">
        <v>312466.21000000002</v>
      </c>
      <c r="I8" s="4">
        <v>756367.34</v>
      </c>
      <c r="J8" s="4">
        <v>473541.35</v>
      </c>
      <c r="K8" s="4">
        <v>2064245</v>
      </c>
      <c r="L8" s="4">
        <v>1386335.8199999998</v>
      </c>
      <c r="M8" s="4">
        <v>100740</v>
      </c>
      <c r="N8" s="4">
        <v>33981</v>
      </c>
      <c r="O8" s="4">
        <v>20512.5</v>
      </c>
      <c r="P8" s="4">
        <v>48617.75</v>
      </c>
    </row>
    <row r="9" spans="1:19" x14ac:dyDescent="0.25">
      <c r="A9">
        <v>2024</v>
      </c>
      <c r="B9" t="s">
        <v>12</v>
      </c>
      <c r="C9" s="12">
        <f t="shared" si="0"/>
        <v>0.37537512769918796</v>
      </c>
      <c r="D9" s="3">
        <f t="shared" si="1"/>
        <v>2934051.4799999995</v>
      </c>
      <c r="E9" s="4">
        <v>1357218.3</v>
      </c>
      <c r="F9" s="4">
        <v>6459100</v>
      </c>
      <c r="G9" s="4">
        <v>173517.45</v>
      </c>
      <c r="H9" s="4">
        <v>271462.75</v>
      </c>
      <c r="I9" s="4">
        <v>581978.87999999989</v>
      </c>
      <c r="J9" s="4">
        <v>419979.57</v>
      </c>
      <c r="K9" s="4">
        <v>2182140</v>
      </c>
      <c r="L9" s="4">
        <v>1072002.9200000002</v>
      </c>
      <c r="M9" s="4">
        <v>64340</v>
      </c>
      <c r="N9" s="4">
        <v>48404.5</v>
      </c>
      <c r="O9" s="4">
        <v>16528</v>
      </c>
      <c r="P9" s="4">
        <v>51912.75</v>
      </c>
    </row>
    <row r="10" spans="1:19" x14ac:dyDescent="0.25">
      <c r="A10">
        <v>2024</v>
      </c>
      <c r="B10" t="s">
        <v>13</v>
      </c>
      <c r="C10" s="12">
        <f t="shared" si="0"/>
        <v>0.35030889967895334</v>
      </c>
      <c r="D10" s="3">
        <f t="shared" si="1"/>
        <v>2549469.5099999998</v>
      </c>
      <c r="E10" s="4">
        <v>1225575.45</v>
      </c>
      <c r="F10" s="4">
        <v>6052200</v>
      </c>
      <c r="G10" s="4">
        <v>189714.56</v>
      </c>
      <c r="H10" s="4">
        <v>220659.54000000004</v>
      </c>
      <c r="I10" s="4">
        <v>773750.97</v>
      </c>
      <c r="J10" s="4">
        <v>389325.79000000004</v>
      </c>
      <c r="K10" s="4">
        <v>1661710</v>
      </c>
      <c r="L10" s="4">
        <v>1340265.22</v>
      </c>
      <c r="M10" s="4">
        <v>64140</v>
      </c>
      <c r="N10" s="4">
        <v>27895</v>
      </c>
      <c r="O10" s="4">
        <v>11110</v>
      </c>
      <c r="P10" s="4">
        <v>49734.86</v>
      </c>
    </row>
    <row r="11" spans="1:19" x14ac:dyDescent="0.25">
      <c r="A11">
        <v>2024</v>
      </c>
      <c r="B11" t="s">
        <v>14</v>
      </c>
      <c r="C11" s="12">
        <f t="shared" si="0"/>
        <v>0.31722277255905101</v>
      </c>
      <c r="D11" s="3">
        <f t="shared" si="1"/>
        <v>2465473.9300000006</v>
      </c>
      <c r="E11" s="4">
        <v>1583492.08</v>
      </c>
      <c r="F11" s="4">
        <v>6188566.3700000001</v>
      </c>
      <c r="G11" s="4">
        <v>123800</v>
      </c>
      <c r="H11" s="4">
        <v>317406.37</v>
      </c>
      <c r="I11" s="4">
        <v>704623.92</v>
      </c>
      <c r="J11" s="4">
        <v>460407.82999999996</v>
      </c>
      <c r="K11" s="4">
        <v>2310590</v>
      </c>
      <c r="L11" s="4">
        <v>1223855.1499999999</v>
      </c>
      <c r="M11" s="4">
        <v>65094</v>
      </c>
      <c r="N11" s="4">
        <v>35665.5</v>
      </c>
      <c r="O11" s="4">
        <v>14829</v>
      </c>
      <c r="P11" s="4">
        <v>50312.75</v>
      </c>
    </row>
    <row r="12" spans="1:19" x14ac:dyDescent="0.25">
      <c r="A12">
        <v>2024</v>
      </c>
      <c r="B12" t="s">
        <v>15</v>
      </c>
      <c r="C12" s="12">
        <f t="shared" si="0"/>
        <v>0.24805254572948821</v>
      </c>
      <c r="D12" s="3">
        <f t="shared" si="1"/>
        <v>1778122.8399999989</v>
      </c>
      <c r="E12" s="4">
        <v>1399567.35</v>
      </c>
      <c r="F12" s="4">
        <v>5768764</v>
      </c>
      <c r="G12" s="4">
        <v>119792.5</v>
      </c>
      <c r="H12" s="4">
        <v>279611.46000000002</v>
      </c>
      <c r="I12" s="4">
        <v>660804.91</v>
      </c>
      <c r="J12" s="4">
        <v>419037.03</v>
      </c>
      <c r="K12" s="4">
        <v>2494165</v>
      </c>
      <c r="L12" s="4">
        <v>1045332.21</v>
      </c>
      <c r="M12" s="4">
        <v>59696</v>
      </c>
      <c r="N12" s="4">
        <v>251155.5</v>
      </c>
      <c r="O12" s="4">
        <v>17816.5</v>
      </c>
      <c r="P12" s="4">
        <v>42797.4</v>
      </c>
    </row>
    <row r="13" spans="1:19" x14ac:dyDescent="0.25">
      <c r="A13">
        <v>2024</v>
      </c>
      <c r="B13" t="s">
        <v>16</v>
      </c>
      <c r="C13" s="12">
        <f t="shared" si="0"/>
        <v>0.38960964777355789</v>
      </c>
      <c r="D13" s="3">
        <f t="shared" si="1"/>
        <v>2949281.8</v>
      </c>
      <c r="E13" s="4">
        <v>1627237.7</v>
      </c>
      <c r="F13" s="4">
        <v>5942600</v>
      </c>
      <c r="G13" s="4">
        <v>142588.33000000002</v>
      </c>
      <c r="H13" s="4">
        <v>140654.54</v>
      </c>
      <c r="I13" s="4">
        <v>435351.4</v>
      </c>
      <c r="J13" s="4">
        <v>357619.18999999994</v>
      </c>
      <c r="K13" s="4">
        <v>2120739</v>
      </c>
      <c r="L13" s="4">
        <v>1175785.27</v>
      </c>
      <c r="M13" s="4">
        <v>65057</v>
      </c>
      <c r="N13" s="4">
        <v>82096</v>
      </c>
      <c r="O13" s="4">
        <v>21428.5</v>
      </c>
      <c r="P13" s="4">
        <v>79236.67</v>
      </c>
    </row>
    <row r="14" spans="1:19" x14ac:dyDescent="0.25">
      <c r="A14">
        <v>2025</v>
      </c>
      <c r="B14" t="s">
        <v>5</v>
      </c>
      <c r="C14" s="12">
        <f t="shared" si="0"/>
        <v>0.44547798243497427</v>
      </c>
      <c r="D14" s="3">
        <f t="shared" si="1"/>
        <v>3912292.7300000004</v>
      </c>
      <c r="E14" s="4">
        <v>1759845.9</v>
      </c>
      <c r="F14" s="4">
        <v>7022390</v>
      </c>
      <c r="G14" s="4">
        <v>162885.64000000001</v>
      </c>
      <c r="H14" s="4">
        <v>190831.25000000003</v>
      </c>
      <c r="I14" s="4">
        <v>663376.3899999999</v>
      </c>
      <c r="J14" s="4">
        <v>344137.94</v>
      </c>
      <c r="K14" s="4">
        <v>2193228</v>
      </c>
      <c r="L14" s="4">
        <v>1182861.7</v>
      </c>
      <c r="M14" s="4">
        <v>56474</v>
      </c>
      <c r="N14" s="4">
        <v>15563</v>
      </c>
      <c r="O14" s="4">
        <v>16745</v>
      </c>
      <c r="P14" s="4">
        <v>43840.25</v>
      </c>
    </row>
    <row r="15" spans="1:19" x14ac:dyDescent="0.25">
      <c r="A15">
        <v>2025</v>
      </c>
      <c r="B15" t="s">
        <v>6</v>
      </c>
      <c r="C15" s="12">
        <f t="shared" si="0"/>
        <v>0.23996727132112741</v>
      </c>
      <c r="D15" s="3">
        <f t="shared" si="1"/>
        <v>2080049.5899999999</v>
      </c>
      <c r="E15" s="4">
        <v>1302325.3500000001</v>
      </c>
      <c r="F15" s="4">
        <v>7365730</v>
      </c>
      <c r="G15" s="4">
        <v>113950</v>
      </c>
      <c r="H15" s="4">
        <v>366209.15000000008</v>
      </c>
      <c r="I15" s="4">
        <v>682561.33</v>
      </c>
      <c r="J15" s="4">
        <v>471971.73</v>
      </c>
      <c r="K15" s="4">
        <v>2973130.06</v>
      </c>
      <c r="L15" s="4">
        <v>1517286.99</v>
      </c>
      <c r="M15" s="4">
        <v>82564</v>
      </c>
      <c r="N15" s="4">
        <v>321390</v>
      </c>
      <c r="O15" s="4">
        <v>15307.5</v>
      </c>
      <c r="P15" s="4">
        <v>43635</v>
      </c>
    </row>
    <row r="16" spans="1:19" x14ac:dyDescent="0.25">
      <c r="A16">
        <v>2025</v>
      </c>
      <c r="B16" t="s">
        <v>7</v>
      </c>
      <c r="C16" s="12">
        <f t="shared" si="0"/>
        <v>0.36933732883412262</v>
      </c>
      <c r="D16" s="3">
        <f t="shared" si="1"/>
        <v>3708698.8299999991</v>
      </c>
      <c r="E16" s="4">
        <v>1489754.7</v>
      </c>
      <c r="F16" s="4">
        <v>8551740</v>
      </c>
      <c r="G16" s="4">
        <v>182287.5</v>
      </c>
      <c r="H16" s="4">
        <v>421707.76000000007</v>
      </c>
      <c r="I16" s="4">
        <v>670490.00000000012</v>
      </c>
      <c r="J16" s="4">
        <v>444615.78</v>
      </c>
      <c r="K16" s="4">
        <v>2912416</v>
      </c>
      <c r="L16" s="4">
        <v>1392580.0799999998</v>
      </c>
      <c r="M16" s="4">
        <v>77926</v>
      </c>
      <c r="N16" s="4">
        <v>172375</v>
      </c>
      <c r="O16" s="4">
        <v>14952.5</v>
      </c>
      <c r="P16" s="4">
        <v>43445.25</v>
      </c>
    </row>
    <row r="17" spans="1:16" x14ac:dyDescent="0.25"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22" spans="1:16" ht="15.75" x14ac:dyDescent="0.25">
      <c r="A22" s="2"/>
    </row>
    <row r="23" spans="1:16" ht="15.75" x14ac:dyDescent="0.25">
      <c r="A23" s="2"/>
    </row>
    <row r="24" spans="1:16" ht="15.75" x14ac:dyDescent="0.25">
      <c r="A24" s="2"/>
    </row>
    <row r="25" spans="1:16" ht="15.75" x14ac:dyDescent="0.25">
      <c r="A25" s="2"/>
    </row>
    <row r="26" spans="1:16" ht="15.75" x14ac:dyDescent="0.25">
      <c r="A26" s="2"/>
    </row>
    <row r="27" spans="1:16" ht="15.75" x14ac:dyDescent="0.25">
      <c r="A27" s="2"/>
    </row>
    <row r="28" spans="1:16" ht="15.75" x14ac:dyDescent="0.25">
      <c r="A28" s="2"/>
    </row>
    <row r="29" spans="1:16" ht="15.75" x14ac:dyDescent="0.25">
      <c r="A29" s="2"/>
    </row>
    <row r="30" spans="1:16" ht="15.75" x14ac:dyDescent="0.25">
      <c r="A30" s="2"/>
    </row>
    <row r="31" spans="1:16" ht="15.75" x14ac:dyDescent="0.25">
      <c r="A31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096-0467-4D98-9154-1A93904BC415}">
  <dimension ref="A1:Z16"/>
  <sheetViews>
    <sheetView workbookViewId="0">
      <selection activeCell="N22" sqref="N22"/>
    </sheetView>
  </sheetViews>
  <sheetFormatPr defaultRowHeight="15" x14ac:dyDescent="0.25"/>
  <sheetData>
    <row r="1" spans="1:26" x14ac:dyDescent="0.25">
      <c r="A1" s="7" t="s">
        <v>0</v>
      </c>
      <c r="B1" s="7" t="s">
        <v>1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  <c r="Y1" s="9" t="s">
        <v>49</v>
      </c>
      <c r="Z1" s="9" t="s">
        <v>50</v>
      </c>
    </row>
    <row r="2" spans="1:26" x14ac:dyDescent="0.25">
      <c r="A2" s="10">
        <v>2024</v>
      </c>
      <c r="B2" s="10" t="s">
        <v>5</v>
      </c>
      <c r="C2" s="11">
        <v>37</v>
      </c>
      <c r="D2" s="11">
        <v>20</v>
      </c>
      <c r="E2" s="11">
        <v>65</v>
      </c>
      <c r="F2" s="11">
        <v>4</v>
      </c>
      <c r="G2" s="11">
        <v>17</v>
      </c>
      <c r="H2" s="11">
        <v>31</v>
      </c>
      <c r="I2" s="11">
        <v>4</v>
      </c>
      <c r="J2" s="11">
        <v>68</v>
      </c>
      <c r="K2" s="11">
        <v>96</v>
      </c>
      <c r="L2" s="11">
        <v>29</v>
      </c>
      <c r="M2" s="10">
        <v>13</v>
      </c>
      <c r="N2" s="10">
        <v>6</v>
      </c>
      <c r="O2" s="10">
        <v>203</v>
      </c>
      <c r="P2" s="10">
        <v>140</v>
      </c>
      <c r="Q2" s="10">
        <v>117</v>
      </c>
      <c r="R2" s="10">
        <v>112</v>
      </c>
      <c r="S2" s="10">
        <v>28</v>
      </c>
      <c r="T2" s="10">
        <v>53</v>
      </c>
      <c r="U2" s="10">
        <v>40</v>
      </c>
      <c r="V2" s="10">
        <v>36</v>
      </c>
      <c r="W2" s="10">
        <v>57</v>
      </c>
      <c r="X2" s="10">
        <v>32</v>
      </c>
      <c r="Y2" s="10">
        <v>15</v>
      </c>
      <c r="Z2" s="10">
        <v>23</v>
      </c>
    </row>
    <row r="3" spans="1:26" x14ac:dyDescent="0.25">
      <c r="A3" s="10">
        <v>2024</v>
      </c>
      <c r="B3" s="10" t="s">
        <v>6</v>
      </c>
      <c r="C3" s="11">
        <v>18</v>
      </c>
      <c r="D3" s="11">
        <v>13</v>
      </c>
      <c r="E3" s="11">
        <v>47</v>
      </c>
      <c r="F3" s="11">
        <v>14</v>
      </c>
      <c r="G3" s="11">
        <v>5</v>
      </c>
      <c r="H3" s="11">
        <v>14</v>
      </c>
      <c r="I3" s="11">
        <v>2</v>
      </c>
      <c r="J3" s="11">
        <v>47</v>
      </c>
      <c r="K3" s="11">
        <v>61</v>
      </c>
      <c r="L3" s="11">
        <v>41</v>
      </c>
      <c r="M3" s="10">
        <v>3</v>
      </c>
      <c r="N3" s="10">
        <v>4</v>
      </c>
      <c r="O3" s="10">
        <v>207</v>
      </c>
      <c r="P3" s="10">
        <v>137</v>
      </c>
      <c r="Q3" s="10">
        <v>129</v>
      </c>
      <c r="R3" s="10">
        <v>136</v>
      </c>
      <c r="S3" s="10">
        <v>31</v>
      </c>
      <c r="T3" s="10">
        <v>40</v>
      </c>
      <c r="U3" s="10">
        <v>55</v>
      </c>
      <c r="V3" s="10">
        <v>29</v>
      </c>
      <c r="W3" s="10">
        <v>59</v>
      </c>
      <c r="X3" s="10">
        <v>28</v>
      </c>
      <c r="Y3" s="10">
        <v>14</v>
      </c>
      <c r="Z3" s="10">
        <v>22</v>
      </c>
    </row>
    <row r="4" spans="1:26" x14ac:dyDescent="0.25">
      <c r="A4" s="10">
        <v>2024</v>
      </c>
      <c r="B4" s="10" t="s">
        <v>7</v>
      </c>
      <c r="C4" s="11">
        <v>23</v>
      </c>
      <c r="D4" s="11">
        <v>11</v>
      </c>
      <c r="E4" s="11">
        <v>48</v>
      </c>
      <c r="F4" s="11">
        <v>12</v>
      </c>
      <c r="G4" s="11">
        <v>12</v>
      </c>
      <c r="H4" s="11">
        <v>29</v>
      </c>
      <c r="I4" s="11">
        <v>4</v>
      </c>
      <c r="J4" s="11">
        <v>55</v>
      </c>
      <c r="K4" s="11">
        <v>77</v>
      </c>
      <c r="L4" s="11">
        <v>44</v>
      </c>
      <c r="M4" s="10">
        <v>6</v>
      </c>
      <c r="N4" s="10">
        <v>8</v>
      </c>
      <c r="O4" s="10">
        <v>199</v>
      </c>
      <c r="P4" s="10">
        <v>135</v>
      </c>
      <c r="Q4" s="10">
        <v>115</v>
      </c>
      <c r="R4" s="10">
        <v>134</v>
      </c>
      <c r="S4" s="10">
        <v>24</v>
      </c>
      <c r="T4" s="10">
        <v>35</v>
      </c>
      <c r="U4" s="10">
        <v>38</v>
      </c>
      <c r="V4" s="10">
        <v>37</v>
      </c>
      <c r="W4" s="10">
        <v>59</v>
      </c>
      <c r="X4" s="10">
        <v>28</v>
      </c>
      <c r="Y4" s="10">
        <v>16</v>
      </c>
      <c r="Z4" s="10">
        <v>21</v>
      </c>
    </row>
    <row r="5" spans="1:26" x14ac:dyDescent="0.25">
      <c r="A5" s="10">
        <v>2024</v>
      </c>
      <c r="B5" s="10" t="s">
        <v>8</v>
      </c>
      <c r="C5" s="11">
        <v>21</v>
      </c>
      <c r="D5" s="11">
        <v>6</v>
      </c>
      <c r="E5" s="11">
        <v>22</v>
      </c>
      <c r="F5" s="11">
        <v>10</v>
      </c>
      <c r="G5" s="11">
        <v>15</v>
      </c>
      <c r="H5" s="11">
        <v>35</v>
      </c>
      <c r="I5" s="11">
        <v>7</v>
      </c>
      <c r="J5" s="11">
        <v>34</v>
      </c>
      <c r="K5" s="11">
        <v>57</v>
      </c>
      <c r="L5" s="11">
        <v>40</v>
      </c>
      <c r="M5" s="10">
        <v>7</v>
      </c>
      <c r="N5" s="10">
        <v>8</v>
      </c>
      <c r="O5" s="10">
        <v>211</v>
      </c>
      <c r="P5" s="10">
        <v>140</v>
      </c>
      <c r="Q5" s="10">
        <v>130</v>
      </c>
      <c r="R5" s="10">
        <v>129</v>
      </c>
      <c r="S5" s="10">
        <v>27</v>
      </c>
      <c r="T5" s="10">
        <v>46</v>
      </c>
      <c r="U5" s="10">
        <v>52</v>
      </c>
      <c r="V5" s="10">
        <v>32</v>
      </c>
      <c r="W5" s="10">
        <v>64</v>
      </c>
      <c r="X5" s="10">
        <v>26</v>
      </c>
      <c r="Y5" s="10">
        <v>17</v>
      </c>
      <c r="Z5" s="10">
        <v>20</v>
      </c>
    </row>
    <row r="6" spans="1:26" x14ac:dyDescent="0.25">
      <c r="A6" s="10">
        <v>2024</v>
      </c>
      <c r="B6" s="10" t="s">
        <v>9</v>
      </c>
      <c r="C6" s="11">
        <v>37</v>
      </c>
      <c r="D6" s="11">
        <v>19</v>
      </c>
      <c r="E6" s="11">
        <v>58</v>
      </c>
      <c r="F6" s="11">
        <v>16</v>
      </c>
      <c r="G6" s="11">
        <v>18</v>
      </c>
      <c r="H6" s="11">
        <v>35</v>
      </c>
      <c r="I6" s="11">
        <v>9</v>
      </c>
      <c r="J6" s="11">
        <v>67</v>
      </c>
      <c r="K6" s="11">
        <v>93</v>
      </c>
      <c r="L6" s="11">
        <v>38</v>
      </c>
      <c r="M6" s="10">
        <v>11</v>
      </c>
      <c r="N6" s="10">
        <v>12</v>
      </c>
      <c r="O6" s="10">
        <v>232</v>
      </c>
      <c r="P6" s="10">
        <v>161</v>
      </c>
      <c r="Q6" s="10">
        <v>136</v>
      </c>
      <c r="R6" s="10">
        <v>165</v>
      </c>
      <c r="S6" s="10">
        <v>18</v>
      </c>
      <c r="T6" s="10">
        <v>47</v>
      </c>
      <c r="U6" s="10">
        <v>42</v>
      </c>
      <c r="V6" s="10">
        <v>30</v>
      </c>
      <c r="W6" s="10">
        <v>62</v>
      </c>
      <c r="X6" s="10">
        <v>30</v>
      </c>
      <c r="Y6" s="10">
        <v>38</v>
      </c>
      <c r="Z6" s="10">
        <v>30</v>
      </c>
    </row>
    <row r="7" spans="1:26" x14ac:dyDescent="0.25">
      <c r="A7" s="10">
        <v>2024</v>
      </c>
      <c r="B7" s="10" t="s">
        <v>10</v>
      </c>
      <c r="C7" s="11">
        <v>29</v>
      </c>
      <c r="D7" s="11">
        <v>18</v>
      </c>
      <c r="E7" s="11">
        <v>70</v>
      </c>
      <c r="F7" s="11">
        <v>10</v>
      </c>
      <c r="G7" s="11">
        <v>11</v>
      </c>
      <c r="H7" s="11">
        <v>22</v>
      </c>
      <c r="I7" s="11">
        <v>2</v>
      </c>
      <c r="J7" s="11">
        <v>73</v>
      </c>
      <c r="K7" s="11">
        <v>92</v>
      </c>
      <c r="L7" s="11">
        <v>40</v>
      </c>
      <c r="M7" s="10">
        <v>10</v>
      </c>
      <c r="N7" s="10">
        <v>6</v>
      </c>
      <c r="O7" s="10">
        <v>219</v>
      </c>
      <c r="P7" s="10">
        <v>142</v>
      </c>
      <c r="Q7" s="10">
        <v>135</v>
      </c>
      <c r="R7" s="10">
        <v>147</v>
      </c>
      <c r="S7" s="10">
        <v>28</v>
      </c>
      <c r="T7" s="10">
        <v>47</v>
      </c>
      <c r="U7" s="10">
        <v>41</v>
      </c>
      <c r="V7" s="10">
        <v>38</v>
      </c>
      <c r="W7" s="10">
        <v>59</v>
      </c>
      <c r="X7" s="10">
        <v>25</v>
      </c>
      <c r="Y7" s="10">
        <v>20</v>
      </c>
      <c r="Z7" s="10">
        <v>36</v>
      </c>
    </row>
    <row r="8" spans="1:26" x14ac:dyDescent="0.25">
      <c r="A8" s="10">
        <v>2024</v>
      </c>
      <c r="B8" s="10" t="s">
        <v>11</v>
      </c>
      <c r="C8" s="11">
        <v>33</v>
      </c>
      <c r="D8" s="11">
        <v>24</v>
      </c>
      <c r="E8" s="11">
        <v>94</v>
      </c>
      <c r="F8" s="11">
        <v>14</v>
      </c>
      <c r="G8" s="11">
        <v>9</v>
      </c>
      <c r="H8" s="11">
        <v>15</v>
      </c>
      <c r="I8" s="11">
        <v>2</v>
      </c>
      <c r="J8" s="11">
        <v>92</v>
      </c>
      <c r="K8" s="11">
        <v>109</v>
      </c>
      <c r="L8" s="11">
        <v>36</v>
      </c>
      <c r="M8" s="10">
        <v>8</v>
      </c>
      <c r="N8" s="10">
        <v>7</v>
      </c>
      <c r="O8" s="10">
        <v>231</v>
      </c>
      <c r="P8" s="10">
        <v>167</v>
      </c>
      <c r="Q8" s="10">
        <v>123</v>
      </c>
      <c r="R8" s="10">
        <v>149</v>
      </c>
      <c r="S8" s="10">
        <v>24</v>
      </c>
      <c r="T8" s="10">
        <v>54</v>
      </c>
      <c r="U8" s="10">
        <v>47</v>
      </c>
      <c r="V8" s="10">
        <v>33</v>
      </c>
      <c r="W8" s="10">
        <v>62</v>
      </c>
      <c r="X8" s="10">
        <v>40</v>
      </c>
      <c r="Y8" s="10">
        <v>29</v>
      </c>
      <c r="Z8" s="10">
        <v>20</v>
      </c>
    </row>
    <row r="9" spans="1:26" x14ac:dyDescent="0.25">
      <c r="A9" s="10">
        <v>2024</v>
      </c>
      <c r="B9" s="10" t="s">
        <v>12</v>
      </c>
      <c r="C9" s="11">
        <v>25</v>
      </c>
      <c r="D9" s="11">
        <v>8</v>
      </c>
      <c r="E9" s="11">
        <v>33</v>
      </c>
      <c r="F9" s="11">
        <v>14</v>
      </c>
      <c r="G9" s="11">
        <v>17</v>
      </c>
      <c r="H9" s="11">
        <v>34</v>
      </c>
      <c r="I9" s="11">
        <v>8</v>
      </c>
      <c r="J9" s="11">
        <v>52</v>
      </c>
      <c r="K9" s="11">
        <v>67</v>
      </c>
      <c r="L9" s="11">
        <v>41</v>
      </c>
      <c r="M9" s="10">
        <v>4</v>
      </c>
      <c r="N9" s="10">
        <v>10</v>
      </c>
      <c r="O9" s="10">
        <v>243</v>
      </c>
      <c r="P9" s="10">
        <v>175</v>
      </c>
      <c r="Q9" s="10">
        <v>139</v>
      </c>
      <c r="R9" s="10">
        <v>137</v>
      </c>
      <c r="S9" s="10">
        <v>28</v>
      </c>
      <c r="T9" s="10">
        <v>59</v>
      </c>
      <c r="U9" s="10">
        <v>49</v>
      </c>
      <c r="V9" s="10">
        <v>45</v>
      </c>
      <c r="W9" s="10">
        <v>66</v>
      </c>
      <c r="X9" s="10">
        <v>24</v>
      </c>
      <c r="Y9" s="10">
        <v>24</v>
      </c>
      <c r="Z9" s="10">
        <v>35</v>
      </c>
    </row>
    <row r="10" spans="1:26" x14ac:dyDescent="0.25">
      <c r="A10" s="10">
        <v>2024</v>
      </c>
      <c r="B10" s="10" t="s">
        <v>13</v>
      </c>
      <c r="C10" s="11">
        <v>30</v>
      </c>
      <c r="D10" s="11">
        <v>14</v>
      </c>
      <c r="E10" s="11">
        <v>46</v>
      </c>
      <c r="F10" s="11">
        <v>8</v>
      </c>
      <c r="G10" s="11">
        <v>16</v>
      </c>
      <c r="H10" s="11">
        <v>19</v>
      </c>
      <c r="I10" s="11">
        <v>7</v>
      </c>
      <c r="J10" s="11">
        <v>47</v>
      </c>
      <c r="K10" s="11">
        <v>65</v>
      </c>
      <c r="L10" s="11">
        <v>31</v>
      </c>
      <c r="M10" s="10">
        <v>7</v>
      </c>
      <c r="N10" s="10">
        <v>11</v>
      </c>
      <c r="O10" s="10">
        <v>216</v>
      </c>
      <c r="P10" s="10">
        <v>155</v>
      </c>
      <c r="Q10" s="10">
        <v>138</v>
      </c>
      <c r="R10" s="10">
        <v>142</v>
      </c>
      <c r="S10" s="10">
        <v>28</v>
      </c>
      <c r="T10" s="10">
        <v>48</v>
      </c>
      <c r="U10" s="10">
        <v>53</v>
      </c>
      <c r="V10" s="10">
        <v>20</v>
      </c>
      <c r="W10" s="10">
        <v>58</v>
      </c>
      <c r="X10" s="10">
        <v>24</v>
      </c>
      <c r="Y10" s="10">
        <v>22</v>
      </c>
      <c r="Z10" s="10">
        <v>39</v>
      </c>
    </row>
    <row r="11" spans="1:26" x14ac:dyDescent="0.25">
      <c r="A11" s="10">
        <v>2024</v>
      </c>
      <c r="B11" s="10" t="s">
        <v>14</v>
      </c>
      <c r="C11" s="11">
        <v>25</v>
      </c>
      <c r="D11" s="11">
        <v>10</v>
      </c>
      <c r="E11" s="11">
        <v>39</v>
      </c>
      <c r="F11" s="11">
        <v>14</v>
      </c>
      <c r="G11" s="11">
        <v>15</v>
      </c>
      <c r="H11" s="11">
        <v>25</v>
      </c>
      <c r="I11" s="11">
        <v>7</v>
      </c>
      <c r="J11" s="11">
        <v>38</v>
      </c>
      <c r="K11" s="11">
        <v>64</v>
      </c>
      <c r="L11" s="11">
        <v>39</v>
      </c>
      <c r="M11" s="10">
        <v>5</v>
      </c>
      <c r="N11" s="10">
        <v>10</v>
      </c>
      <c r="O11" s="10">
        <v>242</v>
      </c>
      <c r="P11" s="10">
        <v>176</v>
      </c>
      <c r="Q11" s="10">
        <v>124</v>
      </c>
      <c r="R11" s="10">
        <v>169</v>
      </c>
      <c r="S11" s="10">
        <v>30</v>
      </c>
      <c r="T11" s="10">
        <v>47</v>
      </c>
      <c r="U11" s="10">
        <v>50</v>
      </c>
      <c r="V11" s="10">
        <v>36</v>
      </c>
      <c r="W11" s="10">
        <v>69</v>
      </c>
      <c r="X11" s="10">
        <v>30</v>
      </c>
      <c r="Y11" s="10">
        <v>18</v>
      </c>
      <c r="Z11" s="10">
        <v>39</v>
      </c>
    </row>
    <row r="12" spans="1:26" x14ac:dyDescent="0.25">
      <c r="A12" s="10">
        <v>2024</v>
      </c>
      <c r="B12" s="10" t="s">
        <v>15</v>
      </c>
      <c r="C12" s="11">
        <v>28</v>
      </c>
      <c r="D12" s="11">
        <v>12</v>
      </c>
      <c r="E12" s="11">
        <v>30</v>
      </c>
      <c r="F12" s="11">
        <v>13</v>
      </c>
      <c r="G12" s="11">
        <v>16</v>
      </c>
      <c r="H12" s="11">
        <v>27</v>
      </c>
      <c r="I12" s="11">
        <v>6</v>
      </c>
      <c r="J12" s="11">
        <v>36</v>
      </c>
      <c r="K12" s="11">
        <v>57</v>
      </c>
      <c r="L12" s="11">
        <v>38</v>
      </c>
      <c r="M12" s="10">
        <v>7</v>
      </c>
      <c r="N12" s="10">
        <v>8</v>
      </c>
      <c r="O12" s="10">
        <v>234</v>
      </c>
      <c r="P12" s="10">
        <v>165</v>
      </c>
      <c r="Q12" s="10">
        <v>152</v>
      </c>
      <c r="R12" s="10">
        <v>171</v>
      </c>
      <c r="S12" s="10">
        <v>31</v>
      </c>
      <c r="T12" s="10">
        <v>47</v>
      </c>
      <c r="U12" s="10">
        <v>49</v>
      </c>
      <c r="V12" s="10">
        <v>37</v>
      </c>
      <c r="W12" s="10">
        <v>67</v>
      </c>
      <c r="X12" s="10">
        <v>23</v>
      </c>
      <c r="Y12" s="10">
        <v>16</v>
      </c>
      <c r="Z12" s="10">
        <v>42</v>
      </c>
    </row>
    <row r="13" spans="1:26" x14ac:dyDescent="0.25">
      <c r="A13" s="10">
        <v>2024</v>
      </c>
      <c r="B13" s="10" t="s">
        <v>16</v>
      </c>
      <c r="C13" s="11">
        <v>18</v>
      </c>
      <c r="D13" s="11">
        <v>9</v>
      </c>
      <c r="E13" s="11">
        <v>32</v>
      </c>
      <c r="F13" s="11">
        <v>3</v>
      </c>
      <c r="G13" s="11">
        <v>9</v>
      </c>
      <c r="H13" s="11">
        <v>21</v>
      </c>
      <c r="I13" s="11">
        <v>4</v>
      </c>
      <c r="J13" s="11">
        <v>39</v>
      </c>
      <c r="K13" s="11">
        <v>53</v>
      </c>
      <c r="L13" s="11">
        <v>45</v>
      </c>
      <c r="M13" s="10">
        <v>8</v>
      </c>
      <c r="N13" s="10">
        <v>3</v>
      </c>
      <c r="O13" s="10">
        <v>196</v>
      </c>
      <c r="P13" s="10">
        <v>150</v>
      </c>
      <c r="Q13" s="10">
        <v>128</v>
      </c>
      <c r="R13" s="10">
        <v>137</v>
      </c>
      <c r="S13" s="10">
        <v>25</v>
      </c>
      <c r="T13" s="10">
        <v>53</v>
      </c>
      <c r="U13" s="10">
        <v>41</v>
      </c>
      <c r="V13" s="10">
        <v>29</v>
      </c>
      <c r="W13" s="10">
        <v>57</v>
      </c>
      <c r="X13" s="10">
        <v>25</v>
      </c>
      <c r="Y13" s="10">
        <v>17</v>
      </c>
      <c r="Z13" s="10">
        <v>27</v>
      </c>
    </row>
    <row r="14" spans="1:26" x14ac:dyDescent="0.25">
      <c r="A14" s="10">
        <v>2025</v>
      </c>
      <c r="B14" s="10" t="s">
        <v>5</v>
      </c>
      <c r="C14" s="11">
        <v>26</v>
      </c>
      <c r="D14" s="11">
        <v>10</v>
      </c>
      <c r="E14" s="11">
        <v>31</v>
      </c>
      <c r="F14" s="11">
        <v>11</v>
      </c>
      <c r="G14" s="11">
        <v>16</v>
      </c>
      <c r="H14" s="11">
        <v>35</v>
      </c>
      <c r="I14" s="11">
        <v>11</v>
      </c>
      <c r="J14" s="11">
        <v>47</v>
      </c>
      <c r="K14" s="11">
        <v>66</v>
      </c>
      <c r="L14" s="11">
        <v>43</v>
      </c>
      <c r="M14" s="10">
        <v>5</v>
      </c>
      <c r="N14" s="10">
        <v>8</v>
      </c>
      <c r="O14" s="10">
        <v>216</v>
      </c>
      <c r="P14" s="10">
        <v>150</v>
      </c>
      <c r="Q14" s="10">
        <v>142</v>
      </c>
      <c r="R14" s="10">
        <v>147</v>
      </c>
      <c r="S14" s="10">
        <v>16</v>
      </c>
      <c r="T14" s="10">
        <v>50</v>
      </c>
      <c r="U14" s="10">
        <v>40</v>
      </c>
      <c r="V14" s="10">
        <v>33</v>
      </c>
      <c r="W14" s="10">
        <v>58</v>
      </c>
      <c r="X14" s="10">
        <v>28</v>
      </c>
      <c r="Y14" s="10">
        <v>21</v>
      </c>
      <c r="Z14" s="10">
        <v>36</v>
      </c>
    </row>
    <row r="15" spans="1:26" x14ac:dyDescent="0.25">
      <c r="A15" s="10">
        <v>2025</v>
      </c>
      <c r="B15" s="10" t="s">
        <v>6</v>
      </c>
      <c r="C15" s="11">
        <v>30</v>
      </c>
      <c r="D15" s="11">
        <v>8</v>
      </c>
      <c r="E15" s="11">
        <v>32</v>
      </c>
      <c r="F15" s="11">
        <v>18</v>
      </c>
      <c r="G15" s="11">
        <v>22</v>
      </c>
      <c r="H15" s="11">
        <v>41</v>
      </c>
      <c r="I15" s="11">
        <v>8</v>
      </c>
      <c r="J15" s="11">
        <v>57</v>
      </c>
      <c r="K15" s="11">
        <v>73</v>
      </c>
      <c r="L15" s="11">
        <v>54</v>
      </c>
      <c r="M15" s="10">
        <v>9</v>
      </c>
      <c r="N15" s="10">
        <v>4</v>
      </c>
      <c r="O15" s="10">
        <v>240</v>
      </c>
      <c r="P15" s="10">
        <v>177</v>
      </c>
      <c r="Q15" s="10">
        <v>136</v>
      </c>
      <c r="R15" s="10">
        <v>168</v>
      </c>
      <c r="S15" s="10">
        <v>29</v>
      </c>
      <c r="T15" s="10">
        <v>57</v>
      </c>
      <c r="U15" s="10">
        <v>44</v>
      </c>
      <c r="V15" s="10">
        <v>40</v>
      </c>
      <c r="W15" s="10">
        <v>74</v>
      </c>
      <c r="X15" s="10">
        <v>23</v>
      </c>
      <c r="Y15" s="10">
        <v>10</v>
      </c>
      <c r="Z15" s="10">
        <v>49</v>
      </c>
    </row>
    <row r="16" spans="1:26" x14ac:dyDescent="0.25">
      <c r="A16" s="10">
        <v>2025</v>
      </c>
      <c r="B16" s="10" t="s">
        <v>7</v>
      </c>
      <c r="C16" s="11">
        <v>30</v>
      </c>
      <c r="D16" s="11">
        <v>12</v>
      </c>
      <c r="E16" s="11">
        <v>37</v>
      </c>
      <c r="F16" s="11">
        <v>17</v>
      </c>
      <c r="G16" s="11">
        <v>18</v>
      </c>
      <c r="H16" s="11">
        <v>38</v>
      </c>
      <c r="I16" s="11">
        <v>5</v>
      </c>
      <c r="J16" s="11">
        <v>51</v>
      </c>
      <c r="K16" s="11">
        <v>75</v>
      </c>
      <c r="L16" s="11">
        <v>43</v>
      </c>
      <c r="M16" s="10">
        <v>7</v>
      </c>
      <c r="N16" s="10">
        <v>8</v>
      </c>
      <c r="O16" s="10">
        <v>212</v>
      </c>
      <c r="P16" s="10">
        <v>148</v>
      </c>
      <c r="Q16" s="10">
        <v>135</v>
      </c>
      <c r="R16" s="10">
        <v>144</v>
      </c>
      <c r="S16" s="10">
        <v>28</v>
      </c>
      <c r="T16" s="10">
        <v>52</v>
      </c>
      <c r="U16" s="10">
        <v>36</v>
      </c>
      <c r="V16" s="10">
        <v>28</v>
      </c>
      <c r="W16" s="10">
        <v>69</v>
      </c>
      <c r="X16" s="10">
        <v>24</v>
      </c>
      <c r="Y16" s="10">
        <v>22</v>
      </c>
      <c r="Z16" s="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Levanos</dc:creator>
  <cp:lastModifiedBy>Morman, Brian</cp:lastModifiedBy>
  <dcterms:created xsi:type="dcterms:W3CDTF">2025-05-30T13:32:49Z</dcterms:created>
  <dcterms:modified xsi:type="dcterms:W3CDTF">2025-07-16T16:02:59Z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