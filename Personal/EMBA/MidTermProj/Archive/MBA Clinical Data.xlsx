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sstl-my.sharepoint.com/personal/tlevanos_midamericatransplant_org/Documents/BI/Olin EMBA/"/>
    </mc:Choice>
  </mc:AlternateContent>
  <xr:revisionPtr revIDLastSave="94" documentId="8_{6FD8A3DB-64F8-4E2C-BC4A-99A170BDA5A7}" xr6:coauthVersionLast="47" xr6:coauthVersionMax="47" xr10:uidLastSave="{EC6B311A-8D85-4943-9701-9789CA85AD56}"/>
  <bookViews>
    <workbookView xWindow="-120" yWindow="-120" windowWidth="29040" windowHeight="15840" xr2:uid="{00000000-000D-0000-FFFF-FFFF00000000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</calcChain>
</file>

<file path=xl/sharedStrings.xml><?xml version="1.0" encoding="utf-8"?>
<sst xmlns="http://schemas.openxmlformats.org/spreadsheetml/2006/main" count="58" uniqueCount="40">
  <si>
    <t>Organ Donors</t>
  </si>
  <si>
    <t>BD Donors</t>
  </si>
  <si>
    <t>BD Organs Transplanted</t>
  </si>
  <si>
    <t>Authorized Not Rocovered - DCD</t>
  </si>
  <si>
    <t>DCD Donors</t>
  </si>
  <si>
    <t xml:space="preserve">DCD Organs Transplanted </t>
  </si>
  <si>
    <t>NRP Donors</t>
  </si>
  <si>
    <t>Organs Exported</t>
  </si>
  <si>
    <t>Local Organs Transplanted</t>
  </si>
  <si>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</si>
  <si>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</si>
  <si>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</si>
  <si>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</si>
  <si>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</si>
  <si>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</si>
  <si>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</si>
  <si>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</si>
  <si>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</si>
  <si>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</si>
  <si>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</si>
  <si>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</si>
  <si>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</si>
  <si>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</si>
  <si>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Organs Imported</t>
  </si>
  <si>
    <t>Regional Organ Donors (NOT STL)</t>
  </si>
  <si>
    <t>Unique_Eye_And_Tissue_Donor</t>
  </si>
  <si>
    <t>Bone Donors</t>
  </si>
  <si>
    <t>Skin Donors</t>
  </si>
  <si>
    <t>Eye Donors</t>
  </si>
  <si>
    <t>HV Donors</t>
  </si>
  <si>
    <t>Regional Tissue Donors (NOT STL)</t>
  </si>
  <si>
    <t>Tissue Donors: Males Under Age 60</t>
  </si>
  <si>
    <t>Tissue Donors: Males Age 60 - 69</t>
  </si>
  <si>
    <t>Tissue Donors: Males Age 70+</t>
  </si>
  <si>
    <t>Tissue Donors: Females Under Age 60</t>
  </si>
  <si>
    <t>Tissue Donors: Females Age 60 - 69</t>
  </si>
  <si>
    <t>Tissue Donors: Females Age 70+</t>
  </si>
  <si>
    <t>Year of clamp_dateTime</t>
  </si>
  <si>
    <t>Month of clamp_dateTime</t>
  </si>
  <si>
    <t>In-House Liver NMP (Local &amp; Imports)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</si>
</sst>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7" x14ac:knownFonts="1">
    <font>
      <sz val="11"/>
      <name val="Calibri"/>
    </font>
    <font>
      <sz val="9"/>
      <color rgb="FF000000"/>
      <name val="Arial"/>
    </font>
    <font>
      <sz val="9"/>
      <color rgb="FF000000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3DCF-F136-495C-AD71-A964B174906B}">
  <dimension ref="A1:AA1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0" sqref="E20"/>
    </sheetView>
  </sheetViews>
  <sheetFormatPr defaultRowHeight="15" x14ac:dyDescent="0.25"/>
  <cols>
    <col min="1" max="1" width="14.28515625" bestFit="1" customWidth="1"/>
    <col min="2" max="2" width="14.28515625" customWidth="1"/>
    <col min="3" max="3" width="14.42578125" bestFit="1" customWidth="1"/>
    <col min="4" max="4" width="11.42578125" bestFit="1" customWidth="1"/>
    <col min="5" max="5" width="24.7109375" bestFit="1" customWidth="1"/>
    <col min="6" max="6" width="32.5703125" bestFit="1" customWidth="1"/>
    <col min="7" max="7" width="13.28515625" bestFit="1" customWidth="1"/>
    <col min="8" max="8" width="27.140625" bestFit="1" customWidth="1"/>
    <col min="9" max="9" width="12.85546875" bestFit="1" customWidth="1"/>
    <col min="10" max="10" width="17" bestFit="1" customWidth="1"/>
    <col min="11" max="11" width="26.85546875" bestFit="1" customWidth="1"/>
    <col min="12" max="12" width="16.5703125" bestFit="1" customWidth="1"/>
    <col min="13" max="13" width="30.85546875" style="3" bestFit="1" customWidth="1"/>
    <col min="14" max="14" width="35" bestFit="1" customWidth="1"/>
    <col min="15" max="15" width="32.42578125" customWidth="1"/>
    <col min="16" max="16" width="12.28515625" bestFit="1" customWidth="1"/>
    <col min="17" max="17" width="11.42578125" bestFit="1" customWidth="1"/>
    <col min="18" max="18" width="10.85546875" bestFit="1" customWidth="1"/>
    <col min="19" max="19" width="10.28515625" bestFit="1" customWidth="1"/>
    <col min="20" max="20" width="31.140625" style="3" bestFit="1" customWidth="1"/>
    <col min="21" max="21" width="32.7109375" style="3" bestFit="1" customWidth="1"/>
    <col min="22" max="22" width="30.28515625" style="3" bestFit="1" customWidth="1"/>
    <col min="23" max="23" width="27.5703125" style="3" bestFit="1" customWidth="1"/>
    <col min="24" max="24" width="34.85546875" style="3" bestFit="1" customWidth="1"/>
    <col min="25" max="25" width="32.28515625" style="3" bestFit="1" customWidth="1"/>
    <col min="26" max="26" width="29.7109375" style="3" bestFit="1" customWidth="1"/>
    <col min="27" max="27" width="9.140625" style="3"/>
  </cols>
  <sheetData>
    <row r="1" spans="1:27" s="9" customFormat="1" x14ac:dyDescent="0.25">
      <c r="A1" s="6" t="s">
        <v>9</v>
      </c>
      <c r="B1" s="6" t="s">
        <v>10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8" t="s">
        <v>23</v>
      </c>
      <c r="M1" s="5" t="s">
        <v>24</v>
      </c>
      <c r="N1" s="5" t="s">
        <v>39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  <c r="V1" s="5" t="s">
        <v>32</v>
      </c>
      <c r="W1" s="5" t="s">
        <v>33</v>
      </c>
      <c r="X1" s="5" t="s">
        <v>34</v>
      </c>
      <c r="Y1" s="5" t="s">
        <v>35</v>
      </c>
      <c r="Z1" s="5" t="s">
        <v>36</v>
      </c>
      <c r="AA1" s="5"/>
    </row>
    <row r="2" spans="1:27" x14ac:dyDescent="0.25">
      <c r="A2" s="3">
        <v>2024</v>
      </c>
      <c r="B2" s="3" t="s">
        <v>11</v>
      </c>
      <c r="C2" s="1">
        <v>37</v>
      </c>
      <c r="D2" s="2">
        <v>20</v>
      </c>
      <c r="E2" s="2">
        <v>65</v>
      </c>
      <c r="F2" s="2">
        <v>4</v>
      </c>
      <c r="G2" s="2">
        <v>17</v>
      </c>
      <c r="H2" s="2">
        <v>31</v>
      </c>
      <c r="I2" s="2">
        <v>4</v>
      </c>
      <c r="J2" s="1">
        <v>68</v>
      </c>
      <c r="K2" s="1">
        <v>96</v>
      </c>
      <c r="L2" s="4">
        <v>29</v>
      </c>
      <c r="M2" s="3">
        <v>13</v>
      </c>
      <c r="N2" s="3">
        <v>6</v>
      </c>
      <c r="O2" s="3">
        <v>203</v>
      </c>
      <c r="P2" s="3">
        <v>140</v>
      </c>
      <c r="Q2" s="3">
        <v>117</v>
      </c>
      <c r="R2" s="3">
        <v>112</v>
      </c>
      <c r="S2" s="3">
        <v>28</v>
      </c>
      <c r="T2" s="3">
        <v>53</v>
      </c>
      <c r="U2" s="3">
        <v>40</v>
      </c>
      <c r="V2" s="3">
        <v>36</v>
      </c>
      <c r="W2" s="3">
        <v>57</v>
      </c>
      <c r="X2" s="3">
        <v>32</v>
      </c>
      <c r="Y2" s="3">
        <v>15</v>
      </c>
      <c r="Z2" s="3">
        <v>23</v>
      </c>
    </row>
    <row r="3" spans="1:27" x14ac:dyDescent="0.25">
      <c r="A3" s="3">
        <v>2024</v>
      </c>
      <c r="B3" s="3" t="s">
        <v>12</v>
      </c>
      <c r="C3" s="1">
        <v>18</v>
      </c>
      <c r="D3" s="2">
        <v>13</v>
      </c>
      <c r="E3" s="2">
        <v>47</v>
      </c>
      <c r="F3" s="2">
        <v>14</v>
      </c>
      <c r="G3" s="2">
        <v>5</v>
      </c>
      <c r="H3" s="2">
        <v>14</v>
      </c>
      <c r="I3" s="2">
        <v>2</v>
      </c>
      <c r="J3" s="1">
        <v>47</v>
      </c>
      <c r="K3" s="1">
        <v>61</v>
      </c>
      <c r="L3" s="4">
        <v>41</v>
      </c>
      <c r="M3" s="3">
        <v>3</v>
      </c>
      <c r="N3" s="3">
        <v>4</v>
      </c>
      <c r="O3" s="3">
        <v>207</v>
      </c>
      <c r="P3" s="3">
        <v>137</v>
      </c>
      <c r="Q3" s="3">
        <v>129</v>
      </c>
      <c r="R3" s="3">
        <v>136</v>
      </c>
      <c r="S3" s="3">
        <v>31</v>
      </c>
      <c r="T3" s="3">
        <v>40</v>
      </c>
      <c r="U3" s="3">
        <v>55</v>
      </c>
      <c r="V3" s="3">
        <v>29</v>
      </c>
      <c r="W3" s="3">
        <v>59</v>
      </c>
      <c r="X3" s="3">
        <v>28</v>
      </c>
      <c r="Y3" s="3">
        <v>14</v>
      </c>
      <c r="Z3" s="3">
        <v>22</v>
      </c>
    </row>
    <row r="4" spans="1:27" x14ac:dyDescent="0.25">
      <c r="A4" s="3">
        <v>2024</v>
      </c>
      <c r="B4" s="3" t="s">
        <v>13</v>
      </c>
      <c r="C4" s="1">
        <v>23</v>
      </c>
      <c r="D4" s="2">
        <v>11</v>
      </c>
      <c r="E4" s="2">
        <v>48</v>
      </c>
      <c r="F4" s="2">
        <v>12</v>
      </c>
      <c r="G4" s="2">
        <v>12</v>
      </c>
      <c r="H4" s="2">
        <v>29</v>
      </c>
      <c r="I4" s="2">
        <v>4</v>
      </c>
      <c r="J4" s="1">
        <v>55</v>
      </c>
      <c r="K4" s="1">
        <v>77</v>
      </c>
      <c r="L4" s="4">
        <v>44</v>
      </c>
      <c r="M4" s="3">
        <v>6</v>
      </c>
      <c r="N4" s="3">
        <v>8</v>
      </c>
      <c r="O4" s="3">
        <v>199</v>
      </c>
      <c r="P4" s="3">
        <v>135</v>
      </c>
      <c r="Q4" s="3">
        <v>115</v>
      </c>
      <c r="R4" s="3">
        <v>134</v>
      </c>
      <c r="S4" s="3">
        <v>24</v>
      </c>
      <c r="T4" s="3">
        <v>35</v>
      </c>
      <c r="U4" s="3">
        <v>38</v>
      </c>
      <c r="V4" s="3">
        <v>37</v>
      </c>
      <c r="W4" s="3">
        <v>59</v>
      </c>
      <c r="X4" s="3">
        <v>28</v>
      </c>
      <c r="Y4" s="3">
        <v>16</v>
      </c>
      <c r="Z4" s="3">
        <v>21</v>
      </c>
    </row>
    <row r="5" spans="1:27" x14ac:dyDescent="0.25">
      <c r="A5" s="3">
        <v>2024</v>
      </c>
      <c r="B5" s="3" t="s">
        <v>14</v>
      </c>
      <c r="C5" s="1">
        <v>21</v>
      </c>
      <c r="D5" s="2">
        <v>6</v>
      </c>
      <c r="E5" s="2">
        <v>22</v>
      </c>
      <c r="F5" s="2">
        <v>10</v>
      </c>
      <c r="G5" s="2">
        <v>15</v>
      </c>
      <c r="H5" s="2">
        <v>35</v>
      </c>
      <c r="I5" s="2">
        <v>7</v>
      </c>
      <c r="J5" s="1">
        <v>34</v>
      </c>
      <c r="K5" s="1">
        <v>57</v>
      </c>
      <c r="L5" s="4">
        <v>40</v>
      </c>
      <c r="M5" s="3">
        <v>7</v>
      </c>
      <c r="N5" s="3">
        <v>8</v>
      </c>
      <c r="O5" s="3">
        <v>211</v>
      </c>
      <c r="P5" s="3">
        <v>140</v>
      </c>
      <c r="Q5" s="3">
        <v>130</v>
      </c>
      <c r="R5" s="3">
        <v>129</v>
      </c>
      <c r="S5" s="3">
        <v>27</v>
      </c>
      <c r="T5" s="3">
        <v>46</v>
      </c>
      <c r="U5" s="3">
        <v>52</v>
      </c>
      <c r="V5" s="3">
        <v>32</v>
      </c>
      <c r="W5" s="3">
        <v>64</v>
      </c>
      <c r="X5" s="3">
        <v>26</v>
      </c>
      <c r="Y5" s="3">
        <v>17</v>
      </c>
      <c r="Z5" s="3">
        <v>20</v>
      </c>
    </row>
    <row r="6" spans="1:27" x14ac:dyDescent="0.25">
      <c r="A6" s="3">
        <v>2024</v>
      </c>
      <c r="B6" s="3" t="s">
        <v>15</v>
      </c>
      <c r="C6" s="1">
        <v>37</v>
      </c>
      <c r="D6" s="2">
        <v>19</v>
      </c>
      <c r="E6" s="2">
        <v>58</v>
      </c>
      <c r="F6" s="2">
        <v>16</v>
      </c>
      <c r="G6" s="2">
        <v>18</v>
      </c>
      <c r="H6" s="2">
        <v>35</v>
      </c>
      <c r="I6" s="2">
        <v>9</v>
      </c>
      <c r="J6" s="1">
        <v>67</v>
      </c>
      <c r="K6" s="1">
        <v>93</v>
      </c>
      <c r="L6" s="4">
        <v>38</v>
      </c>
      <c r="M6" s="3">
        <v>11</v>
      </c>
      <c r="N6" s="3">
        <v>12</v>
      </c>
      <c r="O6" s="3">
        <v>232</v>
      </c>
      <c r="P6" s="3">
        <v>161</v>
      </c>
      <c r="Q6" s="3">
        <v>136</v>
      </c>
      <c r="R6" s="3">
        <v>165</v>
      </c>
      <c r="S6" s="3">
        <v>18</v>
      </c>
      <c r="T6" s="3">
        <v>47</v>
      </c>
      <c r="U6" s="3">
        <v>42</v>
      </c>
      <c r="V6" s="3">
        <v>30</v>
      </c>
      <c r="W6" s="3">
        <v>62</v>
      </c>
      <c r="X6" s="3">
        <v>30</v>
      </c>
      <c r="Y6" s="3">
        <v>38</v>
      </c>
      <c r="Z6" s="3">
        <v>30</v>
      </c>
    </row>
    <row r="7" spans="1:27" x14ac:dyDescent="0.25">
      <c r="A7" s="3">
        <v>2024</v>
      </c>
      <c r="B7" s="3" t="s">
        <v>16</v>
      </c>
      <c r="C7" s="1">
        <v>29</v>
      </c>
      <c r="D7" s="2">
        <v>18</v>
      </c>
      <c r="E7" s="2">
        <v>70</v>
      </c>
      <c r="F7" s="2">
        <v>10</v>
      </c>
      <c r="G7" s="2">
        <v>11</v>
      </c>
      <c r="H7" s="2">
        <v>22</v>
      </c>
      <c r="I7" s="2">
        <v>2</v>
      </c>
      <c r="J7" s="1">
        <v>73</v>
      </c>
      <c r="K7" s="1">
        <v>92</v>
      </c>
      <c r="L7" s="4">
        <v>40</v>
      </c>
      <c r="M7" s="3">
        <v>10</v>
      </c>
      <c r="N7" s="3">
        <v>6</v>
      </c>
      <c r="O7" s="3">
        <v>219</v>
      </c>
      <c r="P7" s="3">
        <v>142</v>
      </c>
      <c r="Q7" s="3">
        <v>135</v>
      </c>
      <c r="R7" s="3">
        <v>147</v>
      </c>
      <c r="S7" s="3">
        <v>28</v>
      </c>
      <c r="T7" s="3">
        <v>47</v>
      </c>
      <c r="U7" s="3">
        <v>41</v>
      </c>
      <c r="V7" s="3">
        <v>38</v>
      </c>
      <c r="W7" s="3">
        <v>59</v>
      </c>
      <c r="X7" s="3">
        <v>25</v>
      </c>
      <c r="Y7" s="3">
        <v>20</v>
      </c>
      <c r="Z7" s="3">
        <v>36</v>
      </c>
    </row>
    <row r="8" spans="1:27" x14ac:dyDescent="0.25">
      <c r="A8" s="3">
        <v>2024</v>
      </c>
      <c r="B8" s="3" t="s">
        <v>17</v>
      </c>
      <c r="C8" s="1">
        <v>33</v>
      </c>
      <c r="D8" s="2">
        <v>24</v>
      </c>
      <c r="E8" s="2">
        <v>94</v>
      </c>
      <c r="F8" s="2">
        <v>14</v>
      </c>
      <c r="G8" s="2">
        <v>9</v>
      </c>
      <c r="H8" s="2">
        <v>15</v>
      </c>
      <c r="I8" s="2">
        <v>2</v>
      </c>
      <c r="J8" s="1">
        <v>92</v>
      </c>
      <c r="K8" s="1">
        <v>109</v>
      </c>
      <c r="L8" s="4">
        <v>36</v>
      </c>
      <c r="M8" s="3">
        <v>8</v>
      </c>
      <c r="N8" s="3">
        <v>7</v>
      </c>
      <c r="O8" s="3">
        <v>231</v>
      </c>
      <c r="P8" s="3">
        <v>167</v>
      </c>
      <c r="Q8" s="3">
        <v>123</v>
      </c>
      <c r="R8" s="3">
        <v>149</v>
      </c>
      <c r="S8" s="3">
        <v>24</v>
      </c>
      <c r="T8" s="3">
        <v>54</v>
      </c>
      <c r="U8" s="3">
        <v>47</v>
      </c>
      <c r="V8" s="3">
        <v>33</v>
      </c>
      <c r="W8" s="3">
        <v>62</v>
      </c>
      <c r="X8" s="3">
        <v>40</v>
      </c>
      <c r="Y8" s="3">
        <v>29</v>
      </c>
      <c r="Z8" s="3">
        <v>20</v>
      </c>
    </row>
    <row r="9" spans="1:27" x14ac:dyDescent="0.25">
      <c r="A9" s="3">
        <v>2024</v>
      </c>
      <c r="B9" s="3" t="s">
        <v>18</v>
      </c>
      <c r="C9" s="1">
        <v>25</v>
      </c>
      <c r="D9" s="2">
        <v>8</v>
      </c>
      <c r="E9" s="2">
        <v>33</v>
      </c>
      <c r="F9" s="2">
        <v>14</v>
      </c>
      <c r="G9" s="2">
        <v>17</v>
      </c>
      <c r="H9" s="2">
        <v>34</v>
      </c>
      <c r="I9" s="2">
        <v>8</v>
      </c>
      <c r="J9" s="1">
        <v>52</v>
      </c>
      <c r="K9" s="1">
        <v>67</v>
      </c>
      <c r="L9" s="4">
        <v>41</v>
      </c>
      <c r="M9" s="3">
        <v>4</v>
      </c>
      <c r="N9" s="3">
        <v>10</v>
      </c>
      <c r="O9" s="3">
        <v>243</v>
      </c>
      <c r="P9" s="3">
        <v>175</v>
      </c>
      <c r="Q9" s="3">
        <v>139</v>
      </c>
      <c r="R9" s="3">
        <v>137</v>
      </c>
      <c r="S9" s="3">
        <v>28</v>
      </c>
      <c r="T9" s="3">
        <v>59</v>
      </c>
      <c r="U9" s="3">
        <v>49</v>
      </c>
      <c r="V9" s="3">
        <v>45</v>
      </c>
      <c r="W9" s="3">
        <v>66</v>
      </c>
      <c r="X9" s="3">
        <v>24</v>
      </c>
      <c r="Y9" s="3">
        <v>24</v>
      </c>
      <c r="Z9" s="3">
        <v>35</v>
      </c>
    </row>
    <row r="10" spans="1:27" x14ac:dyDescent="0.25">
      <c r="A10" s="3">
        <v>2024</v>
      </c>
      <c r="B10" s="3" t="s">
        <v>19</v>
      </c>
      <c r="C10" s="1">
        <v>30</v>
      </c>
      <c r="D10" s="2">
        <v>14</v>
      </c>
      <c r="E10" s="2">
        <v>46</v>
      </c>
      <c r="F10" s="2">
        <v>8</v>
      </c>
      <c r="G10" s="2">
        <v>16</v>
      </c>
      <c r="H10" s="2">
        <v>19</v>
      </c>
      <c r="I10" s="2">
        <v>7</v>
      </c>
      <c r="J10" s="1">
        <v>47</v>
      </c>
      <c r="K10" s="1">
        <v>65</v>
      </c>
      <c r="L10" s="4">
        <v>31</v>
      </c>
      <c r="M10" s="3">
        <v>7</v>
      </c>
      <c r="N10" s="3">
        <v>11</v>
      </c>
      <c r="O10" s="3">
        <v>216</v>
      </c>
      <c r="P10" s="3">
        <v>155</v>
      </c>
      <c r="Q10" s="3">
        <v>138</v>
      </c>
      <c r="R10" s="3">
        <v>142</v>
      </c>
      <c r="S10" s="3">
        <v>28</v>
      </c>
      <c r="T10" s="3">
        <v>48</v>
      </c>
      <c r="U10" s="3">
        <v>53</v>
      </c>
      <c r="V10" s="3">
        <v>20</v>
      </c>
      <c r="W10" s="3">
        <v>58</v>
      </c>
      <c r="X10" s="3">
        <v>24</v>
      </c>
      <c r="Y10" s="3">
        <v>22</v>
      </c>
      <c r="Z10" s="3">
        <v>39</v>
      </c>
    </row>
    <row r="11" spans="1:27" x14ac:dyDescent="0.25">
      <c r="A11" s="3">
        <v>2024</v>
      </c>
      <c r="B11" s="3" t="s">
        <v>20</v>
      </c>
      <c r="C11" s="1">
        <v>25</v>
      </c>
      <c r="D11" s="2">
        <v>10</v>
      </c>
      <c r="E11" s="2">
        <v>39</v>
      </c>
      <c r="F11" s="2">
        <v>14</v>
      </c>
      <c r="G11" s="2">
        <v>15</v>
      </c>
      <c r="H11" s="2">
        <v>25</v>
      </c>
      <c r="I11" s="2">
        <v>7</v>
      </c>
      <c r="J11" s="1">
        <v>38</v>
      </c>
      <c r="K11" s="1">
        <v>64</v>
      </c>
      <c r="L11" s="4">
        <v>39</v>
      </c>
      <c r="M11" s="3">
        <v>5</v>
      </c>
      <c r="N11" s="3">
        <v>10</v>
      </c>
      <c r="O11" s="3">
        <v>242</v>
      </c>
      <c r="P11" s="3">
        <v>176</v>
      </c>
      <c r="Q11" s="3">
        <v>124</v>
      </c>
      <c r="R11" s="3">
        <v>169</v>
      </c>
      <c r="S11" s="3">
        <v>30</v>
      </c>
      <c r="T11" s="3">
        <v>47</v>
      </c>
      <c r="U11" s="3">
        <v>50</v>
      </c>
      <c r="V11" s="3">
        <v>36</v>
      </c>
      <c r="W11" s="3">
        <v>69</v>
      </c>
      <c r="X11" s="3">
        <v>30</v>
      </c>
      <c r="Y11" s="3">
        <v>18</v>
      </c>
      <c r="Z11" s="3">
        <v>39</v>
      </c>
    </row>
    <row r="12" spans="1:27" x14ac:dyDescent="0.25">
      <c r="A12" s="3">
        <v>2024</v>
      </c>
      <c r="B12" s="3" t="s">
        <v>21</v>
      </c>
      <c r="C12" s="1">
        <v>28</v>
      </c>
      <c r="D12" s="2">
        <v>12</v>
      </c>
      <c r="E12" s="2">
        <v>30</v>
      </c>
      <c r="F12" s="2">
        <v>13</v>
      </c>
      <c r="G12" s="2">
        <v>16</v>
      </c>
      <c r="H12" s="2">
        <v>27</v>
      </c>
      <c r="I12" s="2">
        <v>6</v>
      </c>
      <c r="J12" s="1">
        <v>36</v>
      </c>
      <c r="K12" s="1">
        <v>57</v>
      </c>
      <c r="L12" s="4">
        <v>38</v>
      </c>
      <c r="M12" s="3">
        <v>7</v>
      </c>
      <c r="N12" s="3">
        <v>8</v>
      </c>
      <c r="O12" s="3">
        <v>234</v>
      </c>
      <c r="P12" s="3">
        <v>165</v>
      </c>
      <c r="Q12" s="3">
        <v>152</v>
      </c>
      <c r="R12" s="3">
        <v>171</v>
      </c>
      <c r="S12" s="3">
        <v>31</v>
      </c>
      <c r="T12" s="3">
        <v>47</v>
      </c>
      <c r="U12" s="3">
        <v>49</v>
      </c>
      <c r="V12" s="3">
        <v>37</v>
      </c>
      <c r="W12" s="3">
        <v>67</v>
      </c>
      <c r="X12" s="3">
        <v>23</v>
      </c>
      <c r="Y12" s="3">
        <v>16</v>
      </c>
      <c r="Z12" s="3">
        <v>42</v>
      </c>
    </row>
    <row r="13" spans="1:27" x14ac:dyDescent="0.25">
      <c r="A13" s="3">
        <v>2024</v>
      </c>
      <c r="B13" s="3" t="s">
        <v>22</v>
      </c>
      <c r="C13" s="1">
        <v>18</v>
      </c>
      <c r="D13" s="2">
        <v>9</v>
      </c>
      <c r="E13" s="2">
        <v>32</v>
      </c>
      <c r="F13" s="2">
        <v>3</v>
      </c>
      <c r="G13" s="2">
        <v>9</v>
      </c>
      <c r="H13" s="2">
        <v>21</v>
      </c>
      <c r="I13" s="2">
        <v>4</v>
      </c>
      <c r="J13" s="1">
        <v>39</v>
      </c>
      <c r="K13" s="1">
        <v>53</v>
      </c>
      <c r="L13" s="4">
        <v>45</v>
      </c>
      <c r="M13" s="3">
        <v>8</v>
      </c>
      <c r="N13" s="3">
        <v>3</v>
      </c>
      <c r="O13" s="3">
        <v>196</v>
      </c>
      <c r="P13" s="3">
        <v>150</v>
      </c>
      <c r="Q13" s="3">
        <v>128</v>
      </c>
      <c r="R13" s="3">
        <v>137</v>
      </c>
      <c r="S13" s="3">
        <v>25</v>
      </c>
      <c r="T13" s="3">
        <v>53</v>
      </c>
      <c r="U13" s="3">
        <v>41</v>
      </c>
      <c r="V13" s="3">
        <v>29</v>
      </c>
      <c r="W13" s="3">
        <v>57</v>
      </c>
      <c r="X13" s="3">
        <v>25</v>
      </c>
      <c r="Y13" s="3">
        <v>17</v>
      </c>
      <c r="Z13" s="3">
        <v>27</v>
      </c>
    </row>
    <row r="14" spans="1:27" x14ac:dyDescent="0.25">
      <c r="A14" s="3">
        <v>2025</v>
      </c>
      <c r="B14" s="3" t="s">
        <v>11</v>
      </c>
      <c r="C14" s="1">
        <v>26</v>
      </c>
      <c r="D14" s="2">
        <v>10</v>
      </c>
      <c r="E14" s="2">
        <v>31</v>
      </c>
      <c r="F14" s="2">
        <v>11</v>
      </c>
      <c r="G14" s="2">
        <v>16</v>
      </c>
      <c r="H14" s="2">
        <v>35</v>
      </c>
      <c r="I14" s="2">
        <v>11</v>
      </c>
      <c r="J14" s="1">
        <v>47</v>
      </c>
      <c r="K14" s="1">
        <v>66</v>
      </c>
      <c r="L14" s="4">
        <v>43</v>
      </c>
      <c r="M14" s="3">
        <v>5</v>
      </c>
      <c r="N14" s="3">
        <v>8</v>
      </c>
      <c r="O14" s="3">
        <v>216</v>
      </c>
      <c r="P14" s="3">
        <v>150</v>
      </c>
      <c r="Q14" s="3">
        <v>142</v>
      </c>
      <c r="R14" s="3">
        <v>147</v>
      </c>
      <c r="S14" s="3">
        <v>16</v>
      </c>
      <c r="T14" s="3">
        <v>50</v>
      </c>
      <c r="U14" s="3">
        <v>40</v>
      </c>
      <c r="V14" s="3">
        <v>33</v>
      </c>
      <c r="W14" s="3">
        <v>58</v>
      </c>
      <c r="X14" s="3">
        <v>28</v>
      </c>
      <c r="Y14" s="3">
        <v>21</v>
      </c>
      <c r="Z14" s="3">
        <v>36</v>
      </c>
    </row>
    <row r="15" spans="1:27" x14ac:dyDescent="0.25">
      <c r="A15" s="3">
        <v>2025</v>
      </c>
      <c r="B15" s="3" t="s">
        <v>12</v>
      </c>
      <c r="C15" s="1">
        <v>30</v>
      </c>
      <c r="D15" s="2">
        <v>8</v>
      </c>
      <c r="E15" s="2">
        <v>32</v>
      </c>
      <c r="F15" s="2">
        <v>18</v>
      </c>
      <c r="G15" s="2">
        <v>22</v>
      </c>
      <c r="H15" s="2">
        <v>41</v>
      </c>
      <c r="I15" s="2">
        <v>8</v>
      </c>
      <c r="J15" s="1">
        <v>57</v>
      </c>
      <c r="K15" s="1">
        <v>73</v>
      </c>
      <c r="L15" s="4">
        <v>54</v>
      </c>
      <c r="M15" s="3">
        <v>9</v>
      </c>
      <c r="N15" s="3">
        <v>4</v>
      </c>
      <c r="O15" s="3">
        <v>240</v>
      </c>
      <c r="P15" s="3">
        <v>177</v>
      </c>
      <c r="Q15" s="3">
        <v>136</v>
      </c>
      <c r="R15" s="3">
        <v>168</v>
      </c>
      <c r="S15" s="3">
        <v>29</v>
      </c>
      <c r="T15" s="3">
        <v>57</v>
      </c>
      <c r="U15" s="3">
        <v>44</v>
      </c>
      <c r="V15" s="3">
        <v>40</v>
      </c>
      <c r="W15" s="3">
        <v>74</v>
      </c>
      <c r="X15" s="3">
        <v>23</v>
      </c>
      <c r="Y15" s="3">
        <v>10</v>
      </c>
      <c r="Z15" s="3">
        <v>49</v>
      </c>
    </row>
    <row r="16" spans="1:27" x14ac:dyDescent="0.25">
      <c r="A16" s="3">
        <v>2025</v>
      </c>
      <c r="B16" s="3" t="s">
        <v>13</v>
      </c>
      <c r="C16" s="1">
        <v>30</v>
      </c>
      <c r="D16" s="2">
        <v>12</v>
      </c>
      <c r="E16" s="2">
        <v>37</v>
      </c>
      <c r="F16" s="2">
        <v>17</v>
      </c>
      <c r="G16" s="2">
        <v>18</v>
      </c>
      <c r="H16" s="2">
        <v>38</v>
      </c>
      <c r="I16" s="2">
        <v>5</v>
      </c>
      <c r="J16" s="1">
        <v>51</v>
      </c>
      <c r="K16" s="1">
        <v>75</v>
      </c>
      <c r="L16" s="4">
        <v>43</v>
      </c>
      <c r="M16" s="3">
        <v>7</v>
      </c>
      <c r="N16" s="3">
        <v>8</v>
      </c>
      <c r="O16" s="3">
        <v>212</v>
      </c>
      <c r="P16" s="3">
        <v>148</v>
      </c>
      <c r="Q16" s="3">
        <v>135</v>
      </c>
      <c r="R16" s="3">
        <v>144</v>
      </c>
      <c r="S16" s="3">
        <v>28</v>
      </c>
      <c r="T16" s="3">
        <v>52</v>
      </c>
      <c r="U16" s="3">
        <v>36</v>
      </c>
      <c r="V16" s="3">
        <v>28</v>
      </c>
      <c r="W16" s="3">
        <v>69</v>
      </c>
      <c r="X16" s="3">
        <v>24</v>
      </c>
      <c r="Y16" s="3">
        <v>22</v>
      </c>
      <c r="Z16" s="3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CF90-3BEB-4C60-AC24-5C96954BCE2F}">
  <dimension ref="A1:F16"/>
  <sheetViews>
    <sheetView workbookViewId="0">
      <selection activeCell="F2" sqref="F2:F16"/>
    </sheetView>
  </sheetViews>
  <sheetFormatPr defaultColWidth="13.7109375" defaultRowHeight="15" x14ac:dyDescent="0.25"/>
  <sheetData>
    <row r="1" spans="1:6" x14ac:dyDescent="0.25">
      <c r="A1" t="s">
        <v>37</v>
      </c>
      <c r="B1" t="s">
        <v>38</v>
      </c>
    </row>
    <row r="2" spans="1:6" x14ac:dyDescent="0.25">
      <c r="A2">
        <v>2024</v>
      </c>
      <c r="B2" t="s">
        <v>11</v>
      </c>
      <c r="C2">
        <v>4</v>
      </c>
      <c r="D2">
        <v>2</v>
      </c>
      <c r="E2">
        <f>C2+D2</f>
        <v>6</v>
      </c>
      <c r="F2">
        <v>6</v>
      </c>
    </row>
    <row r="3" spans="1:6" x14ac:dyDescent="0.25">
      <c r="A3">
        <v>2024</v>
      </c>
      <c r="B3" t="s">
        <v>12</v>
      </c>
      <c r="D3">
        <v>4</v>
      </c>
      <c r="E3">
        <f t="shared" ref="E3:F16" si="0">C3+D3</f>
        <v>4</v>
      </c>
      <c r="F3">
        <v>4</v>
      </c>
    </row>
    <row r="4" spans="1:6" x14ac:dyDescent="0.25">
      <c r="A4">
        <v>2024</v>
      </c>
      <c r="B4" t="s">
        <v>13</v>
      </c>
      <c r="C4">
        <v>5</v>
      </c>
      <c r="D4">
        <v>3</v>
      </c>
      <c r="E4">
        <f t="shared" si="0"/>
        <v>8</v>
      </c>
      <c r="F4">
        <v>8</v>
      </c>
    </row>
    <row r="5" spans="1:6" x14ac:dyDescent="0.25">
      <c r="A5">
        <v>2024</v>
      </c>
      <c r="B5" t="s">
        <v>14</v>
      </c>
      <c r="C5">
        <v>4</v>
      </c>
      <c r="D5">
        <v>4</v>
      </c>
      <c r="E5">
        <f t="shared" si="0"/>
        <v>8</v>
      </c>
      <c r="F5">
        <v>8</v>
      </c>
    </row>
    <row r="6" spans="1:6" x14ac:dyDescent="0.25">
      <c r="A6">
        <v>2024</v>
      </c>
      <c r="B6" t="s">
        <v>15</v>
      </c>
      <c r="C6">
        <v>7</v>
      </c>
      <c r="D6">
        <v>5</v>
      </c>
      <c r="E6">
        <f t="shared" si="0"/>
        <v>12</v>
      </c>
      <c r="F6">
        <v>12</v>
      </c>
    </row>
    <row r="7" spans="1:6" x14ac:dyDescent="0.25">
      <c r="A7">
        <v>2024</v>
      </c>
      <c r="B7" t="s">
        <v>16</v>
      </c>
      <c r="C7">
        <v>4</v>
      </c>
      <c r="D7">
        <v>2</v>
      </c>
      <c r="E7">
        <f t="shared" si="0"/>
        <v>6</v>
      </c>
      <c r="F7">
        <v>6</v>
      </c>
    </row>
    <row r="8" spans="1:6" x14ac:dyDescent="0.25">
      <c r="A8">
        <v>2024</v>
      </c>
      <c r="B8" t="s">
        <v>17</v>
      </c>
      <c r="C8">
        <v>4</v>
      </c>
      <c r="D8">
        <v>3</v>
      </c>
      <c r="E8">
        <f t="shared" si="0"/>
        <v>7</v>
      </c>
      <c r="F8">
        <v>7</v>
      </c>
    </row>
    <row r="9" spans="1:6" x14ac:dyDescent="0.25">
      <c r="A9">
        <v>2024</v>
      </c>
      <c r="B9" t="s">
        <v>18</v>
      </c>
      <c r="C9">
        <v>6</v>
      </c>
      <c r="D9">
        <v>4</v>
      </c>
      <c r="E9">
        <f t="shared" si="0"/>
        <v>10</v>
      </c>
      <c r="F9">
        <v>10</v>
      </c>
    </row>
    <row r="10" spans="1:6" x14ac:dyDescent="0.25">
      <c r="A10">
        <v>2024</v>
      </c>
      <c r="B10" t="s">
        <v>19</v>
      </c>
      <c r="C10">
        <v>5</v>
      </c>
      <c r="D10">
        <v>6</v>
      </c>
      <c r="E10">
        <f t="shared" si="0"/>
        <v>11</v>
      </c>
      <c r="F10">
        <v>11</v>
      </c>
    </row>
    <row r="11" spans="1:6" x14ac:dyDescent="0.25">
      <c r="A11">
        <v>2024</v>
      </c>
      <c r="B11" t="s">
        <v>20</v>
      </c>
      <c r="C11">
        <v>4</v>
      </c>
      <c r="D11">
        <v>6</v>
      </c>
      <c r="E11">
        <f t="shared" si="0"/>
        <v>10</v>
      </c>
      <c r="F11">
        <v>10</v>
      </c>
    </row>
    <row r="12" spans="1:6" x14ac:dyDescent="0.25">
      <c r="A12">
        <v>2024</v>
      </c>
      <c r="B12" t="s">
        <v>21</v>
      </c>
      <c r="C12">
        <v>6</v>
      </c>
      <c r="D12">
        <v>2</v>
      </c>
      <c r="E12">
        <f t="shared" si="0"/>
        <v>8</v>
      </c>
      <c r="F12">
        <v>8</v>
      </c>
    </row>
    <row r="13" spans="1:6" x14ac:dyDescent="0.25">
      <c r="A13">
        <v>2024</v>
      </c>
      <c r="B13" t="s">
        <v>22</v>
      </c>
      <c r="C13">
        <v>3</v>
      </c>
      <c r="E13">
        <f t="shared" si="0"/>
        <v>3</v>
      </c>
      <c r="F13">
        <v>3</v>
      </c>
    </row>
    <row r="14" spans="1:6" x14ac:dyDescent="0.25">
      <c r="A14">
        <v>2025</v>
      </c>
      <c r="B14" t="s">
        <v>11</v>
      </c>
      <c r="C14">
        <v>6</v>
      </c>
      <c r="D14">
        <v>2</v>
      </c>
      <c r="E14">
        <f t="shared" si="0"/>
        <v>8</v>
      </c>
      <c r="F14">
        <v>8</v>
      </c>
    </row>
    <row r="15" spans="1:6" x14ac:dyDescent="0.25">
      <c r="A15">
        <v>2025</v>
      </c>
      <c r="B15" t="s">
        <v>12</v>
      </c>
      <c r="C15">
        <v>2</v>
      </c>
      <c r="D15">
        <v>2</v>
      </c>
      <c r="E15">
        <f t="shared" si="0"/>
        <v>4</v>
      </c>
      <c r="F15">
        <v>4</v>
      </c>
    </row>
    <row r="16" spans="1:6" x14ac:dyDescent="0.25">
      <c r="A16">
        <v>2025</v>
      </c>
      <c r="B16" t="s">
        <v>13</v>
      </c>
      <c r="C16">
        <v>4</v>
      </c>
      <c r="D16">
        <v>4</v>
      </c>
      <c r="E16">
        <f t="shared" si="0"/>
        <v>8</v>
      </c>
      <c r="F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Levanos</dc:creator>
  <cp:lastModifiedBy>Tom Levanos</cp:lastModifiedBy>
  <dcterms:created xsi:type="dcterms:W3CDTF">2025-06-02T21:28:51Z</dcterms:created>
  <dcterms:modified xsi:type="dcterms:W3CDTF">2025-06-03T23:39:02Z</dcterms:modified>
</cp:coreProperties>
</file>