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z173f\Desktop\Git\dailyworkspace\PythonProjects\MidAmerica\"/>
    </mc:Choice>
  </mc:AlternateContent>
  <xr:revisionPtr revIDLastSave="0" documentId="13_ncr:9_{63933319-63B7-479F-98A9-9C7295B1CCF4}" xr6:coauthVersionLast="47" xr6:coauthVersionMax="47" xr10:uidLastSave="{00000000-0000-0000-0000-000000000000}"/>
  <bookViews>
    <workbookView xWindow="45972" yWindow="6396" windowWidth="23256" windowHeight="12456" xr2:uid="{740B15B5-9D41-48E5-A5A5-8F5AF7C86528}"/>
  </bookViews>
  <sheets>
    <sheet name="correlation_results" sheetId="1" r:id="rId1"/>
  </sheets>
  <calcPr calcId="0"/>
</workbook>
</file>

<file path=xl/sharedStrings.xml><?xml version="1.0" encoding="utf-8"?>
<sst xmlns="http://schemas.openxmlformats.org/spreadsheetml/2006/main" count="41" uniqueCount="41">
  <si>
    <t>Gross Margin</t>
  </si>
  <si>
    <t>Total Revenue</t>
  </si>
  <si>
    <t>Tissue Revenue</t>
  </si>
  <si>
    <t>Organ Revenue</t>
  </si>
  <si>
    <t>Total Costs</t>
  </si>
  <si>
    <t>Surgeon Fees</t>
  </si>
  <si>
    <t>Hospital Costs</t>
  </si>
  <si>
    <t>Preservation Supplies/Instruments</t>
  </si>
  <si>
    <t>Lab Fees</t>
  </si>
  <si>
    <t>Import Costs (Acquisition Charge)</t>
  </si>
  <si>
    <t>Transportation</t>
  </si>
  <si>
    <t>Biopsy</t>
  </si>
  <si>
    <t>Consults</t>
  </si>
  <si>
    <t>Other</t>
  </si>
  <si>
    <t>Restoration/Embalming</t>
  </si>
  <si>
    <t>Year</t>
  </si>
  <si>
    <t>Month</t>
  </si>
  <si>
    <t>Organ Donors</t>
  </si>
  <si>
    <t>BD Donors</t>
  </si>
  <si>
    <t>BD Organs Transplanted</t>
  </si>
  <si>
    <t>Authorized Not Rocovered - DCD</t>
  </si>
  <si>
    <t>DCD Donors</t>
  </si>
  <si>
    <t xml:space="preserve">DCD Organs Transplanted </t>
  </si>
  <si>
    <t>NRP Donors</t>
  </si>
  <si>
    <t>Organs Exported</t>
  </si>
  <si>
    <t>Local Organs Transplanted</t>
  </si>
  <si>
    <t>Organs Imported</t>
  </si>
  <si>
    <t>Regional Organ Donors (NOT STL)</t>
  </si>
  <si>
    <t>In-House Liver NMP (Local &amp; Imports)</t>
  </si>
  <si>
    <t>Unique_Eye_And_Tissue_Donor</t>
  </si>
  <si>
    <t>Bone Donors</t>
  </si>
  <si>
    <t>Skin Donors</t>
  </si>
  <si>
    <t>Eye Donors</t>
  </si>
  <si>
    <t>HV Donors</t>
  </si>
  <si>
    <t>Regional Tissue Donors (NOT STL)</t>
  </si>
  <si>
    <t>Tissue Donors: Males Under Age 60</t>
  </si>
  <si>
    <t>Tissue Donors: Males Age 60 - 69</t>
  </si>
  <si>
    <t>Tissue Donors: Males Age 70+</t>
  </si>
  <si>
    <t>Tissue Donors: Females Under Age 60</t>
  </si>
  <si>
    <t>Tissue Donors: Females Age 60 - 69</t>
  </si>
  <si>
    <t>Tissue Donors: Females Age 70+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</si>
</sst>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quotePrefix="1" applyNumberFormat="1"/>
    <xf numFmtId="0" fontId="0" fillId="33" borderId="0" xfId="0" quotePrefix="1" applyNumberFormat="1" applyFill="1"/>
    <xf numFmtId="0" fontId="14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419100</xdr:colOff>
      <xdr:row>0</xdr:row>
      <xdr:rowOff>0</xdr:rowOff>
    </xdr:from>
    <xdr:to>
      <xdr:col>10</xdr:col>
      <xdr:colOff>221482</xdr:colOff>
      <xdr:row>15</xdr:row>
      <xdr:rowOff>23100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0486A0-5360-8C85-75E0-087DC4A4C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85160" y="0"/>
          <a:ext cx="5791702" cy="2766300"/>
        </a:xfrm>
        <a:prstGeom prst="rect">
          <a:avLst/>
        </a:prstGeom>
      </xdr:spPr>
    </xdr:pic>
    <xdr:clientData/>
  </xdr:twoCellAnchor>
  <xdr:twoCellAnchor>
    <xdr:from>
      <xdr:col>3</xdr:col>
      <xdr:colOff>15240</xdr:colOff>
      <xdr:row>18</xdr:row>
      <xdr:rowOff>152400</xdr:rowOff>
    </xdr:from>
    <xdr:to>
      <xdr:col>6</xdr:col>
      <xdr:colOff>350520</xdr:colOff>
      <xdr:row>23</xdr:row>
      <xdr:rowOff>114300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7365FF5-6BD0-535D-B0F8-EF8EF33C0B8D}"/>
            </a:ext>
          </a:extLst>
        </xdr:cNvPr>
        <xdr:cNvSpPr txBox="1"/>
      </xdr:nvSpPr>
      <xdr:spPr>
        <a:xfrm>
          <a:off x="4206240" y="3444240"/>
          <a:ext cx="2461260" cy="876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Yellow Boxes have</a:t>
          </a:r>
          <a:r>
            <a:rPr lang="en-US" sz="1100" baseline="0"/>
            <a:t> a statistically significant p Value.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13C10-8890-4BCE-AF27-58F01A46E6A2}">
  <dimension ref="A1:P27"/>
  <sheetViews>
    <sheetView tabSelected="1" workbookViewId="0">
      <selection activeCell="J20" sqref="J20"/>
    </sheetView>
  </sheetViews>
  <sheetFormatPr defaultRowHeight="14.4" x14ac:dyDescent="0.3"/>
  <cols>
    <col min="1" max="1" width="31.44140625" bestFit="1" customWidth="1"/>
    <col min="3" max="3" width="20.77734375" bestFit="1" customWidth="1"/>
    <col min="5" max="5" width="13.21875" bestFit="1" customWidth="1"/>
    <col min="11" max="11" width="28" bestFit="1" customWidth="1"/>
    <col min="13" max="13" width="12.6640625" bestFit="1" customWidth="1"/>
  </cols>
  <sheetData>
    <row r="1" spans="1:1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 t="s">
        <v>15</v>
      </c>
      <c r="B2">
        <v>1.98146649808917E-2</v>
      </c>
      <c r="C2" s="1">
        <v>0.33078239287391897</v>
      </c>
      <c r="D2" s="1">
        <v>0.15126827025557901</v>
      </c>
      <c r="E2" s="1">
        <v>0.337136038965405</v>
      </c>
      <c r="F2" s="1">
        <v>0.64233364892315203</v>
      </c>
      <c r="G2">
        <v>-6.1699522713836497E-2</v>
      </c>
      <c r="H2" s="1">
        <v>0.232732479069341</v>
      </c>
      <c r="I2" s="1">
        <v>0.211303172213232</v>
      </c>
      <c r="J2">
        <v>6.6441256408833804E-2</v>
      </c>
      <c r="K2" s="1">
        <v>0.61236519161548797</v>
      </c>
      <c r="L2" s="1">
        <v>0.23766994986526699</v>
      </c>
      <c r="M2" s="1">
        <v>2.6229516865796099E-2</v>
      </c>
      <c r="N2" s="1">
        <v>0.35287040502045403</v>
      </c>
      <c r="O2" s="1">
        <v>0.26556434331408801</v>
      </c>
      <c r="P2">
        <v>-6.9794190556767804E-2</v>
      </c>
    </row>
    <row r="3" spans="1:16" x14ac:dyDescent="0.3">
      <c r="A3" t="s">
        <v>16</v>
      </c>
      <c r="B3">
        <v>-0.26981605587400398</v>
      </c>
      <c r="C3">
        <v>-0.33587781877954098</v>
      </c>
      <c r="D3">
        <v>4.0252660603025403E-2</v>
      </c>
      <c r="E3">
        <v>-0.42080145414206899</v>
      </c>
      <c r="F3">
        <v>-0.197194685720882</v>
      </c>
      <c r="G3">
        <v>-5.5212518102570801E-2</v>
      </c>
      <c r="H3">
        <v>-0.307452847472304</v>
      </c>
      <c r="I3">
        <v>1.1846814172781601E-3</v>
      </c>
      <c r="J3">
        <v>9.1493600410803205E-2</v>
      </c>
      <c r="K3">
        <v>-0.12565708672017301</v>
      </c>
      <c r="L3">
        <v>-0.20578694293849401</v>
      </c>
      <c r="M3">
        <v>-0.17998522849431201</v>
      </c>
      <c r="N3">
        <v>5.7885619654956998E-2</v>
      </c>
      <c r="O3">
        <v>0.52114477849317398</v>
      </c>
      <c r="P3">
        <v>0.67792104533574105</v>
      </c>
    </row>
    <row r="4" spans="1:16" x14ac:dyDescent="0.3">
      <c r="A4" t="s">
        <v>17</v>
      </c>
      <c r="B4" s="1">
        <v>0.43884869765735701</v>
      </c>
      <c r="C4" s="1">
        <v>0.57532134937097801</v>
      </c>
      <c r="D4" s="1">
        <v>0.16189459757267</v>
      </c>
      <c r="E4" s="1">
        <v>0.62733945198862695</v>
      </c>
      <c r="F4" s="1">
        <v>0.38026281968909798</v>
      </c>
      <c r="G4">
        <v>-0.33965889985004699</v>
      </c>
      <c r="H4" s="1">
        <v>0.31305428757963899</v>
      </c>
      <c r="I4">
        <v>0.78786959355381303</v>
      </c>
      <c r="J4" s="1">
        <v>0.748502136051855</v>
      </c>
      <c r="K4">
        <v>-0.18351367987252301</v>
      </c>
      <c r="L4" s="1">
        <v>0.502483656219751</v>
      </c>
      <c r="M4" s="1">
        <v>0.83751700284640496</v>
      </c>
      <c r="N4" s="1">
        <v>0.15350920954955399</v>
      </c>
      <c r="O4">
        <v>-2.6290738191646901E-2</v>
      </c>
      <c r="P4">
        <v>-0.49320738586803298</v>
      </c>
    </row>
    <row r="5" spans="1:16" x14ac:dyDescent="0.3">
      <c r="A5" t="s">
        <v>18</v>
      </c>
      <c r="B5" s="2">
        <v>0.68936553377418397</v>
      </c>
      <c r="C5" s="1">
        <v>0.64570010820677803</v>
      </c>
      <c r="D5" s="1">
        <v>0.34498375714207602</v>
      </c>
      <c r="E5" s="1">
        <v>0.637982913941605</v>
      </c>
      <c r="F5">
        <v>6.8082269131178805E-2</v>
      </c>
      <c r="G5" s="1">
        <v>3.3164724109264798E-2</v>
      </c>
      <c r="H5">
        <v>-9.4071813349814098E-2</v>
      </c>
      <c r="I5" s="1">
        <v>0.44469026039459503</v>
      </c>
      <c r="J5" s="1">
        <v>0.50953147536097998</v>
      </c>
      <c r="K5">
        <v>-0.40775991724708499</v>
      </c>
      <c r="L5" s="1">
        <v>0.46554889333877703</v>
      </c>
      <c r="M5" s="1">
        <v>0.67611052898776602</v>
      </c>
      <c r="N5">
        <v>-7.40452716054361E-2</v>
      </c>
      <c r="O5">
        <v>-2.0400291386698501E-2</v>
      </c>
      <c r="P5">
        <v>-0.35570634705426302</v>
      </c>
    </row>
    <row r="6" spans="1:16" x14ac:dyDescent="0.3">
      <c r="A6" t="s">
        <v>19</v>
      </c>
      <c r="B6" s="2">
        <v>0.73499940526081198</v>
      </c>
      <c r="C6" s="1">
        <v>0.67480047397792198</v>
      </c>
      <c r="D6" s="1">
        <v>0.34399923934877402</v>
      </c>
      <c r="E6" s="1">
        <v>0.67342782662551604</v>
      </c>
      <c r="F6" s="1">
        <v>4.4606996205579397E-2</v>
      </c>
      <c r="G6" s="1">
        <v>0.21259905879136301</v>
      </c>
      <c r="H6">
        <v>-9.0930386793412296E-2</v>
      </c>
      <c r="I6" s="1">
        <v>0.34441217346994502</v>
      </c>
      <c r="J6" s="1">
        <v>0.51465708612633099</v>
      </c>
      <c r="K6">
        <v>-0.35410770021268101</v>
      </c>
      <c r="L6" s="1">
        <v>0.34031801967441699</v>
      </c>
      <c r="M6" s="1">
        <v>0.62287529289593602</v>
      </c>
      <c r="N6">
        <v>-8.2815529456628303E-2</v>
      </c>
      <c r="O6">
        <v>3.75500935696166E-3</v>
      </c>
      <c r="P6">
        <v>-0.28684049701699099</v>
      </c>
    </row>
    <row r="7" spans="1:16" x14ac:dyDescent="0.3">
      <c r="A7" t="s">
        <v>20</v>
      </c>
      <c r="B7">
        <v>6.6148076285371697E-3</v>
      </c>
      <c r="C7">
        <v>0.33405552015776602</v>
      </c>
      <c r="D7" s="1">
        <v>3.4771915933303602E-2</v>
      </c>
      <c r="E7" s="1">
        <v>0.38823639867078702</v>
      </c>
      <c r="F7" s="1">
        <v>0.67310166217911105</v>
      </c>
      <c r="G7">
        <v>-0.16882047448764501</v>
      </c>
      <c r="H7" s="1">
        <v>0.48409545218307198</v>
      </c>
      <c r="I7" s="1">
        <v>0.14366289531200899</v>
      </c>
      <c r="J7" s="1">
        <v>0.40841959640623698</v>
      </c>
      <c r="K7" s="1">
        <v>0.72479485579802405</v>
      </c>
      <c r="L7">
        <v>9.4873521927634805E-2</v>
      </c>
      <c r="M7">
        <v>-3.2227680167757698E-2</v>
      </c>
      <c r="N7" s="1">
        <v>0.26357328273370301</v>
      </c>
      <c r="O7">
        <v>-2.1445860559347701E-2</v>
      </c>
      <c r="P7">
        <v>-8.7164536689821506E-2</v>
      </c>
    </row>
    <row r="8" spans="1:16" x14ac:dyDescent="0.3">
      <c r="A8" t="s">
        <v>21</v>
      </c>
      <c r="B8">
        <v>-0.21737600622548101</v>
      </c>
      <c r="C8">
        <v>1.7702707410304899E-2</v>
      </c>
      <c r="D8">
        <v>-0.186546990276617</v>
      </c>
      <c r="E8">
        <v>9.6835230516266801E-2</v>
      </c>
      <c r="F8" s="1">
        <v>0.432443659480233</v>
      </c>
      <c r="G8">
        <v>-0.49650073262511601</v>
      </c>
      <c r="H8" s="1">
        <v>0.53210050866379499</v>
      </c>
      <c r="I8" s="1">
        <v>0.53983365636388803</v>
      </c>
      <c r="J8" s="1">
        <v>0.41073956022013502</v>
      </c>
      <c r="K8" s="1">
        <v>0.23105580237635101</v>
      </c>
      <c r="L8" s="1">
        <v>0.13088591853494499</v>
      </c>
      <c r="M8" s="1">
        <v>0.33527053609565199</v>
      </c>
      <c r="N8" s="1">
        <v>0.29366564987496402</v>
      </c>
      <c r="O8">
        <v>-1.14907398016961E-2</v>
      </c>
      <c r="P8">
        <v>-0.247230961019128</v>
      </c>
    </row>
    <row r="9" spans="1:16" x14ac:dyDescent="0.3">
      <c r="A9" t="s">
        <v>22</v>
      </c>
      <c r="B9">
        <v>-0.139852517685359</v>
      </c>
      <c r="C9">
        <v>4.6470767535502597E-2</v>
      </c>
      <c r="D9">
        <v>-0.24068118703965699</v>
      </c>
      <c r="E9" s="1">
        <v>0.15339525593040501</v>
      </c>
      <c r="F9" s="1">
        <v>0.350172804716194</v>
      </c>
      <c r="G9">
        <v>-0.43727003034079598</v>
      </c>
      <c r="H9" s="1">
        <v>0.58730111508463501</v>
      </c>
      <c r="I9" s="1">
        <v>0.12754444123453099</v>
      </c>
      <c r="J9" s="1">
        <v>0.16978773534143801</v>
      </c>
      <c r="K9" s="1">
        <v>0.407534073981762</v>
      </c>
      <c r="L9">
        <v>-8.03244703416814E-2</v>
      </c>
      <c r="M9" s="1">
        <v>0.184012331019135</v>
      </c>
      <c r="N9" s="1">
        <v>0.231492708166498</v>
      </c>
      <c r="O9">
        <v>-0.153276031962127</v>
      </c>
      <c r="P9">
        <v>-0.22369135368152299</v>
      </c>
    </row>
    <row r="10" spans="1:16" x14ac:dyDescent="0.3">
      <c r="A10" t="s">
        <v>23</v>
      </c>
      <c r="B10">
        <v>-0.27341937675413303</v>
      </c>
      <c r="C10">
        <v>-0.23685578819220701</v>
      </c>
      <c r="D10">
        <v>-0.165160982631996</v>
      </c>
      <c r="E10">
        <v>-0.21839378051626099</v>
      </c>
      <c r="F10" s="1">
        <v>1.2468461651570201E-2</v>
      </c>
      <c r="G10">
        <v>-0.50195296190849104</v>
      </c>
      <c r="H10" s="1">
        <v>0.19371167528782099</v>
      </c>
      <c r="I10" s="1">
        <v>0.25278639594838298</v>
      </c>
      <c r="J10">
        <v>-7.2753648651474795E-2</v>
      </c>
      <c r="K10">
        <v>7.7099803365053704E-2</v>
      </c>
      <c r="L10">
        <v>-6.1716525704758302E-2</v>
      </c>
      <c r="M10">
        <v>-0.109958831411372</v>
      </c>
      <c r="N10">
        <v>-0.131607801233775</v>
      </c>
      <c r="O10">
        <v>-6.13977957706711E-3</v>
      </c>
      <c r="P10">
        <v>9.9888130061326699E-2</v>
      </c>
    </row>
    <row r="11" spans="1:16" x14ac:dyDescent="0.3">
      <c r="A11" t="s">
        <v>24</v>
      </c>
      <c r="B11" s="2">
        <v>0.76999080000180298</v>
      </c>
      <c r="C11">
        <v>0.79880714169010303</v>
      </c>
      <c r="D11" s="1">
        <v>0.31954634532686899</v>
      </c>
      <c r="E11" s="1">
        <v>0.83267116195191304</v>
      </c>
      <c r="F11" s="1">
        <v>0.235181208506342</v>
      </c>
      <c r="G11" s="1">
        <v>0.13529625482820801</v>
      </c>
      <c r="H11" s="1">
        <v>4.2187213200558002E-2</v>
      </c>
      <c r="I11">
        <v>0.37008264619351</v>
      </c>
      <c r="J11" s="1">
        <v>0.61288883165885599</v>
      </c>
      <c r="K11">
        <v>-0.16369768441365901</v>
      </c>
      <c r="L11" s="1">
        <v>0.366730790331037</v>
      </c>
      <c r="M11" s="1">
        <v>0.72256299641800503</v>
      </c>
      <c r="N11">
        <v>6.6360418423481504E-2</v>
      </c>
      <c r="O11">
        <v>5.2809958563915002E-2</v>
      </c>
      <c r="P11">
        <v>-0.31109952133416902</v>
      </c>
    </row>
    <row r="12" spans="1:16" x14ac:dyDescent="0.3">
      <c r="A12" t="s">
        <v>25</v>
      </c>
      <c r="B12" s="2">
        <v>0.77396822977164204</v>
      </c>
      <c r="C12" s="1">
        <v>0.79942291849399505</v>
      </c>
      <c r="D12" s="1">
        <v>0.27321069920512497</v>
      </c>
      <c r="E12" s="1">
        <v>0.85216971405853403</v>
      </c>
      <c r="F12" s="1">
        <v>0.229195916457438</v>
      </c>
      <c r="G12">
        <v>2.22604708091836E-2</v>
      </c>
      <c r="H12" s="1">
        <v>0.193847011580977</v>
      </c>
      <c r="I12" s="1">
        <v>0.460769125608954</v>
      </c>
      <c r="J12" s="1">
        <v>0.67796078270059001</v>
      </c>
      <c r="K12">
        <v>-0.20005969225085299</v>
      </c>
      <c r="L12" s="1">
        <v>0.35045055638660599</v>
      </c>
      <c r="M12" s="1">
        <v>0.80960543583008104</v>
      </c>
      <c r="N12">
        <v>2.2401711047621599E-2</v>
      </c>
      <c r="O12">
        <v>-7.3557552050372704E-2</v>
      </c>
      <c r="P12">
        <v>-0.443428613317918</v>
      </c>
    </row>
    <row r="13" spans="1:16" x14ac:dyDescent="0.3">
      <c r="A13" t="s">
        <v>26</v>
      </c>
      <c r="B13">
        <v>-0.17850495726030799</v>
      </c>
      <c r="C13">
        <v>5.4932557521439801E-2</v>
      </c>
      <c r="D13" s="1">
        <v>5.8238722866603802E-2</v>
      </c>
      <c r="E13" s="1">
        <v>4.25814015118227E-2</v>
      </c>
      <c r="F13" s="1">
        <v>0.43796638390201498</v>
      </c>
      <c r="G13">
        <v>-0.12185241068977</v>
      </c>
      <c r="H13" s="1">
        <v>0.11969302082382199</v>
      </c>
      <c r="I13">
        <v>-0.45165518499863599</v>
      </c>
      <c r="J13">
        <v>-5.1709913087175499E-2</v>
      </c>
      <c r="K13" s="1">
        <v>0.81942096960231903</v>
      </c>
      <c r="L13">
        <v>-0.192792412968501</v>
      </c>
      <c r="M13">
        <v>-0.30547289895825402</v>
      </c>
      <c r="N13" s="1">
        <v>0.451808279847072</v>
      </c>
      <c r="O13" s="1">
        <v>0.20293595033220099</v>
      </c>
      <c r="P13" s="1">
        <v>0.37004270724259603</v>
      </c>
    </row>
    <row r="14" spans="1:16" x14ac:dyDescent="0.3">
      <c r="A14" t="s">
        <v>27</v>
      </c>
      <c r="B14" s="1">
        <v>0.28477419719574598</v>
      </c>
      <c r="C14">
        <v>0.33651335310351699</v>
      </c>
      <c r="D14">
        <v>-2.8634322256590301E-2</v>
      </c>
      <c r="E14" s="1">
        <v>0.41686367070928698</v>
      </c>
      <c r="F14" s="1">
        <v>0.17123922709498099</v>
      </c>
      <c r="G14">
        <v>-0.34770192917909198</v>
      </c>
      <c r="H14" s="1">
        <v>0.13059857963976901</v>
      </c>
      <c r="I14">
        <v>0.38530355309053499</v>
      </c>
      <c r="J14" s="1">
        <v>0.51506320273422201</v>
      </c>
      <c r="K14">
        <v>-0.26711786950199901</v>
      </c>
      <c r="L14" s="1">
        <v>0.37753003151341902</v>
      </c>
      <c r="M14" s="1">
        <v>0.78477541302728804</v>
      </c>
      <c r="N14" s="1">
        <v>0.28510344171150998</v>
      </c>
      <c r="O14">
        <v>-0.110005632898903</v>
      </c>
      <c r="P14">
        <v>-0.32824548315940399</v>
      </c>
    </row>
    <row r="15" spans="1:16" x14ac:dyDescent="0.3">
      <c r="A15" t="s">
        <v>28</v>
      </c>
      <c r="B15">
        <v>8.9249590210560406E-2</v>
      </c>
      <c r="C15">
        <v>-1.17475532921979E-2</v>
      </c>
      <c r="D15">
        <v>-0.12265676083777299</v>
      </c>
      <c r="E15" s="1">
        <v>3.5504309963976903E-2</v>
      </c>
      <c r="F15">
        <v>-0.18673843274333801</v>
      </c>
      <c r="G15">
        <v>-0.29001843701081997</v>
      </c>
      <c r="H15" s="1">
        <v>0.32458582254012103</v>
      </c>
      <c r="I15" s="1">
        <v>0.42810052207511001</v>
      </c>
      <c r="J15" s="1">
        <v>0.217711458984335</v>
      </c>
      <c r="K15">
        <v>-0.22624385523667001</v>
      </c>
      <c r="L15">
        <v>-0.192274188338424</v>
      </c>
      <c r="M15">
        <v>6.1133425336189103E-2</v>
      </c>
      <c r="N15">
        <v>-0.37363722480441403</v>
      </c>
      <c r="O15">
        <v>-0.24222948101278299</v>
      </c>
      <c r="P15">
        <v>-6.8435937457303003E-2</v>
      </c>
    </row>
    <row r="16" spans="1:16" x14ac:dyDescent="0.3">
      <c r="A16" t="s">
        <v>29</v>
      </c>
      <c r="B16">
        <v>-0.19011904900745599</v>
      </c>
      <c r="C16">
        <v>5.8004457847702903E-2</v>
      </c>
      <c r="D16">
        <v>-8.5290239138097693E-3</v>
      </c>
      <c r="E16">
        <v>7.3308971241446905E-2</v>
      </c>
      <c r="F16" s="1">
        <v>0.46543185716806401</v>
      </c>
      <c r="G16">
        <v>-0.26204078252798702</v>
      </c>
      <c r="H16" s="1">
        <v>0.174247803098973</v>
      </c>
      <c r="I16" s="1">
        <v>0.48115766775077301</v>
      </c>
      <c r="J16" s="1">
        <v>0.584527177931498</v>
      </c>
      <c r="K16" s="1">
        <v>0.29235596452572299</v>
      </c>
      <c r="L16" s="1">
        <v>0.17787898948636899</v>
      </c>
      <c r="M16" s="1">
        <v>0.11333929576480201</v>
      </c>
      <c r="N16" s="1">
        <v>0.274672819719326</v>
      </c>
      <c r="O16">
        <v>0.34040871470026102</v>
      </c>
      <c r="P16">
        <v>4.4608109096409901E-2</v>
      </c>
    </row>
    <row r="17" spans="1:16" x14ac:dyDescent="0.3">
      <c r="A17" t="s">
        <v>30</v>
      </c>
      <c r="B17">
        <v>-0.19912131711395301</v>
      </c>
      <c r="C17" s="1">
        <v>4.0748578850199099E-2</v>
      </c>
      <c r="D17" s="1">
        <v>0.11211644806203699</v>
      </c>
      <c r="E17">
        <v>3.6892092574292699E-3</v>
      </c>
      <c r="F17">
        <v>0.44644489680691701</v>
      </c>
      <c r="G17">
        <v>-0.29341276680294698</v>
      </c>
      <c r="H17" s="1">
        <v>0.14582948543135299</v>
      </c>
      <c r="I17">
        <v>0.44644830032308802</v>
      </c>
      <c r="J17" s="1">
        <v>0.55275588540732101</v>
      </c>
      <c r="K17" s="1">
        <v>0.26499652750158098</v>
      </c>
      <c r="L17" s="1">
        <v>0.21204028534913699</v>
      </c>
      <c r="M17" s="1">
        <v>0.18866859660459201</v>
      </c>
      <c r="N17" s="1">
        <v>0.215845201642092</v>
      </c>
      <c r="O17">
        <v>0.54701553682330595</v>
      </c>
      <c r="P17" s="1">
        <v>0.31395190304533999</v>
      </c>
    </row>
    <row r="18" spans="1:16" x14ac:dyDescent="0.3">
      <c r="A18" t="s">
        <v>31</v>
      </c>
      <c r="B18">
        <v>-0.40704259094734002</v>
      </c>
      <c r="C18">
        <v>-0.237342178199102</v>
      </c>
      <c r="D18">
        <v>-0.101427115465269</v>
      </c>
      <c r="E18">
        <v>-0.24477941563071301</v>
      </c>
      <c r="F18" s="1">
        <v>0.25497900692117398</v>
      </c>
      <c r="G18">
        <v>-0.21707241056507201</v>
      </c>
      <c r="H18">
        <v>-0.25654043400378901</v>
      </c>
      <c r="I18" s="1">
        <v>0.171009324483958</v>
      </c>
      <c r="J18">
        <v>-6.4439171393849304E-2</v>
      </c>
      <c r="K18" s="1">
        <v>0.29314982514659799</v>
      </c>
      <c r="L18">
        <v>6.8330793565980499E-2</v>
      </c>
      <c r="M18">
        <v>-0.36719102449917601</v>
      </c>
      <c r="N18" s="1">
        <v>0.42829572335882898</v>
      </c>
      <c r="O18" s="1">
        <v>0.36930974323312099</v>
      </c>
      <c r="P18" s="1">
        <v>0.182485930833446</v>
      </c>
    </row>
    <row r="19" spans="1:16" x14ac:dyDescent="0.3">
      <c r="A19" t="s">
        <v>32</v>
      </c>
      <c r="B19">
        <v>-0.17161840982159399</v>
      </c>
      <c r="C19" s="1">
        <v>0.107782906767929</v>
      </c>
      <c r="D19" s="1">
        <v>0.187052688106255</v>
      </c>
      <c r="E19">
        <v>5.4085849071485198E-2</v>
      </c>
      <c r="F19" s="1">
        <v>0.53381406653516295</v>
      </c>
      <c r="G19">
        <v>-0.46448849183197199</v>
      </c>
      <c r="H19">
        <v>7.9347995148246503E-2</v>
      </c>
      <c r="I19" s="1">
        <v>0.27343804348255601</v>
      </c>
      <c r="J19" s="1">
        <v>0.45816750204501</v>
      </c>
      <c r="K19" s="1">
        <v>0.54993697758951199</v>
      </c>
      <c r="L19">
        <v>8.9256539049137107E-2</v>
      </c>
      <c r="M19">
        <v>-7.1758633070256303E-2</v>
      </c>
      <c r="N19" s="1">
        <v>0.44025275243170497</v>
      </c>
      <c r="O19" s="1">
        <v>0.350246732686397</v>
      </c>
      <c r="P19" s="1">
        <v>0.27706247840036102</v>
      </c>
    </row>
    <row r="20" spans="1:16" x14ac:dyDescent="0.3">
      <c r="A20" t="s">
        <v>33</v>
      </c>
      <c r="B20" s="3">
        <v>-0.56718509310325704</v>
      </c>
      <c r="C20">
        <v>-0.37666372331322501</v>
      </c>
      <c r="D20">
        <v>-0.21103532007999101</v>
      </c>
      <c r="E20">
        <v>-0.36819812167190402</v>
      </c>
      <c r="F20" s="1">
        <v>0.26106260863726599</v>
      </c>
      <c r="G20" s="1">
        <v>0.27586616257956498</v>
      </c>
      <c r="H20" s="1">
        <v>1.9713039990122999E-2</v>
      </c>
      <c r="I20">
        <v>-1.03279177197172E-2</v>
      </c>
      <c r="J20">
        <v>9.3401026934289394E-2</v>
      </c>
      <c r="K20" s="1">
        <v>0.175386221934062</v>
      </c>
      <c r="L20" s="1">
        <v>0.100698946224538</v>
      </c>
      <c r="M20">
        <v>-0.197498118759138</v>
      </c>
      <c r="N20" s="1">
        <v>0.39786247731994201</v>
      </c>
      <c r="O20">
        <v>6.9786187280228701E-2</v>
      </c>
      <c r="P20">
        <v>-0.142838568148518</v>
      </c>
    </row>
    <row r="21" spans="1:16" x14ac:dyDescent="0.3">
      <c r="A21" t="s">
        <v>34</v>
      </c>
      <c r="B21">
        <v>-5.8634041582159499E-2</v>
      </c>
      <c r="C21" s="1">
        <v>0.14529844675103001</v>
      </c>
      <c r="D21">
        <v>5.1952484875008101E-4</v>
      </c>
      <c r="E21" s="1">
        <v>0.17477662352593201</v>
      </c>
      <c r="F21" s="1">
        <v>0.40486240778418597</v>
      </c>
      <c r="G21">
        <v>-7.60458805663153E-3</v>
      </c>
      <c r="H21">
        <v>-2.6793049056071699E-2</v>
      </c>
      <c r="I21" s="1">
        <v>0.42849664758851003</v>
      </c>
      <c r="J21" s="1">
        <v>0.374612249385818</v>
      </c>
      <c r="K21" s="1">
        <v>2.39432454500796E-2</v>
      </c>
      <c r="L21" s="1">
        <v>0.46726032896891201</v>
      </c>
      <c r="M21" s="1">
        <v>0.42962595259771802</v>
      </c>
      <c r="N21" s="1">
        <v>0.242433010170888</v>
      </c>
      <c r="O21" s="1">
        <v>0.64949033230066999</v>
      </c>
      <c r="P21" s="1">
        <v>0.182033492594878</v>
      </c>
    </row>
    <row r="22" spans="1:16" x14ac:dyDescent="0.3">
      <c r="A22" t="s">
        <v>35</v>
      </c>
      <c r="B22" s="3">
        <v>-0.62198615364797905</v>
      </c>
      <c r="C22">
        <v>-0.658602611362479</v>
      </c>
      <c r="D22">
        <v>-0.45707963771725602</v>
      </c>
      <c r="E22">
        <v>-0.60814465139456697</v>
      </c>
      <c r="F22">
        <v>-0.21733437515071499</v>
      </c>
      <c r="G22" s="1">
        <v>0.264214276393196</v>
      </c>
      <c r="H22">
        <v>-0.20690741103731</v>
      </c>
      <c r="I22" s="1">
        <v>1.12489751165579E-2</v>
      </c>
      <c r="J22">
        <v>-0.30846806398188098</v>
      </c>
      <c r="K22">
        <v>-0.24347336706380299</v>
      </c>
      <c r="L22">
        <v>5.2639779526791199E-2</v>
      </c>
      <c r="M22">
        <v>-0.46016331616497702</v>
      </c>
      <c r="N22">
        <v>-0.23241906215305899</v>
      </c>
      <c r="O22">
        <v>-8.5843121710522205E-2</v>
      </c>
      <c r="P22">
        <v>9.6772586940047298E-2</v>
      </c>
    </row>
    <row r="23" spans="1:16" x14ac:dyDescent="0.3">
      <c r="A23" t="s">
        <v>36</v>
      </c>
      <c r="B23">
        <v>1.0619478326164701E-3</v>
      </c>
      <c r="C23">
        <v>8.1200256956207501E-2</v>
      </c>
      <c r="D23">
        <v>9.3547943605733305E-2</v>
      </c>
      <c r="E23">
        <v>5.9922926905404197E-2</v>
      </c>
      <c r="F23" s="1">
        <v>0.164608499762851</v>
      </c>
      <c r="G23">
        <v>-8.4567945395839103E-2</v>
      </c>
      <c r="H23" s="1">
        <v>0.15345970483618099</v>
      </c>
      <c r="I23">
        <v>-7.4109967730967702E-2</v>
      </c>
      <c r="J23" s="1">
        <v>0.347937021498544</v>
      </c>
      <c r="K23" s="1">
        <v>0.28899621949736398</v>
      </c>
      <c r="L23">
        <v>-0.25384334303822997</v>
      </c>
      <c r="M23" s="1">
        <v>0.107881147425965</v>
      </c>
      <c r="N23" s="1">
        <v>0.35156252000159199</v>
      </c>
      <c r="O23" s="1">
        <v>0.159053885457937</v>
      </c>
      <c r="P23">
        <v>-0.220119654803967</v>
      </c>
    </row>
    <row r="24" spans="1:16" x14ac:dyDescent="0.3">
      <c r="A24" t="s">
        <v>37</v>
      </c>
      <c r="B24">
        <v>-0.42474796669410197</v>
      </c>
      <c r="C24">
        <v>-8.5385278498551608E-3</v>
      </c>
      <c r="D24">
        <v>-0.20107328348440601</v>
      </c>
      <c r="E24">
        <v>7.1112519514893696E-2</v>
      </c>
      <c r="F24" s="1">
        <v>0.75652633975029904</v>
      </c>
      <c r="G24">
        <v>-0.18821820314572801</v>
      </c>
      <c r="H24" s="1">
        <v>0.56432354877578395</v>
      </c>
      <c r="I24" s="1">
        <v>0.25592302125722299</v>
      </c>
      <c r="J24" s="1">
        <v>0.46567886779266698</v>
      </c>
      <c r="K24" s="1">
        <v>0.73314993749419599</v>
      </c>
      <c r="L24">
        <v>7.8733190545692805E-2</v>
      </c>
      <c r="M24" s="1">
        <v>3.0240877425028598E-2</v>
      </c>
      <c r="N24" s="1">
        <v>0.49814179239228901</v>
      </c>
      <c r="O24" s="1">
        <v>0.23167739285949701</v>
      </c>
      <c r="P24">
        <v>2.2984839836430401E-2</v>
      </c>
    </row>
    <row r="25" spans="1:16" x14ac:dyDescent="0.3">
      <c r="A25" t="s">
        <v>38</v>
      </c>
      <c r="B25" s="2">
        <v>0.609431172845739</v>
      </c>
      <c r="C25" s="1">
        <v>0.482476657620449</v>
      </c>
      <c r="D25" s="1">
        <v>0.216616002111824</v>
      </c>
      <c r="E25" s="1">
        <v>0.49337246494590498</v>
      </c>
      <c r="F25">
        <v>-0.1210247630866</v>
      </c>
      <c r="G25" s="1">
        <v>0.202814288367797</v>
      </c>
      <c r="H25" s="1">
        <v>0.117387085584479</v>
      </c>
      <c r="I25" s="1">
        <v>0.27666950476506502</v>
      </c>
      <c r="J25" s="1">
        <v>0.264933731833773</v>
      </c>
      <c r="K25">
        <v>-0.402634838701247</v>
      </c>
      <c r="L25" s="1">
        <v>0.21984625033546101</v>
      </c>
      <c r="M25" s="1">
        <v>0.54774214057065296</v>
      </c>
      <c r="N25">
        <v>-0.49868930845729398</v>
      </c>
      <c r="O25">
        <v>-3.8018586149381299E-2</v>
      </c>
      <c r="P25">
        <v>-0.198305166682166</v>
      </c>
    </row>
    <row r="26" spans="1:16" x14ac:dyDescent="0.3">
      <c r="A26" t="s">
        <v>39</v>
      </c>
      <c r="B26" s="2">
        <v>0.52504123913060496</v>
      </c>
      <c r="C26" s="1">
        <v>0.42603548793047802</v>
      </c>
      <c r="D26">
        <v>9.6970268639357302E-2</v>
      </c>
      <c r="E26" s="1">
        <v>0.47383213648104899</v>
      </c>
      <c r="F26">
        <v>-8.2999081733831997E-2</v>
      </c>
      <c r="G26">
        <v>-0.25058652949558802</v>
      </c>
      <c r="H26" s="1">
        <v>5.924406947745E-2</v>
      </c>
      <c r="I26" s="1">
        <v>0.26338958651107602</v>
      </c>
      <c r="J26" s="1">
        <v>0.32008540857488699</v>
      </c>
      <c r="K26">
        <v>-0.24010087940629701</v>
      </c>
      <c r="L26" s="1">
        <v>0.13433945346037701</v>
      </c>
      <c r="M26">
        <v>0.34627193918147797</v>
      </c>
      <c r="N26">
        <v>-0.35508064913085802</v>
      </c>
      <c r="O26">
        <v>-1.6144620153266499E-2</v>
      </c>
      <c r="P26" s="1">
        <v>0.17648364123542101</v>
      </c>
    </row>
    <row r="27" spans="1:16" x14ac:dyDescent="0.3">
      <c r="A27" t="s">
        <v>40</v>
      </c>
      <c r="B27">
        <v>-0.37377442848729597</v>
      </c>
      <c r="C27">
        <v>-7.2447395261375599E-2</v>
      </c>
      <c r="D27" s="1">
        <v>0.16117280435051201</v>
      </c>
      <c r="E27">
        <v>-0.15249414248600299</v>
      </c>
      <c r="F27" s="1">
        <v>0.53255608767931495</v>
      </c>
      <c r="G27">
        <v>-0.38080587201413801</v>
      </c>
      <c r="H27">
        <v>-9.1189497860881E-2</v>
      </c>
      <c r="I27" s="1">
        <v>0.402198009164558</v>
      </c>
      <c r="J27" s="1">
        <v>0.356097116104172</v>
      </c>
      <c r="K27" s="1">
        <v>0.43489200347788698</v>
      </c>
      <c r="L27" s="1">
        <v>0.18965049641574599</v>
      </c>
      <c r="M27">
        <v>-0.11865556990543701</v>
      </c>
      <c r="N27">
        <v>0.62629912077716798</v>
      </c>
      <c r="O27" s="1">
        <v>0.44496196199689297</v>
      </c>
      <c r="P27" s="1">
        <v>0.112539815363809</v>
      </c>
    </row>
  </sheetData>
  <conditionalFormatting sqref="A1:XFD1048576">
    <cfRule type="cellIs" dxfId="2" priority="3" operator="between">
      <formula>0.8</formula>
      <formula>1</formula>
    </cfRule>
    <cfRule type="cellIs" dxfId="1" priority="2" operator="between">
      <formula>-0.8</formula>
      <formula>-1</formula>
    </cfRule>
    <cfRule type="cellIs" dxfId="0" priority="1" operator="lessThan">
      <formula>-1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correlation_results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Morman, Brian</cp:lastModifiedBy>
  <dcterms:created xsi:type="dcterms:W3CDTF">2025-06-28T16:38:58Z</dcterms:created>
  <dcterms:modified xsi:type="dcterms:W3CDTF">2025-06-30T13:29:41Z</dcterms:modified>
</cp:coreProperties>
</file>