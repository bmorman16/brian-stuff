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z173f\Desktop\Git\dailyworkspace\PythonProjects\MidAmerica\"/>
    </mc:Choice>
  </mc:AlternateContent>
  <xr:revisionPtr revIDLastSave="0" documentId="13_ncr:1_{C9CA40D2-23A7-4DB0-B3E9-1632652647BA}" xr6:coauthVersionLast="47" xr6:coauthVersionMax="47" xr10:uidLastSave="{00000000-0000-0000-0000-000000000000}"/>
  <bookViews>
    <workbookView xWindow="-108" yWindow="-108" windowWidth="23256" windowHeight="12456" activeTab="1" xr2:uid="{5A1C8E1D-89EC-45EF-BFBA-10A9FA64E669}"/>
  </bookViews>
  <sheets>
    <sheet name="CostsANDRevenues" sheetId="1" r:id="rId1"/>
    <sheet name="Clinical Data Sheet 1" sheetId="4" r:id="rId2"/>
    <sheet name="Sheet5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2" i="1"/>
</calcChain>
</file>

<file path=xl/sharedStrings.xml><?xml version="1.0" encoding="utf-8"?>
<sst xmlns="http://schemas.openxmlformats.org/spreadsheetml/2006/main" count="58" uniqueCount="54">
  <si>
    <t>Year</t>
  </si>
  <si>
    <t>Month</t>
  </si>
  <si>
    <t>Gross Margin</t>
  </si>
  <si>
    <t>Tissue Revenue</t>
  </si>
  <si>
    <t>Organ Revenue</t>
  </si>
  <si>
    <t>Surgeon Fees</t>
  </si>
  <si>
    <t>Hospital Costs</t>
  </si>
  <si>
    <t>Preservation Supplies/Instruments</t>
  </si>
  <si>
    <t>Lab Fees</t>
  </si>
  <si>
    <t>Import Costs (Acquisition Charge)</t>
  </si>
  <si>
    <t>Transportation</t>
  </si>
  <si>
    <t>Biopsy</t>
  </si>
  <si>
    <t>Consults</t>
  </si>
  <si>
    <t>Other</t>
  </si>
  <si>
    <t>Restoration/Embalming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</si>
  <si>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</si>
  <si>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</si>
  <si>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</si>
  <si>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</si>
  <si>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</si>
  <si>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</si>
  <si>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</si>
  <si>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</si>
  <si>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</si>
  <si>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</si>
  <si>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</si>
  <si>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</si>
  <si>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Organ Donors</t>
  </si>
  <si>
    <t>BD Donors</t>
  </si>
  <si>
    <t>BD Organs Transplanted</t>
  </si>
  <si>
    <t>Authorized Not Rocovered - DCD</t>
  </si>
  <si>
    <t>DCD Donors</t>
  </si>
  <si>
    <t xml:space="preserve">DCD Organs Transplanted </t>
  </si>
  <si>
    <t>NRP Donors</t>
  </si>
  <si>
    <t>Organs Exported</t>
  </si>
  <si>
    <t>Local Organs Transplanted</t>
  </si>
  <si>
    <t>Organs Imported</t>
  </si>
  <si>
    <t>Regional Organ Donors (NOT STL)</t>
  </si>
  <si>
    <t>In-House Liver NMP (Local &amp; Imports)</t>
  </si>
  <si>
    <t>Unique_Eye_And_Tissue_Donor</t>
  </si>
  <si>
    <t>Bone Donors</t>
  </si>
  <si>
    <t>Skin Donors</t>
  </si>
  <si>
    <t>Eye Donors</t>
  </si>
  <si>
    <t>HV Donors</t>
  </si>
  <si>
    <t>Regional Tissue Donors (NOT STL)</t>
  </si>
  <si>
    <t>Tissue Donors: Males Under Age 60</t>
  </si>
  <si>
    <t>Tissue Donors: Males Age 60 - 69</t>
  </si>
  <si>
    <t>Tissue Donors: Males Age 70+</t>
  </si>
  <si>
    <t>Tissue Donors: Females Under Age 60</t>
  </si>
  <si>
    <t>Tissue Donors: Females Age 60 - 69</t>
  </si>
  <si>
    <t>Tissue Donors: Females Age 70+</t>
  </si>
  <si>
    <t>Total Revenue</t>
  </si>
  <si>
    <t>Total Costs</t>
  </si>
  <si>
    <t xml:space="preserve">Since we have more dependent variables then samples we need to reduce dependent variables to avoid overfittign and improve our models stability.  Lets do some dimensional reduction.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</si>
</sst>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#,##0;\-#,##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indexed="8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7" fontId="0" fillId="0" borderId="0" xfId="0" applyNumberFormat="1"/>
    <xf numFmtId="7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7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7" fillId="0" borderId="0" xfId="0" applyNumberFormat="1" applyFont="1" applyAlignment="1">
      <alignment horizontal="center" vertical="center"/>
    </xf>
    <xf numFmtId="16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2B8C7-6F1B-46F7-8AA2-FB3DFFF6299D}">
  <dimension ref="A1:S17"/>
  <sheetViews>
    <sheetView workbookViewId="0">
      <selection activeCell="A15" sqref="A15"/>
    </sheetView>
  </sheetViews>
  <sheetFormatPr defaultColWidth="8.77734375" defaultRowHeight="14.4" x14ac:dyDescent="0.3"/>
  <cols>
    <col min="1" max="1" width="10.33203125" bestFit="1" customWidth="1"/>
    <col min="2" max="2" width="13.44140625" bestFit="1" customWidth="1"/>
    <col min="3" max="3" width="14.33203125" bestFit="1" customWidth="1"/>
    <col min="4" max="4" width="15.44140625" bestFit="1" customWidth="1"/>
    <col min="5" max="5" width="14.77734375" bestFit="1" customWidth="1"/>
    <col min="6" max="6" width="14.77734375" customWidth="1"/>
    <col min="7" max="17" width="26.109375" bestFit="1" customWidth="1"/>
  </cols>
  <sheetData>
    <row r="1" spans="1:19" x14ac:dyDescent="0.3">
      <c r="A1" s="1" t="s">
        <v>1</v>
      </c>
      <c r="B1" s="1" t="s">
        <v>2</v>
      </c>
      <c r="C1" s="1" t="s">
        <v>51</v>
      </c>
      <c r="D1" s="1" t="s">
        <v>3</v>
      </c>
      <c r="E1" s="1" t="s">
        <v>4</v>
      </c>
      <c r="F1" s="1" t="s">
        <v>52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1"/>
      <c r="R1" s="1"/>
      <c r="S1" s="1"/>
    </row>
    <row r="2" spans="1:19" x14ac:dyDescent="0.3">
      <c r="A2" s="11">
        <v>45681</v>
      </c>
      <c r="B2" s="2">
        <f>(D2+E2)-SUM(G2:P2)</f>
        <v>3881404.0999999996</v>
      </c>
      <c r="C2" s="2">
        <f>SUM(D2:E2)</f>
        <v>8811100.0500000007</v>
      </c>
      <c r="D2" s="3">
        <v>1502700.05</v>
      </c>
      <c r="E2" s="3">
        <v>7308400</v>
      </c>
      <c r="F2" s="3">
        <f>SUM(G2:P2)</f>
        <v>4929695.9500000011</v>
      </c>
      <c r="G2" s="3">
        <v>141075</v>
      </c>
      <c r="H2" s="3">
        <v>313289.57999999996</v>
      </c>
      <c r="I2" s="3">
        <v>738258.47000000009</v>
      </c>
      <c r="J2" s="3">
        <v>442805.38</v>
      </c>
      <c r="K2" s="3">
        <v>1507234</v>
      </c>
      <c r="L2" s="3">
        <v>1608447.29</v>
      </c>
      <c r="M2" s="3">
        <v>112865</v>
      </c>
      <c r="N2" s="3">
        <v>42318.58</v>
      </c>
      <c r="O2" s="3">
        <v>7100</v>
      </c>
      <c r="P2" s="3">
        <v>16302.65</v>
      </c>
    </row>
    <row r="3" spans="1:19" x14ac:dyDescent="0.3">
      <c r="A3" s="11">
        <v>45712</v>
      </c>
      <c r="B3" s="2">
        <f t="shared" ref="B3:B16" si="0">(D3+E3)-SUM(G3:P3)</f>
        <v>2665086.2400000002</v>
      </c>
      <c r="C3" s="2">
        <f t="shared" ref="C3:C16" si="1">SUM(D3:E3)</f>
        <v>7729008.75</v>
      </c>
      <c r="D3" s="3">
        <v>1501308.75</v>
      </c>
      <c r="E3" s="3">
        <v>6227700</v>
      </c>
      <c r="F3" s="3">
        <f t="shared" ref="F3:F16" si="2">SUM(G3:P3)</f>
        <v>5063922.51</v>
      </c>
      <c r="G3" s="3">
        <v>202275</v>
      </c>
      <c r="H3" s="3">
        <v>170968.01</v>
      </c>
      <c r="I3" s="3">
        <v>444778.15</v>
      </c>
      <c r="J3" s="3">
        <v>330559.98000000004</v>
      </c>
      <c r="K3" s="3">
        <v>2293328</v>
      </c>
      <c r="L3" s="3">
        <v>1513458.79</v>
      </c>
      <c r="M3" s="3">
        <v>41475</v>
      </c>
      <c r="N3" s="3">
        <v>21318.92</v>
      </c>
      <c r="O3" s="3">
        <v>5480.66</v>
      </c>
      <c r="P3" s="3">
        <v>40280</v>
      </c>
    </row>
    <row r="4" spans="1:19" x14ac:dyDescent="0.3">
      <c r="A4" s="11">
        <v>45740</v>
      </c>
      <c r="B4" s="2">
        <f t="shared" si="0"/>
        <v>4554561.1999999993</v>
      </c>
      <c r="C4" s="2">
        <f t="shared" si="1"/>
        <v>9088783.5999999996</v>
      </c>
      <c r="D4" s="3">
        <v>1713183.6</v>
      </c>
      <c r="E4" s="3">
        <v>7375600</v>
      </c>
      <c r="F4" s="3">
        <f t="shared" si="2"/>
        <v>4534222.4000000004</v>
      </c>
      <c r="G4" s="3">
        <v>164750</v>
      </c>
      <c r="H4" s="3">
        <v>405376.31000000006</v>
      </c>
      <c r="I4" s="3">
        <v>479350.74</v>
      </c>
      <c r="J4" s="3">
        <v>397739.85000000003</v>
      </c>
      <c r="K4" s="3">
        <v>2400392</v>
      </c>
      <c r="L4" s="3">
        <v>543594.59</v>
      </c>
      <c r="M4" s="3">
        <v>67045</v>
      </c>
      <c r="N4" s="3">
        <v>32600</v>
      </c>
      <c r="O4" s="3">
        <v>2593.91</v>
      </c>
      <c r="P4" s="3">
        <v>40780</v>
      </c>
    </row>
    <row r="5" spans="1:19" x14ac:dyDescent="0.3">
      <c r="A5" s="11">
        <v>45771</v>
      </c>
      <c r="B5" s="2">
        <f t="shared" si="0"/>
        <v>1198521.7299999995</v>
      </c>
      <c r="C5" s="2">
        <f t="shared" si="1"/>
        <v>5796400</v>
      </c>
      <c r="D5" s="3">
        <v>0</v>
      </c>
      <c r="E5" s="3">
        <v>5796400</v>
      </c>
      <c r="F5" s="3">
        <f t="shared" si="2"/>
        <v>4597878.2700000005</v>
      </c>
      <c r="G5" s="3">
        <v>229275</v>
      </c>
      <c r="H5" s="3">
        <v>379121.05000000005</v>
      </c>
      <c r="I5" s="3">
        <v>565625.53</v>
      </c>
      <c r="J5" s="3">
        <v>328276.96000000002</v>
      </c>
      <c r="K5" s="3">
        <v>2082858</v>
      </c>
      <c r="L5" s="3">
        <v>886790.57000000007</v>
      </c>
      <c r="M5" s="3">
        <v>53002</v>
      </c>
      <c r="N5" s="3">
        <v>26619.16</v>
      </c>
      <c r="O5" s="3">
        <v>3560</v>
      </c>
      <c r="P5" s="3">
        <v>42750</v>
      </c>
    </row>
    <row r="6" spans="1:19" x14ac:dyDescent="0.3">
      <c r="A6" s="11">
        <v>45801</v>
      </c>
      <c r="B6" s="2">
        <f t="shared" si="0"/>
        <v>4279339.8499999996</v>
      </c>
      <c r="C6" s="2">
        <f t="shared" si="1"/>
        <v>9460455.25</v>
      </c>
      <c r="D6" s="3">
        <v>1430755.25</v>
      </c>
      <c r="E6" s="3">
        <v>8029700</v>
      </c>
      <c r="F6" s="3">
        <f t="shared" si="2"/>
        <v>5181115.4000000004</v>
      </c>
      <c r="G6" s="3">
        <v>-6350</v>
      </c>
      <c r="H6" s="3">
        <v>336876.09</v>
      </c>
      <c r="I6" s="3">
        <v>640764.23</v>
      </c>
      <c r="J6" s="3">
        <v>466291.76</v>
      </c>
      <c r="K6" s="3">
        <v>2123280</v>
      </c>
      <c r="L6" s="3">
        <v>1453796.86</v>
      </c>
      <c r="M6" s="3">
        <v>93255</v>
      </c>
      <c r="N6" s="3">
        <v>22316.46</v>
      </c>
      <c r="O6" s="3">
        <v>3665</v>
      </c>
      <c r="P6" s="3">
        <v>47220</v>
      </c>
    </row>
    <row r="7" spans="1:19" x14ac:dyDescent="0.3">
      <c r="A7" s="11">
        <v>45832</v>
      </c>
      <c r="B7" s="2">
        <f t="shared" si="0"/>
        <v>3934540.3900000006</v>
      </c>
      <c r="C7" s="2">
        <f t="shared" si="1"/>
        <v>9262485.4900000002</v>
      </c>
      <c r="D7" s="3">
        <v>1495185.49</v>
      </c>
      <c r="E7" s="3">
        <v>7767300</v>
      </c>
      <c r="F7" s="3">
        <f t="shared" si="2"/>
        <v>5327945.0999999996</v>
      </c>
      <c r="G7" s="3">
        <v>199125</v>
      </c>
      <c r="H7" s="3">
        <v>128882.98999999999</v>
      </c>
      <c r="I7" s="3">
        <v>625652.42999999993</v>
      </c>
      <c r="J7" s="3">
        <v>456153.37999999995</v>
      </c>
      <c r="K7" s="3">
        <v>2283027.77</v>
      </c>
      <c r="L7" s="3">
        <v>1215253.57</v>
      </c>
      <c r="M7" s="3">
        <v>66720</v>
      </c>
      <c r="N7" s="3">
        <v>299569.96000000002</v>
      </c>
      <c r="O7" s="3">
        <v>14460</v>
      </c>
      <c r="P7" s="3">
        <v>39100</v>
      </c>
    </row>
    <row r="8" spans="1:19" x14ac:dyDescent="0.3">
      <c r="A8" s="11">
        <v>45862</v>
      </c>
      <c r="B8" s="2">
        <f t="shared" si="0"/>
        <v>4988378.03</v>
      </c>
      <c r="C8" s="2">
        <f t="shared" si="1"/>
        <v>10454160</v>
      </c>
      <c r="D8" s="3">
        <v>1563760</v>
      </c>
      <c r="E8" s="3">
        <v>8890400</v>
      </c>
      <c r="F8" s="3">
        <f t="shared" si="2"/>
        <v>5465781.9699999997</v>
      </c>
      <c r="G8" s="3">
        <v>268975</v>
      </c>
      <c r="H8" s="3">
        <v>312466.21000000002</v>
      </c>
      <c r="I8" s="3">
        <v>756367.34</v>
      </c>
      <c r="J8" s="3">
        <v>473541.35</v>
      </c>
      <c r="K8" s="3">
        <v>2064245</v>
      </c>
      <c r="L8" s="3">
        <v>1386335.8199999998</v>
      </c>
      <c r="M8" s="3">
        <v>100740</v>
      </c>
      <c r="N8" s="3">
        <v>33981</v>
      </c>
      <c r="O8" s="3">
        <v>20512.5</v>
      </c>
      <c r="P8" s="3">
        <v>48617.75</v>
      </c>
    </row>
    <row r="9" spans="1:19" x14ac:dyDescent="0.3">
      <c r="A9" s="11">
        <v>45893</v>
      </c>
      <c r="B9" s="2">
        <f t="shared" si="0"/>
        <v>2934051.4799999995</v>
      </c>
      <c r="C9" s="2">
        <f t="shared" si="1"/>
        <v>7816318.2999999998</v>
      </c>
      <c r="D9" s="3">
        <v>1357218.3</v>
      </c>
      <c r="E9" s="3">
        <v>6459100</v>
      </c>
      <c r="F9" s="3">
        <f t="shared" si="2"/>
        <v>4882266.82</v>
      </c>
      <c r="G9" s="3">
        <v>173517.45</v>
      </c>
      <c r="H9" s="3">
        <v>271462.75</v>
      </c>
      <c r="I9" s="3">
        <v>581978.87999999989</v>
      </c>
      <c r="J9" s="3">
        <v>419979.57</v>
      </c>
      <c r="K9" s="3">
        <v>2182140</v>
      </c>
      <c r="L9" s="3">
        <v>1072002.9200000002</v>
      </c>
      <c r="M9" s="3">
        <v>64340</v>
      </c>
      <c r="N9" s="3">
        <v>48404.5</v>
      </c>
      <c r="O9" s="3">
        <v>16528</v>
      </c>
      <c r="P9" s="3">
        <v>51912.75</v>
      </c>
    </row>
    <row r="10" spans="1:19" x14ac:dyDescent="0.3">
      <c r="A10" s="11">
        <v>45924</v>
      </c>
      <c r="B10" s="2">
        <f t="shared" si="0"/>
        <v>2549469.5099999998</v>
      </c>
      <c r="C10" s="2">
        <f t="shared" si="1"/>
        <v>7277775.4500000002</v>
      </c>
      <c r="D10" s="3">
        <v>1225575.45</v>
      </c>
      <c r="E10" s="3">
        <v>6052200</v>
      </c>
      <c r="F10" s="3">
        <f t="shared" si="2"/>
        <v>4728305.9400000004</v>
      </c>
      <c r="G10" s="3">
        <v>189714.56</v>
      </c>
      <c r="H10" s="3">
        <v>220659.54000000004</v>
      </c>
      <c r="I10" s="3">
        <v>773750.97</v>
      </c>
      <c r="J10" s="3">
        <v>389325.79000000004</v>
      </c>
      <c r="K10" s="3">
        <v>1661710</v>
      </c>
      <c r="L10" s="3">
        <v>1340265.22</v>
      </c>
      <c r="M10" s="3">
        <v>64140</v>
      </c>
      <c r="N10" s="3">
        <v>27895</v>
      </c>
      <c r="O10" s="3">
        <v>11110</v>
      </c>
      <c r="P10" s="3">
        <v>49734.86</v>
      </c>
    </row>
    <row r="11" spans="1:19" x14ac:dyDescent="0.3">
      <c r="A11" s="11">
        <v>45954</v>
      </c>
      <c r="B11" s="2">
        <f t="shared" si="0"/>
        <v>2465473.9300000006</v>
      </c>
      <c r="C11" s="2">
        <f t="shared" si="1"/>
        <v>7772058.4500000002</v>
      </c>
      <c r="D11" s="3">
        <v>1583492.08</v>
      </c>
      <c r="E11" s="3">
        <v>6188566.3700000001</v>
      </c>
      <c r="F11" s="3">
        <f t="shared" si="2"/>
        <v>5306584.5199999996</v>
      </c>
      <c r="G11" s="3">
        <v>123800</v>
      </c>
      <c r="H11" s="3">
        <v>317406.37</v>
      </c>
      <c r="I11" s="3">
        <v>704623.92</v>
      </c>
      <c r="J11" s="3">
        <v>460407.82999999996</v>
      </c>
      <c r="K11" s="3">
        <v>2310590</v>
      </c>
      <c r="L11" s="3">
        <v>1223855.1499999999</v>
      </c>
      <c r="M11" s="3">
        <v>65094</v>
      </c>
      <c r="N11" s="3">
        <v>35665.5</v>
      </c>
      <c r="O11" s="3">
        <v>14829</v>
      </c>
      <c r="P11" s="3">
        <v>50312.75</v>
      </c>
    </row>
    <row r="12" spans="1:19" x14ac:dyDescent="0.3">
      <c r="A12" s="11">
        <v>45985</v>
      </c>
      <c r="B12" s="2">
        <f t="shared" si="0"/>
        <v>1778122.8399999989</v>
      </c>
      <c r="C12" s="2">
        <f t="shared" si="1"/>
        <v>7168331.3499999996</v>
      </c>
      <c r="D12" s="3">
        <v>1399567.35</v>
      </c>
      <c r="E12" s="3">
        <v>5768764</v>
      </c>
      <c r="F12" s="3">
        <f t="shared" si="2"/>
        <v>5390208.5100000007</v>
      </c>
      <c r="G12" s="3">
        <v>119792.5</v>
      </c>
      <c r="H12" s="3">
        <v>279611.46000000002</v>
      </c>
      <c r="I12" s="3">
        <v>660804.91</v>
      </c>
      <c r="J12" s="3">
        <v>419037.03</v>
      </c>
      <c r="K12" s="3">
        <v>2494165</v>
      </c>
      <c r="L12" s="3">
        <v>1045332.21</v>
      </c>
      <c r="M12" s="3">
        <v>59696</v>
      </c>
      <c r="N12" s="3">
        <v>251155.5</v>
      </c>
      <c r="O12" s="3">
        <v>17816.5</v>
      </c>
      <c r="P12" s="3">
        <v>42797.4</v>
      </c>
    </row>
    <row r="13" spans="1:19" x14ac:dyDescent="0.3">
      <c r="A13" s="11">
        <v>46015</v>
      </c>
      <c r="B13" s="2">
        <f t="shared" si="0"/>
        <v>2949281.8</v>
      </c>
      <c r="C13" s="2">
        <f t="shared" si="1"/>
        <v>7569837.7000000002</v>
      </c>
      <c r="D13" s="3">
        <v>1627237.7</v>
      </c>
      <c r="E13" s="3">
        <v>5942600</v>
      </c>
      <c r="F13" s="3">
        <f t="shared" si="2"/>
        <v>4620555.9000000004</v>
      </c>
      <c r="G13" s="3">
        <v>142588.33000000002</v>
      </c>
      <c r="H13" s="3">
        <v>140654.54</v>
      </c>
      <c r="I13" s="3">
        <v>435351.4</v>
      </c>
      <c r="J13" s="3">
        <v>357619.18999999994</v>
      </c>
      <c r="K13" s="3">
        <v>2120739</v>
      </c>
      <c r="L13" s="3">
        <v>1175785.27</v>
      </c>
      <c r="M13" s="3">
        <v>65057</v>
      </c>
      <c r="N13" s="3">
        <v>82096</v>
      </c>
      <c r="O13" s="3">
        <v>21428.5</v>
      </c>
      <c r="P13" s="3">
        <v>79236.67</v>
      </c>
    </row>
    <row r="14" spans="1:19" x14ac:dyDescent="0.3">
      <c r="A14" s="11">
        <v>45682</v>
      </c>
      <c r="B14" s="2">
        <f t="shared" si="0"/>
        <v>3912292.7300000004</v>
      </c>
      <c r="C14" s="2">
        <f t="shared" si="1"/>
        <v>8782235.9000000004</v>
      </c>
      <c r="D14" s="3">
        <v>1759845.9</v>
      </c>
      <c r="E14" s="3">
        <v>7022390</v>
      </c>
      <c r="F14" s="3">
        <f t="shared" si="2"/>
        <v>4869943.17</v>
      </c>
      <c r="G14" s="3">
        <v>162885.64000000001</v>
      </c>
      <c r="H14" s="3">
        <v>190831.25000000003</v>
      </c>
      <c r="I14" s="3">
        <v>663376.3899999999</v>
      </c>
      <c r="J14" s="3">
        <v>344137.94</v>
      </c>
      <c r="K14" s="3">
        <v>2193228</v>
      </c>
      <c r="L14" s="3">
        <v>1182861.7</v>
      </c>
      <c r="M14" s="3">
        <v>56474</v>
      </c>
      <c r="N14" s="3">
        <v>15563</v>
      </c>
      <c r="O14" s="3">
        <v>16745</v>
      </c>
      <c r="P14" s="3">
        <v>43840.25</v>
      </c>
    </row>
    <row r="15" spans="1:19" x14ac:dyDescent="0.3">
      <c r="A15" s="11">
        <v>45713</v>
      </c>
      <c r="B15" s="2">
        <f t="shared" si="0"/>
        <v>2080049.5899999999</v>
      </c>
      <c r="C15" s="2">
        <f t="shared" si="1"/>
        <v>8668055.3499999996</v>
      </c>
      <c r="D15" s="3">
        <v>1302325.3500000001</v>
      </c>
      <c r="E15" s="3">
        <v>7365730</v>
      </c>
      <c r="F15" s="3">
        <f t="shared" si="2"/>
        <v>6588005.7599999998</v>
      </c>
      <c r="G15" s="3">
        <v>113950</v>
      </c>
      <c r="H15" s="3">
        <v>366209.15000000008</v>
      </c>
      <c r="I15" s="3">
        <v>682561.33</v>
      </c>
      <c r="J15" s="3">
        <v>471971.73</v>
      </c>
      <c r="K15" s="3">
        <v>2973130.06</v>
      </c>
      <c r="L15" s="3">
        <v>1517286.99</v>
      </c>
      <c r="M15" s="3">
        <v>82564</v>
      </c>
      <c r="N15" s="3">
        <v>321390</v>
      </c>
      <c r="O15" s="3">
        <v>15307.5</v>
      </c>
      <c r="P15" s="3">
        <v>43635</v>
      </c>
    </row>
    <row r="16" spans="1:19" x14ac:dyDescent="0.3">
      <c r="A16" s="11">
        <v>45741</v>
      </c>
      <c r="B16" s="2">
        <f t="shared" si="0"/>
        <v>3708698.8299999991</v>
      </c>
      <c r="C16" s="2">
        <f t="shared" si="1"/>
        <v>10041494.699999999</v>
      </c>
      <c r="D16" s="3">
        <v>1489754.7</v>
      </c>
      <c r="E16" s="3">
        <v>8551740</v>
      </c>
      <c r="F16" s="3">
        <f t="shared" si="2"/>
        <v>6332795.8700000001</v>
      </c>
      <c r="G16" s="3">
        <v>182287.5</v>
      </c>
      <c r="H16" s="3">
        <v>421707.76000000007</v>
      </c>
      <c r="I16" s="3">
        <v>670490.00000000012</v>
      </c>
      <c r="J16" s="3">
        <v>444615.78</v>
      </c>
      <c r="K16" s="3">
        <v>2912416</v>
      </c>
      <c r="L16" s="3">
        <v>1392580.0799999998</v>
      </c>
      <c r="M16" s="3">
        <v>77926</v>
      </c>
      <c r="N16" s="3">
        <v>172375</v>
      </c>
      <c r="O16" s="3">
        <v>14952.5</v>
      </c>
      <c r="P16" s="3">
        <v>43445.25</v>
      </c>
    </row>
    <row r="17" spans="4:16" x14ac:dyDescent="0.3">
      <c r="D17" s="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1BC49-7041-4C28-9A58-FC15CE961CAB}">
  <dimension ref="A1:Z16"/>
  <sheetViews>
    <sheetView tabSelected="1" workbookViewId="0">
      <selection sqref="A1:XFD1"/>
    </sheetView>
  </sheetViews>
  <sheetFormatPr defaultRowHeight="14.4" x14ac:dyDescent="0.3"/>
  <cols>
    <col min="1" max="1" width="5" bestFit="1" customWidth="1"/>
    <col min="2" max="2" width="9.77734375" bestFit="1" customWidth="1"/>
    <col min="3" max="3" width="12.5546875" bestFit="1" customWidth="1"/>
  </cols>
  <sheetData>
    <row r="1" spans="1:26" x14ac:dyDescent="0.3">
      <c r="A1" s="6" t="s">
        <v>0</v>
      </c>
      <c r="B1" s="6" t="s">
        <v>1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  <c r="L1" s="7" t="s">
        <v>36</v>
      </c>
      <c r="M1" s="8" t="s">
        <v>37</v>
      </c>
      <c r="N1" s="8" t="s">
        <v>38</v>
      </c>
      <c r="O1" s="8" t="s">
        <v>39</v>
      </c>
      <c r="P1" s="8" t="s">
        <v>40</v>
      </c>
      <c r="Q1" s="8" t="s">
        <v>41</v>
      </c>
      <c r="R1" s="8" t="s">
        <v>42</v>
      </c>
      <c r="S1" s="8" t="s">
        <v>43</v>
      </c>
      <c r="T1" s="8" t="s">
        <v>44</v>
      </c>
      <c r="U1" s="8" t="s">
        <v>45</v>
      </c>
      <c r="V1" s="8" t="s">
        <v>46</v>
      </c>
      <c r="W1" s="8" t="s">
        <v>47</v>
      </c>
      <c r="X1" s="8" t="s">
        <v>48</v>
      </c>
      <c r="Y1" s="8" t="s">
        <v>49</v>
      </c>
      <c r="Z1" s="8" t="s">
        <v>50</v>
      </c>
    </row>
    <row r="2" spans="1:26" x14ac:dyDescent="0.3">
      <c r="A2" s="9">
        <v>2024</v>
      </c>
      <c r="B2" s="9" t="s">
        <v>15</v>
      </c>
      <c r="C2" s="10">
        <v>37</v>
      </c>
      <c r="D2" s="10">
        <v>20</v>
      </c>
      <c r="E2" s="10">
        <v>65</v>
      </c>
      <c r="F2" s="10">
        <v>4</v>
      </c>
      <c r="G2" s="10">
        <v>17</v>
      </c>
      <c r="H2" s="10">
        <v>31</v>
      </c>
      <c r="I2" s="10">
        <v>4</v>
      </c>
      <c r="J2" s="10">
        <v>68</v>
      </c>
      <c r="K2" s="10">
        <v>96</v>
      </c>
      <c r="L2" s="10">
        <v>29</v>
      </c>
      <c r="M2" s="9">
        <v>13</v>
      </c>
      <c r="N2" s="9">
        <v>6</v>
      </c>
      <c r="O2" s="9">
        <v>203</v>
      </c>
      <c r="P2" s="9">
        <v>140</v>
      </c>
      <c r="Q2" s="9">
        <v>117</v>
      </c>
      <c r="R2" s="9">
        <v>112</v>
      </c>
      <c r="S2" s="9">
        <v>28</v>
      </c>
      <c r="T2" s="9">
        <v>53</v>
      </c>
      <c r="U2" s="9">
        <v>40</v>
      </c>
      <c r="V2" s="9">
        <v>36</v>
      </c>
      <c r="W2" s="9">
        <v>57</v>
      </c>
      <c r="X2" s="9">
        <v>32</v>
      </c>
      <c r="Y2" s="9">
        <v>15</v>
      </c>
      <c r="Z2" s="9">
        <v>23</v>
      </c>
    </row>
    <row r="3" spans="1:26" x14ac:dyDescent="0.3">
      <c r="A3" s="9">
        <v>2024</v>
      </c>
      <c r="B3" s="9" t="s">
        <v>16</v>
      </c>
      <c r="C3" s="10">
        <v>18</v>
      </c>
      <c r="D3" s="10">
        <v>13</v>
      </c>
      <c r="E3" s="10">
        <v>47</v>
      </c>
      <c r="F3" s="10">
        <v>14</v>
      </c>
      <c r="G3" s="10">
        <v>5</v>
      </c>
      <c r="H3" s="10">
        <v>14</v>
      </c>
      <c r="I3" s="10">
        <v>2</v>
      </c>
      <c r="J3" s="10">
        <v>47</v>
      </c>
      <c r="K3" s="10">
        <v>61</v>
      </c>
      <c r="L3" s="10">
        <v>41</v>
      </c>
      <c r="M3" s="9">
        <v>3</v>
      </c>
      <c r="N3" s="9">
        <v>4</v>
      </c>
      <c r="O3" s="9">
        <v>207</v>
      </c>
      <c r="P3" s="9">
        <v>137</v>
      </c>
      <c r="Q3" s="9">
        <v>129</v>
      </c>
      <c r="R3" s="9">
        <v>136</v>
      </c>
      <c r="S3" s="9">
        <v>31</v>
      </c>
      <c r="T3" s="9">
        <v>40</v>
      </c>
      <c r="U3" s="9">
        <v>55</v>
      </c>
      <c r="V3" s="9">
        <v>29</v>
      </c>
      <c r="W3" s="9">
        <v>59</v>
      </c>
      <c r="X3" s="9">
        <v>28</v>
      </c>
      <c r="Y3" s="9">
        <v>14</v>
      </c>
      <c r="Z3" s="9">
        <v>22</v>
      </c>
    </row>
    <row r="4" spans="1:26" x14ac:dyDescent="0.3">
      <c r="A4" s="9">
        <v>2024</v>
      </c>
      <c r="B4" s="9" t="s">
        <v>17</v>
      </c>
      <c r="C4" s="10">
        <v>23</v>
      </c>
      <c r="D4" s="10">
        <v>11</v>
      </c>
      <c r="E4" s="10">
        <v>48</v>
      </c>
      <c r="F4" s="10">
        <v>12</v>
      </c>
      <c r="G4" s="10">
        <v>12</v>
      </c>
      <c r="H4" s="10">
        <v>29</v>
      </c>
      <c r="I4" s="10">
        <v>4</v>
      </c>
      <c r="J4" s="10">
        <v>55</v>
      </c>
      <c r="K4" s="10">
        <v>77</v>
      </c>
      <c r="L4" s="10">
        <v>44</v>
      </c>
      <c r="M4" s="9">
        <v>6</v>
      </c>
      <c r="N4" s="9">
        <v>8</v>
      </c>
      <c r="O4" s="9">
        <v>199</v>
      </c>
      <c r="P4" s="9">
        <v>135</v>
      </c>
      <c r="Q4" s="9">
        <v>115</v>
      </c>
      <c r="R4" s="9">
        <v>134</v>
      </c>
      <c r="S4" s="9">
        <v>24</v>
      </c>
      <c r="T4" s="9">
        <v>35</v>
      </c>
      <c r="U4" s="9">
        <v>38</v>
      </c>
      <c r="V4" s="9">
        <v>37</v>
      </c>
      <c r="W4" s="9">
        <v>59</v>
      </c>
      <c r="X4" s="9">
        <v>28</v>
      </c>
      <c r="Y4" s="9">
        <v>16</v>
      </c>
      <c r="Z4" s="9">
        <v>21</v>
      </c>
    </row>
    <row r="5" spans="1:26" x14ac:dyDescent="0.3">
      <c r="A5" s="9">
        <v>2024</v>
      </c>
      <c r="B5" s="9" t="s">
        <v>18</v>
      </c>
      <c r="C5" s="10">
        <v>21</v>
      </c>
      <c r="D5" s="10">
        <v>6</v>
      </c>
      <c r="E5" s="10">
        <v>22</v>
      </c>
      <c r="F5" s="10">
        <v>10</v>
      </c>
      <c r="G5" s="10">
        <v>15</v>
      </c>
      <c r="H5" s="10">
        <v>35</v>
      </c>
      <c r="I5" s="10">
        <v>7</v>
      </c>
      <c r="J5" s="10">
        <v>34</v>
      </c>
      <c r="K5" s="10">
        <v>57</v>
      </c>
      <c r="L5" s="10">
        <v>40</v>
      </c>
      <c r="M5" s="9">
        <v>7</v>
      </c>
      <c r="N5" s="9">
        <v>8</v>
      </c>
      <c r="O5" s="9">
        <v>211</v>
      </c>
      <c r="P5" s="9">
        <v>140</v>
      </c>
      <c r="Q5" s="9">
        <v>130</v>
      </c>
      <c r="R5" s="9">
        <v>129</v>
      </c>
      <c r="S5" s="9">
        <v>27</v>
      </c>
      <c r="T5" s="9">
        <v>46</v>
      </c>
      <c r="U5" s="9">
        <v>52</v>
      </c>
      <c r="V5" s="9">
        <v>32</v>
      </c>
      <c r="W5" s="9">
        <v>64</v>
      </c>
      <c r="X5" s="9">
        <v>26</v>
      </c>
      <c r="Y5" s="9">
        <v>17</v>
      </c>
      <c r="Z5" s="9">
        <v>20</v>
      </c>
    </row>
    <row r="6" spans="1:26" x14ac:dyDescent="0.3">
      <c r="A6" s="9">
        <v>2024</v>
      </c>
      <c r="B6" s="9" t="s">
        <v>19</v>
      </c>
      <c r="C6" s="10">
        <v>37</v>
      </c>
      <c r="D6" s="10">
        <v>19</v>
      </c>
      <c r="E6" s="10">
        <v>58</v>
      </c>
      <c r="F6" s="10">
        <v>16</v>
      </c>
      <c r="G6" s="10">
        <v>18</v>
      </c>
      <c r="H6" s="10">
        <v>35</v>
      </c>
      <c r="I6" s="10">
        <v>9</v>
      </c>
      <c r="J6" s="10">
        <v>67</v>
      </c>
      <c r="K6" s="10">
        <v>93</v>
      </c>
      <c r="L6" s="10">
        <v>38</v>
      </c>
      <c r="M6" s="9">
        <v>11</v>
      </c>
      <c r="N6" s="9">
        <v>12</v>
      </c>
      <c r="O6" s="9">
        <v>232</v>
      </c>
      <c r="P6" s="9">
        <v>161</v>
      </c>
      <c r="Q6" s="9">
        <v>136</v>
      </c>
      <c r="R6" s="9">
        <v>165</v>
      </c>
      <c r="S6" s="9">
        <v>18</v>
      </c>
      <c r="T6" s="9">
        <v>47</v>
      </c>
      <c r="U6" s="9">
        <v>42</v>
      </c>
      <c r="V6" s="9">
        <v>30</v>
      </c>
      <c r="W6" s="9">
        <v>62</v>
      </c>
      <c r="X6" s="9">
        <v>30</v>
      </c>
      <c r="Y6" s="9">
        <v>38</v>
      </c>
      <c r="Z6" s="9">
        <v>30</v>
      </c>
    </row>
    <row r="7" spans="1:26" x14ac:dyDescent="0.3">
      <c r="A7" s="9">
        <v>2024</v>
      </c>
      <c r="B7" s="9" t="s">
        <v>20</v>
      </c>
      <c r="C7" s="10">
        <v>29</v>
      </c>
      <c r="D7" s="10">
        <v>18</v>
      </c>
      <c r="E7" s="10">
        <v>70</v>
      </c>
      <c r="F7" s="10">
        <v>10</v>
      </c>
      <c r="G7" s="10">
        <v>11</v>
      </c>
      <c r="H7" s="10">
        <v>22</v>
      </c>
      <c r="I7" s="10">
        <v>2</v>
      </c>
      <c r="J7" s="10">
        <v>73</v>
      </c>
      <c r="K7" s="10">
        <v>92</v>
      </c>
      <c r="L7" s="10">
        <v>40</v>
      </c>
      <c r="M7" s="9">
        <v>10</v>
      </c>
      <c r="N7" s="9">
        <v>6</v>
      </c>
      <c r="O7" s="9">
        <v>219</v>
      </c>
      <c r="P7" s="9">
        <v>142</v>
      </c>
      <c r="Q7" s="9">
        <v>135</v>
      </c>
      <c r="R7" s="9">
        <v>147</v>
      </c>
      <c r="S7" s="9">
        <v>28</v>
      </c>
      <c r="T7" s="9">
        <v>47</v>
      </c>
      <c r="U7" s="9">
        <v>41</v>
      </c>
      <c r="V7" s="9">
        <v>38</v>
      </c>
      <c r="W7" s="9">
        <v>59</v>
      </c>
      <c r="X7" s="9">
        <v>25</v>
      </c>
      <c r="Y7" s="9">
        <v>20</v>
      </c>
      <c r="Z7" s="9">
        <v>36</v>
      </c>
    </row>
    <row r="8" spans="1:26" x14ac:dyDescent="0.3">
      <c r="A8" s="9">
        <v>2024</v>
      </c>
      <c r="B8" s="9" t="s">
        <v>21</v>
      </c>
      <c r="C8" s="10">
        <v>33</v>
      </c>
      <c r="D8" s="10">
        <v>24</v>
      </c>
      <c r="E8" s="10">
        <v>94</v>
      </c>
      <c r="F8" s="10">
        <v>14</v>
      </c>
      <c r="G8" s="10">
        <v>9</v>
      </c>
      <c r="H8" s="10">
        <v>15</v>
      </c>
      <c r="I8" s="10">
        <v>2</v>
      </c>
      <c r="J8" s="10">
        <v>92</v>
      </c>
      <c r="K8" s="10">
        <v>109</v>
      </c>
      <c r="L8" s="10">
        <v>36</v>
      </c>
      <c r="M8" s="9">
        <v>8</v>
      </c>
      <c r="N8" s="9">
        <v>7</v>
      </c>
      <c r="O8" s="9">
        <v>231</v>
      </c>
      <c r="P8" s="9">
        <v>167</v>
      </c>
      <c r="Q8" s="9">
        <v>123</v>
      </c>
      <c r="R8" s="9">
        <v>149</v>
      </c>
      <c r="S8" s="9">
        <v>24</v>
      </c>
      <c r="T8" s="9">
        <v>54</v>
      </c>
      <c r="U8" s="9">
        <v>47</v>
      </c>
      <c r="V8" s="9">
        <v>33</v>
      </c>
      <c r="W8" s="9">
        <v>62</v>
      </c>
      <c r="X8" s="9">
        <v>40</v>
      </c>
      <c r="Y8" s="9">
        <v>29</v>
      </c>
      <c r="Z8" s="9">
        <v>20</v>
      </c>
    </row>
    <row r="9" spans="1:26" x14ac:dyDescent="0.3">
      <c r="A9" s="9">
        <v>2024</v>
      </c>
      <c r="B9" s="9" t="s">
        <v>22</v>
      </c>
      <c r="C9" s="10">
        <v>25</v>
      </c>
      <c r="D9" s="10">
        <v>8</v>
      </c>
      <c r="E9" s="10">
        <v>33</v>
      </c>
      <c r="F9" s="10">
        <v>14</v>
      </c>
      <c r="G9" s="10">
        <v>17</v>
      </c>
      <c r="H9" s="10">
        <v>34</v>
      </c>
      <c r="I9" s="10">
        <v>8</v>
      </c>
      <c r="J9" s="10">
        <v>52</v>
      </c>
      <c r="K9" s="10">
        <v>67</v>
      </c>
      <c r="L9" s="10">
        <v>41</v>
      </c>
      <c r="M9" s="9">
        <v>4</v>
      </c>
      <c r="N9" s="9">
        <v>10</v>
      </c>
      <c r="O9" s="9">
        <v>243</v>
      </c>
      <c r="P9" s="9">
        <v>175</v>
      </c>
      <c r="Q9" s="9">
        <v>139</v>
      </c>
      <c r="R9" s="9">
        <v>137</v>
      </c>
      <c r="S9" s="9">
        <v>28</v>
      </c>
      <c r="T9" s="9">
        <v>59</v>
      </c>
      <c r="U9" s="9">
        <v>49</v>
      </c>
      <c r="V9" s="9">
        <v>45</v>
      </c>
      <c r="W9" s="9">
        <v>66</v>
      </c>
      <c r="X9" s="9">
        <v>24</v>
      </c>
      <c r="Y9" s="9">
        <v>24</v>
      </c>
      <c r="Z9" s="9">
        <v>35</v>
      </c>
    </row>
    <row r="10" spans="1:26" x14ac:dyDescent="0.3">
      <c r="A10" s="9">
        <v>2024</v>
      </c>
      <c r="B10" s="9" t="s">
        <v>23</v>
      </c>
      <c r="C10" s="10">
        <v>30</v>
      </c>
      <c r="D10" s="10">
        <v>14</v>
      </c>
      <c r="E10" s="10">
        <v>46</v>
      </c>
      <c r="F10" s="10">
        <v>8</v>
      </c>
      <c r="G10" s="10">
        <v>16</v>
      </c>
      <c r="H10" s="10">
        <v>19</v>
      </c>
      <c r="I10" s="10">
        <v>7</v>
      </c>
      <c r="J10" s="10">
        <v>47</v>
      </c>
      <c r="K10" s="10">
        <v>65</v>
      </c>
      <c r="L10" s="10">
        <v>31</v>
      </c>
      <c r="M10" s="9">
        <v>7</v>
      </c>
      <c r="N10" s="9">
        <v>11</v>
      </c>
      <c r="O10" s="9">
        <v>216</v>
      </c>
      <c r="P10" s="9">
        <v>155</v>
      </c>
      <c r="Q10" s="9">
        <v>138</v>
      </c>
      <c r="R10" s="9">
        <v>142</v>
      </c>
      <c r="S10" s="9">
        <v>28</v>
      </c>
      <c r="T10" s="9">
        <v>48</v>
      </c>
      <c r="U10" s="9">
        <v>53</v>
      </c>
      <c r="V10" s="9">
        <v>20</v>
      </c>
      <c r="W10" s="9">
        <v>58</v>
      </c>
      <c r="X10" s="9">
        <v>24</v>
      </c>
      <c r="Y10" s="9">
        <v>22</v>
      </c>
      <c r="Z10" s="9">
        <v>39</v>
      </c>
    </row>
    <row r="11" spans="1:26" x14ac:dyDescent="0.3">
      <c r="A11" s="9">
        <v>2024</v>
      </c>
      <c r="B11" s="9" t="s">
        <v>24</v>
      </c>
      <c r="C11" s="10">
        <v>25</v>
      </c>
      <c r="D11" s="10">
        <v>10</v>
      </c>
      <c r="E11" s="10">
        <v>39</v>
      </c>
      <c r="F11" s="10">
        <v>14</v>
      </c>
      <c r="G11" s="10">
        <v>15</v>
      </c>
      <c r="H11" s="10">
        <v>25</v>
      </c>
      <c r="I11" s="10">
        <v>7</v>
      </c>
      <c r="J11" s="10">
        <v>38</v>
      </c>
      <c r="K11" s="10">
        <v>64</v>
      </c>
      <c r="L11" s="10">
        <v>39</v>
      </c>
      <c r="M11" s="9">
        <v>5</v>
      </c>
      <c r="N11" s="9">
        <v>10</v>
      </c>
      <c r="O11" s="9">
        <v>242</v>
      </c>
      <c r="P11" s="9">
        <v>176</v>
      </c>
      <c r="Q11" s="9">
        <v>124</v>
      </c>
      <c r="R11" s="9">
        <v>169</v>
      </c>
      <c r="S11" s="9">
        <v>30</v>
      </c>
      <c r="T11" s="9">
        <v>47</v>
      </c>
      <c r="U11" s="9">
        <v>50</v>
      </c>
      <c r="V11" s="9">
        <v>36</v>
      </c>
      <c r="W11" s="9">
        <v>69</v>
      </c>
      <c r="X11" s="9">
        <v>30</v>
      </c>
      <c r="Y11" s="9">
        <v>18</v>
      </c>
      <c r="Z11" s="9">
        <v>39</v>
      </c>
    </row>
    <row r="12" spans="1:26" x14ac:dyDescent="0.3">
      <c r="A12" s="9">
        <v>2024</v>
      </c>
      <c r="B12" s="9" t="s">
        <v>25</v>
      </c>
      <c r="C12" s="10">
        <v>28</v>
      </c>
      <c r="D12" s="10">
        <v>12</v>
      </c>
      <c r="E12" s="10">
        <v>30</v>
      </c>
      <c r="F12" s="10">
        <v>13</v>
      </c>
      <c r="G12" s="10">
        <v>16</v>
      </c>
      <c r="H12" s="10">
        <v>27</v>
      </c>
      <c r="I12" s="10">
        <v>6</v>
      </c>
      <c r="J12" s="10">
        <v>36</v>
      </c>
      <c r="K12" s="10">
        <v>57</v>
      </c>
      <c r="L12" s="10">
        <v>38</v>
      </c>
      <c r="M12" s="9">
        <v>7</v>
      </c>
      <c r="N12" s="9">
        <v>8</v>
      </c>
      <c r="O12" s="9">
        <v>234</v>
      </c>
      <c r="P12" s="9">
        <v>165</v>
      </c>
      <c r="Q12" s="9">
        <v>152</v>
      </c>
      <c r="R12" s="9">
        <v>171</v>
      </c>
      <c r="S12" s="9">
        <v>31</v>
      </c>
      <c r="T12" s="9">
        <v>47</v>
      </c>
      <c r="U12" s="9">
        <v>49</v>
      </c>
      <c r="V12" s="9">
        <v>37</v>
      </c>
      <c r="W12" s="9">
        <v>67</v>
      </c>
      <c r="X12" s="9">
        <v>23</v>
      </c>
      <c r="Y12" s="9">
        <v>16</v>
      </c>
      <c r="Z12" s="9">
        <v>42</v>
      </c>
    </row>
    <row r="13" spans="1:26" x14ac:dyDescent="0.3">
      <c r="A13" s="9">
        <v>2024</v>
      </c>
      <c r="B13" s="9" t="s">
        <v>26</v>
      </c>
      <c r="C13" s="10">
        <v>18</v>
      </c>
      <c r="D13" s="10">
        <v>9</v>
      </c>
      <c r="E13" s="10">
        <v>32</v>
      </c>
      <c r="F13" s="10">
        <v>3</v>
      </c>
      <c r="G13" s="10">
        <v>9</v>
      </c>
      <c r="H13" s="10">
        <v>21</v>
      </c>
      <c r="I13" s="10">
        <v>4</v>
      </c>
      <c r="J13" s="10">
        <v>39</v>
      </c>
      <c r="K13" s="10">
        <v>53</v>
      </c>
      <c r="L13" s="10">
        <v>45</v>
      </c>
      <c r="M13" s="9">
        <v>8</v>
      </c>
      <c r="N13" s="9">
        <v>3</v>
      </c>
      <c r="O13" s="9">
        <v>196</v>
      </c>
      <c r="P13" s="9">
        <v>150</v>
      </c>
      <c r="Q13" s="9">
        <v>128</v>
      </c>
      <c r="R13" s="9">
        <v>137</v>
      </c>
      <c r="S13" s="9">
        <v>25</v>
      </c>
      <c r="T13" s="9">
        <v>53</v>
      </c>
      <c r="U13" s="9">
        <v>41</v>
      </c>
      <c r="V13" s="9">
        <v>29</v>
      </c>
      <c r="W13" s="9">
        <v>57</v>
      </c>
      <c r="X13" s="9">
        <v>25</v>
      </c>
      <c r="Y13" s="9">
        <v>17</v>
      </c>
      <c r="Z13" s="9">
        <v>27</v>
      </c>
    </row>
    <row r="14" spans="1:26" x14ac:dyDescent="0.3">
      <c r="A14" s="9">
        <v>2025</v>
      </c>
      <c r="B14" s="9" t="s">
        <v>15</v>
      </c>
      <c r="C14" s="10">
        <v>26</v>
      </c>
      <c r="D14" s="10">
        <v>10</v>
      </c>
      <c r="E14" s="10">
        <v>31</v>
      </c>
      <c r="F14" s="10">
        <v>11</v>
      </c>
      <c r="G14" s="10">
        <v>16</v>
      </c>
      <c r="H14" s="10">
        <v>35</v>
      </c>
      <c r="I14" s="10">
        <v>11</v>
      </c>
      <c r="J14" s="10">
        <v>47</v>
      </c>
      <c r="K14" s="10">
        <v>66</v>
      </c>
      <c r="L14" s="10">
        <v>43</v>
      </c>
      <c r="M14" s="9">
        <v>5</v>
      </c>
      <c r="N14" s="9">
        <v>8</v>
      </c>
      <c r="O14" s="9">
        <v>216</v>
      </c>
      <c r="P14" s="9">
        <v>150</v>
      </c>
      <c r="Q14" s="9">
        <v>142</v>
      </c>
      <c r="R14" s="9">
        <v>147</v>
      </c>
      <c r="S14" s="9">
        <v>16</v>
      </c>
      <c r="T14" s="9">
        <v>50</v>
      </c>
      <c r="U14" s="9">
        <v>40</v>
      </c>
      <c r="V14" s="9">
        <v>33</v>
      </c>
      <c r="W14" s="9">
        <v>58</v>
      </c>
      <c r="X14" s="9">
        <v>28</v>
      </c>
      <c r="Y14" s="9">
        <v>21</v>
      </c>
      <c r="Z14" s="9">
        <v>36</v>
      </c>
    </row>
    <row r="15" spans="1:26" x14ac:dyDescent="0.3">
      <c r="A15" s="9">
        <v>2025</v>
      </c>
      <c r="B15" s="9" t="s">
        <v>16</v>
      </c>
      <c r="C15" s="10">
        <v>30</v>
      </c>
      <c r="D15" s="10">
        <v>8</v>
      </c>
      <c r="E15" s="10">
        <v>32</v>
      </c>
      <c r="F15" s="10">
        <v>18</v>
      </c>
      <c r="G15" s="10">
        <v>22</v>
      </c>
      <c r="H15" s="10">
        <v>41</v>
      </c>
      <c r="I15" s="10">
        <v>8</v>
      </c>
      <c r="J15" s="10">
        <v>57</v>
      </c>
      <c r="K15" s="10">
        <v>73</v>
      </c>
      <c r="L15" s="10">
        <v>54</v>
      </c>
      <c r="M15" s="9">
        <v>9</v>
      </c>
      <c r="N15" s="9">
        <v>4</v>
      </c>
      <c r="O15" s="9">
        <v>240</v>
      </c>
      <c r="P15" s="9">
        <v>177</v>
      </c>
      <c r="Q15" s="9">
        <v>136</v>
      </c>
      <c r="R15" s="9">
        <v>168</v>
      </c>
      <c r="S15" s="9">
        <v>29</v>
      </c>
      <c r="T15" s="9">
        <v>57</v>
      </c>
      <c r="U15" s="9">
        <v>44</v>
      </c>
      <c r="V15" s="9">
        <v>40</v>
      </c>
      <c r="W15" s="9">
        <v>74</v>
      </c>
      <c r="X15" s="9">
        <v>23</v>
      </c>
      <c r="Y15" s="9">
        <v>10</v>
      </c>
      <c r="Z15" s="9">
        <v>49</v>
      </c>
    </row>
    <row r="16" spans="1:26" x14ac:dyDescent="0.3">
      <c r="A16" s="9">
        <v>2025</v>
      </c>
      <c r="B16" s="9" t="s">
        <v>17</v>
      </c>
      <c r="C16" s="10">
        <v>30</v>
      </c>
      <c r="D16" s="10">
        <v>12</v>
      </c>
      <c r="E16" s="10">
        <v>37</v>
      </c>
      <c r="F16" s="10">
        <v>17</v>
      </c>
      <c r="G16" s="10">
        <v>18</v>
      </c>
      <c r="H16" s="10">
        <v>38</v>
      </c>
      <c r="I16" s="10">
        <v>5</v>
      </c>
      <c r="J16" s="10">
        <v>51</v>
      </c>
      <c r="K16" s="10">
        <v>75</v>
      </c>
      <c r="L16" s="10">
        <v>43</v>
      </c>
      <c r="M16" s="9">
        <v>7</v>
      </c>
      <c r="N16" s="9">
        <v>8</v>
      </c>
      <c r="O16" s="9">
        <v>212</v>
      </c>
      <c r="P16" s="9">
        <v>148</v>
      </c>
      <c r="Q16" s="9">
        <v>135</v>
      </c>
      <c r="R16" s="9">
        <v>144</v>
      </c>
      <c r="S16" s="9">
        <v>28</v>
      </c>
      <c r="T16" s="9">
        <v>52</v>
      </c>
      <c r="U16" s="9">
        <v>36</v>
      </c>
      <c r="V16" s="9">
        <v>28</v>
      </c>
      <c r="W16" s="9">
        <v>69</v>
      </c>
      <c r="X16" s="9">
        <v>24</v>
      </c>
      <c r="Y16" s="9">
        <v>22</v>
      </c>
      <c r="Z16" s="9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607D6-6728-4EEC-88A1-CFF4786B7C12}">
  <dimension ref="A1:J9"/>
  <sheetViews>
    <sheetView workbookViewId="0">
      <selection sqref="A1:J9"/>
    </sheetView>
  </sheetViews>
  <sheetFormatPr defaultRowHeight="14.4" x14ac:dyDescent="0.3"/>
  <sheetData>
    <row r="1" spans="1:10" x14ac:dyDescent="0.3">
      <c r="A1" s="12" t="s">
        <v>53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3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3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3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3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 x14ac:dyDescent="0.3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0" x14ac:dyDescent="0.3">
      <c r="A7" s="12"/>
      <c r="B7" s="12"/>
      <c r="C7" s="12"/>
      <c r="D7" s="12"/>
      <c r="E7" s="12"/>
      <c r="F7" s="12"/>
      <c r="G7" s="12"/>
      <c r="H7" s="12"/>
      <c r="I7" s="12"/>
      <c r="J7" s="12"/>
    </row>
    <row r="8" spans="1:10" x14ac:dyDescent="0.3">
      <c r="A8" s="12"/>
      <c r="B8" s="12"/>
      <c r="C8" s="12"/>
      <c r="D8" s="12"/>
      <c r="E8" s="12"/>
      <c r="F8" s="12"/>
      <c r="G8" s="12"/>
      <c r="H8" s="12"/>
      <c r="I8" s="12"/>
      <c r="J8" s="12"/>
    </row>
    <row r="9" spans="1:10" x14ac:dyDescent="0.3">
      <c r="A9" s="12"/>
      <c r="B9" s="12"/>
      <c r="C9" s="12"/>
      <c r="D9" s="12"/>
      <c r="E9" s="12"/>
      <c r="F9" s="12"/>
      <c r="G9" s="12"/>
      <c r="H9" s="12"/>
      <c r="I9" s="12"/>
      <c r="J9" s="12"/>
    </row>
  </sheetData>
  <mergeCells count="1">
    <mergeCell ref="A1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CostsANDRevenues</vt:lpstr>
      <vt:lpstr>Clinical Data Sheet 1</vt:lpstr>
      <vt:lpstr>Sheet5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Levanos</dc:creator>
  <cp:keywords/>
  <dc:description/>
  <cp:lastModifiedBy>Morman, Brian</cp:lastModifiedBy>
  <cp:revision/>
  <dcterms:created xsi:type="dcterms:W3CDTF">2025-05-30T13:32:49Z</dcterms:created>
  <dcterms:modified xsi:type="dcterms:W3CDTF">2025-06-28T16:07:44Z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