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z173f\Desktop\Git\dailyworkspace\PythonProjects\"/>
    </mc:Choice>
  </mc:AlternateContent>
  <xr:revisionPtr revIDLastSave="0" documentId="13_ncr:1_{EB3810F0-DC5D-4A25-AAAD-5224EBC18F73}" xr6:coauthVersionLast="47" xr6:coauthVersionMax="47" xr10:uidLastSave="{00000000-0000-0000-0000-000000000000}"/>
  <bookViews>
    <workbookView minimized="1" xWindow="29280" yWindow="480" windowWidth="21600" windowHeight="11160" xr2:uid="{DD1BB009-CD56-4985-B662-562FF8E900D4}"/>
  </bookViews>
  <sheets>
    <sheet name="Rev1 Const Temp and Hu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22" i="1"/>
  <c r="B20" i="1"/>
  <c r="B18" i="1"/>
  <c r="B16" i="1"/>
  <c r="B17" i="1" s="1"/>
  <c r="B19" i="1" s="1"/>
  <c r="B21" i="1" s="1"/>
  <c r="B23" i="1" l="1"/>
  <c r="B24" i="1" s="1"/>
</calcChain>
</file>

<file path=xl/sharedStrings.xml><?xml version="1.0" encoding="utf-8"?>
<sst xmlns="http://schemas.openxmlformats.org/spreadsheetml/2006/main" count="23" uniqueCount="23">
  <si>
    <t>Inputs</t>
  </si>
  <si>
    <t>Years of life expected</t>
  </si>
  <si>
    <t>Confidence</t>
  </si>
  <si>
    <t>Failures Allowed</t>
  </si>
  <si>
    <t>Test Humidity (RH)</t>
  </si>
  <si>
    <t>Application Humidity (RH)</t>
  </si>
  <si>
    <t>Humidity Exponent (n)</t>
  </si>
  <si>
    <t>Number of samples</t>
  </si>
  <si>
    <t>Test Temp ©</t>
  </si>
  <si>
    <t>Application Temp ©</t>
  </si>
  <si>
    <t>Activation Energy (eV)</t>
  </si>
  <si>
    <t>Constants and Intermediate Calculations</t>
  </si>
  <si>
    <t>Boltzmann Constant (ev/K)</t>
  </si>
  <si>
    <t>Test Temp (K)</t>
  </si>
  <si>
    <t>Application Temp (K)</t>
  </si>
  <si>
    <t>Humidity Acceleration Factor</t>
  </si>
  <si>
    <t>Temp Acceleration Factor</t>
  </si>
  <si>
    <t>Application Failure rate (Lambda_App)</t>
  </si>
  <si>
    <t>Test Failure rate (Lambda_Test)</t>
  </si>
  <si>
    <t>Chi-square Quantile</t>
  </si>
  <si>
    <t>Required Test time (hours)</t>
  </si>
  <si>
    <t>Required Test time (days)</t>
  </si>
  <si>
    <t>Total Acceleration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</si>
</sst>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000"/>
  </numFmts>
  <fonts count="3" x14ac:knownFonts="1">
    <font>
      <sz val="11"/>
      <color theme="1"/>
      <name val="Aptos Narrow"/>
      <family val="2"/>
      <scheme val="minor"/>
    </font>
    <font>
      <sz val="10"/>
      <color rgb="FF394957"/>
      <name val="Arial"/>
      <family val="2"/>
    </font>
    <font>
      <sz val="10"/>
      <color rgb="FF394957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7F8F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2" fontId="0" fillId="3" borderId="0" xfId="0" applyNumberFormat="1" applyFill="1"/>
    <xf numFmtId="2" fontId="1" fillId="2" borderId="0" xfId="0" applyNumberFormat="1" applyFont="1" applyFill="1" applyAlignment="1">
      <alignment vertical="center" wrapText="1"/>
    </xf>
    <xf numFmtId="2" fontId="0" fillId="0" borderId="0" xfId="0" applyNumberFormat="1"/>
    <xf numFmtId="168" fontId="1" fillId="2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2CE59-BF8A-4E85-8EF7-8DDAECEDCD70}">
  <dimension ref="A2:B24"/>
  <sheetViews>
    <sheetView tabSelected="1" workbookViewId="0">
      <selection activeCell="N25" sqref="N25"/>
    </sheetView>
  </sheetViews>
  <sheetFormatPr defaultRowHeight="14.4" x14ac:dyDescent="0.3"/>
  <cols>
    <col min="1" max="1" width="36.6640625" bestFit="1" customWidth="1"/>
    <col min="2" max="2" width="13.33203125" bestFit="1" customWidth="1"/>
    <col min="4" max="4" width="13.88671875" bestFit="1" customWidth="1"/>
    <col min="5" max="5" width="6.5546875" bestFit="1" customWidth="1"/>
    <col min="6" max="6" width="15.44140625" bestFit="1" customWidth="1"/>
  </cols>
  <sheetData>
    <row r="2" spans="1:2" x14ac:dyDescent="0.3">
      <c r="A2" t="s">
        <v>0</v>
      </c>
    </row>
    <row r="3" spans="1:2" x14ac:dyDescent="0.3">
      <c r="A3" t="s">
        <v>1</v>
      </c>
      <c r="B3" s="3">
        <v>20</v>
      </c>
    </row>
    <row r="4" spans="1:2" x14ac:dyDescent="0.3">
      <c r="A4" t="s">
        <v>2</v>
      </c>
      <c r="B4" s="3">
        <v>0.95</v>
      </c>
    </row>
    <row r="5" spans="1:2" x14ac:dyDescent="0.3">
      <c r="A5" t="s">
        <v>3</v>
      </c>
      <c r="B5" s="3">
        <v>0</v>
      </c>
    </row>
    <row r="6" spans="1:2" x14ac:dyDescent="0.3">
      <c r="A6" t="s">
        <v>4</v>
      </c>
      <c r="B6" s="3">
        <v>0.85</v>
      </c>
    </row>
    <row r="7" spans="1:2" x14ac:dyDescent="0.3">
      <c r="A7" t="s">
        <v>5</v>
      </c>
      <c r="B7" s="3">
        <v>0.85</v>
      </c>
    </row>
    <row r="8" spans="1:2" x14ac:dyDescent="0.3">
      <c r="A8" t="s">
        <v>6</v>
      </c>
      <c r="B8" s="3">
        <v>2</v>
      </c>
    </row>
    <row r="9" spans="1:2" x14ac:dyDescent="0.3">
      <c r="A9" t="s">
        <v>7</v>
      </c>
      <c r="B9" s="3">
        <v>30</v>
      </c>
    </row>
    <row r="10" spans="1:2" x14ac:dyDescent="0.3">
      <c r="A10" t="s">
        <v>8</v>
      </c>
      <c r="B10" s="3">
        <v>85</v>
      </c>
    </row>
    <row r="11" spans="1:2" x14ac:dyDescent="0.3">
      <c r="A11" t="s">
        <v>9</v>
      </c>
      <c r="B11" s="3">
        <v>85</v>
      </c>
    </row>
    <row r="12" spans="1:2" x14ac:dyDescent="0.3">
      <c r="A12" t="s">
        <v>10</v>
      </c>
      <c r="B12" s="3">
        <v>0.7</v>
      </c>
    </row>
    <row r="13" spans="1:2" x14ac:dyDescent="0.3">
      <c r="A13" t="s">
        <v>11</v>
      </c>
    </row>
    <row r="14" spans="1:2" x14ac:dyDescent="0.3">
      <c r="A14" t="s">
        <v>12</v>
      </c>
      <c r="B14" s="6">
        <v>8.6173332621449999E-5</v>
      </c>
    </row>
    <row r="15" spans="1:2" x14ac:dyDescent="0.3">
      <c r="A15" t="s">
        <v>13</v>
      </c>
      <c r="B15" s="4">
        <f>B10+273.15</f>
        <v>358.15</v>
      </c>
    </row>
    <row r="16" spans="1:2" x14ac:dyDescent="0.3">
      <c r="A16" t="s">
        <v>14</v>
      </c>
      <c r="B16" s="5">
        <f>B11+273.15</f>
        <v>358.15</v>
      </c>
    </row>
    <row r="17" spans="1:2" x14ac:dyDescent="0.3">
      <c r="A17" t="s">
        <v>16</v>
      </c>
      <c r="B17" s="2">
        <f>EXP(B12/B14*(1/B16 - 1/B15))</f>
        <v>1</v>
      </c>
    </row>
    <row r="18" spans="1:2" x14ac:dyDescent="0.3">
      <c r="A18" t="s">
        <v>15</v>
      </c>
      <c r="B18" s="1">
        <f>(B6/B7)^B8</f>
        <v>1</v>
      </c>
    </row>
    <row r="19" spans="1:2" x14ac:dyDescent="0.3">
      <c r="A19" t="s">
        <v>22</v>
      </c>
      <c r="B19">
        <f>B17*B18</f>
        <v>1</v>
      </c>
    </row>
    <row r="20" spans="1:2" x14ac:dyDescent="0.3">
      <c r="A20" t="s">
        <v>17</v>
      </c>
      <c r="B20">
        <f>1/(B3*8760)</f>
        <v>5.7077625570776257E-6</v>
      </c>
    </row>
    <row r="21" spans="1:2" x14ac:dyDescent="0.3">
      <c r="A21" t="s">
        <v>18</v>
      </c>
      <c r="B21">
        <f>B19*B20</f>
        <v>5.7077625570776257E-6</v>
      </c>
    </row>
    <row r="22" spans="1:2" x14ac:dyDescent="0.3">
      <c r="A22" t="s">
        <v>19</v>
      </c>
      <c r="B22">
        <f>_xlfn.CHISQ.INV.RT(1-B4, 2*(B5 +1))</f>
        <v>5.9914645471079799</v>
      </c>
    </row>
    <row r="23" spans="1:2" x14ac:dyDescent="0.3">
      <c r="A23" t="s">
        <v>20</v>
      </c>
      <c r="B23">
        <f>B22/(2*B9*B21)</f>
        <v>17495.0764775553</v>
      </c>
    </row>
    <row r="24" spans="1:2" x14ac:dyDescent="0.3">
      <c r="A24" t="s">
        <v>21</v>
      </c>
      <c r="B24">
        <f>B23/24</f>
        <v>728.96151989813745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Rev1 Const Temp and Hum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Morman, Brian</dc:creator>
  <cp:lastModifiedBy>Morman, Brian</cp:lastModifiedBy>
  <dcterms:created xsi:type="dcterms:W3CDTF">2025-07-03T15:24:25Z</dcterms:created>
  <dcterms:modified xsi:type="dcterms:W3CDTF">2025-07-04T00:55:58Z</dcterms:modified>
</cp:coreProperties>
</file>